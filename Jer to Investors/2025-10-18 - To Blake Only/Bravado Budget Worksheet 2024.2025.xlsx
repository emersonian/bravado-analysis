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59187e96f9a85847/Clark ^0 Assoc/Bravado/Budgets ^0 Forecasts/"/>
    </mc:Choice>
  </mc:AlternateContent>
  <xr:revisionPtr revIDLastSave="1658" documentId="8_{E66073FD-F12C-492D-AFD0-2DF713284263}" xr6:coauthVersionLast="47" xr6:coauthVersionMax="47" xr10:uidLastSave="{14BE7E4D-02EE-437A-BE97-BC70EF09E68F}"/>
  <bookViews>
    <workbookView xWindow="-120" yWindow="-120" windowWidth="29040" windowHeight="15720" firstSheet="3" activeTab="3" xr2:uid="{00000000-000D-0000-FFFF-FFFF00000000}"/>
  </bookViews>
  <sheets>
    <sheet name="BankPresentation BS" sheetId="6" state="hidden" r:id="rId1"/>
    <sheet name="Bank Presentation IS" sheetId="7" state="hidden" r:id="rId2"/>
    <sheet name="IS v PY" sheetId="8" state="hidden" r:id="rId3"/>
    <sheet name="Financial Trend.Budget" sheetId="26" r:id="rId4"/>
    <sheet name="2024 Budget" sheetId="15" state="hidden" r:id="rId5"/>
    <sheet name="2024 Monthly" sheetId="2" state="hidden" r:id="rId6"/>
    <sheet name="Sales Detail" sheetId="9" state="hidden" r:id="rId7"/>
    <sheet name="Mktg.Advert" sheetId="10" state="hidden" r:id="rId8"/>
    <sheet name="Travel" sheetId="11" state="hidden" r:id="rId9"/>
    <sheet name="Financial fees" sheetId="12" state="hidden" r:id="rId10"/>
    <sheet name="DandS" sheetId="13" state="hidden" r:id="rId11"/>
    <sheet name="Weekly cash flow" sheetId="14" state="hidden" r:id="rId12"/>
    <sheet name="FF" sheetId="24" state="hidden" r:id="rId13"/>
    <sheet name="Sales by Segment" sheetId="4" state="hidden" r:id="rId14"/>
    <sheet name="Payroll" sheetId="3" state="hidden" r:id="rId15"/>
    <sheet name="QB" sheetId="1" state="hidden" r:id="rId16"/>
    <sheet name="Balance Sheet" sheetId="5" state="hidden" r:id="rId17"/>
  </sheets>
  <externalReferences>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9" i="26" l="1"/>
  <c r="AB89" i="26"/>
  <c r="AT86" i="26"/>
  <c r="AT87" i="26" s="1"/>
  <c r="AU86" i="26"/>
  <c r="AC86" i="26"/>
  <c r="AC85" i="26"/>
  <c r="AC84" i="26"/>
  <c r="AC83" i="26"/>
  <c r="AC82" i="26"/>
  <c r="AC81" i="26"/>
  <c r="AC80" i="26"/>
  <c r="AC79" i="26"/>
  <c r="AC78" i="26"/>
  <c r="AC77" i="26"/>
  <c r="AC76" i="26"/>
  <c r="AC75" i="26"/>
  <c r="AC74" i="26"/>
  <c r="AC73" i="26"/>
  <c r="AC69" i="26"/>
  <c r="AC68" i="26"/>
  <c r="AC67" i="26"/>
  <c r="AC66" i="26"/>
  <c r="AC65" i="26"/>
  <c r="AC63" i="26"/>
  <c r="AC62" i="26"/>
  <c r="AC61" i="26"/>
  <c r="AC60" i="26"/>
  <c r="AC59" i="26"/>
  <c r="AC58" i="26"/>
  <c r="AC56" i="26"/>
  <c r="AC55" i="26"/>
  <c r="AC54" i="26"/>
  <c r="AC53" i="26"/>
  <c r="AC52" i="26"/>
  <c r="AC51" i="26"/>
  <c r="AC50" i="26"/>
  <c r="AC49" i="26"/>
  <c r="AC48" i="26"/>
  <c r="AC47" i="26"/>
  <c r="AC46" i="26"/>
  <c r="AC45" i="26"/>
  <c r="AC44" i="26"/>
  <c r="AC42" i="26"/>
  <c r="AC41" i="26"/>
  <c r="AC40" i="26"/>
  <c r="AC39" i="26"/>
  <c r="AC38" i="26"/>
  <c r="AC37" i="26"/>
  <c r="AC36" i="26"/>
  <c r="AC35" i="26"/>
  <c r="AC34" i="26"/>
  <c r="AC33" i="26"/>
  <c r="AC32" i="26"/>
  <c r="AC31" i="26"/>
  <c r="AC30" i="26"/>
  <c r="AC29" i="26"/>
  <c r="AC43" i="26" s="1"/>
  <c r="AC70" i="26" s="1"/>
  <c r="AC18" i="26"/>
  <c r="AC19" i="26"/>
  <c r="AC20" i="26"/>
  <c r="AC21" i="26"/>
  <c r="AC24" i="26" s="1"/>
  <c r="AC25" i="26" s="1"/>
  <c r="AC22" i="26"/>
  <c r="AC23" i="26"/>
  <c r="AC17" i="26"/>
  <c r="AB86" i="26"/>
  <c r="AB85" i="26"/>
  <c r="AB84" i="26"/>
  <c r="AB83" i="26"/>
  <c r="AB82" i="26"/>
  <c r="AB81" i="26"/>
  <c r="AB80" i="26"/>
  <c r="AB79" i="26"/>
  <c r="AB78" i="26"/>
  <c r="AB77" i="26"/>
  <c r="AB76" i="26"/>
  <c r="AB75" i="26"/>
  <c r="AB74" i="26"/>
  <c r="AB73" i="26"/>
  <c r="AB69" i="26"/>
  <c r="AB68" i="26"/>
  <c r="AB67" i="26"/>
  <c r="AB66" i="26"/>
  <c r="AB65" i="26"/>
  <c r="AB63" i="26"/>
  <c r="AB62" i="26"/>
  <c r="AB61" i="26"/>
  <c r="AB60" i="26"/>
  <c r="AB59" i="26"/>
  <c r="AB58" i="26"/>
  <c r="AB56" i="26"/>
  <c r="AB55" i="26"/>
  <c r="AB54" i="26"/>
  <c r="AB53" i="26"/>
  <c r="AB52" i="26"/>
  <c r="AB51" i="26"/>
  <c r="AB50" i="26"/>
  <c r="AB49" i="26"/>
  <c r="AB48" i="26"/>
  <c r="AB47" i="26"/>
  <c r="AB46" i="26"/>
  <c r="AB45" i="26"/>
  <c r="AB44" i="26"/>
  <c r="AB42" i="26"/>
  <c r="AB41" i="26"/>
  <c r="AB40" i="26"/>
  <c r="AB39" i="26"/>
  <c r="AB38" i="26"/>
  <c r="AB37" i="26"/>
  <c r="AB36" i="26"/>
  <c r="AB35" i="26"/>
  <c r="AB34" i="26"/>
  <c r="AB33" i="26"/>
  <c r="AB32" i="26"/>
  <c r="AB31" i="26"/>
  <c r="AB30" i="26"/>
  <c r="AB29" i="26"/>
  <c r="AB43" i="26" s="1"/>
  <c r="AB70" i="26" s="1"/>
  <c r="AB18" i="26"/>
  <c r="AB24" i="26" s="1"/>
  <c r="AB25" i="26" s="1"/>
  <c r="AB19" i="26"/>
  <c r="AB20" i="26"/>
  <c r="AB21" i="26"/>
  <c r="AB22" i="26"/>
  <c r="AB23" i="26"/>
  <c r="AB17" i="26"/>
  <c r="Z90" i="26"/>
  <c r="Z89" i="26"/>
  <c r="AA90" i="26"/>
  <c r="AA89" i="26"/>
  <c r="AA86" i="26"/>
  <c r="AA87" i="26" s="1"/>
  <c r="AA85" i="26"/>
  <c r="AD85" i="26" s="1"/>
  <c r="AA84" i="26"/>
  <c r="AD84" i="26" s="1"/>
  <c r="AA83" i="26"/>
  <c r="AA82" i="26"/>
  <c r="AA81" i="26"/>
  <c r="AA80" i="26"/>
  <c r="AA79" i="26"/>
  <c r="AA78" i="26"/>
  <c r="AA77" i="26"/>
  <c r="AA76" i="26"/>
  <c r="AA75" i="26"/>
  <c r="AA74" i="26"/>
  <c r="AA73" i="26"/>
  <c r="AA69" i="26"/>
  <c r="AA68" i="26"/>
  <c r="AA67" i="26"/>
  <c r="AA66" i="26"/>
  <c r="AA65" i="26"/>
  <c r="AA63" i="26"/>
  <c r="AA62" i="26"/>
  <c r="AA61" i="26"/>
  <c r="AD61" i="26" s="1"/>
  <c r="AA60" i="26"/>
  <c r="AA59" i="26"/>
  <c r="AD59" i="26" s="1"/>
  <c r="AA58" i="26"/>
  <c r="AA56" i="26"/>
  <c r="AA55" i="26"/>
  <c r="AA54" i="26"/>
  <c r="AA53" i="26"/>
  <c r="AA52" i="26"/>
  <c r="AA51" i="26"/>
  <c r="AA50" i="26"/>
  <c r="AA49" i="26"/>
  <c r="AA48" i="26"/>
  <c r="AA47" i="26"/>
  <c r="AA46" i="26"/>
  <c r="AA45" i="26"/>
  <c r="AA44" i="26"/>
  <c r="AA42" i="26"/>
  <c r="AA41" i="26"/>
  <c r="AA40" i="26"/>
  <c r="AA39" i="26"/>
  <c r="AA38" i="26"/>
  <c r="AA37" i="26"/>
  <c r="AA36" i="26"/>
  <c r="AA35" i="26"/>
  <c r="AA34" i="26"/>
  <c r="AA33" i="26"/>
  <c r="AA32" i="26"/>
  <c r="AA31" i="26"/>
  <c r="AA30" i="26"/>
  <c r="AA29" i="26"/>
  <c r="AA43" i="26" s="1"/>
  <c r="AA18" i="26"/>
  <c r="AA19" i="26"/>
  <c r="AA20" i="26"/>
  <c r="AD20" i="26" s="1"/>
  <c r="AA21" i="26"/>
  <c r="AA22" i="26"/>
  <c r="AA23" i="26"/>
  <c r="AD23" i="26"/>
  <c r="AA17" i="26"/>
  <c r="Z43" i="26"/>
  <c r="Z85" i="26"/>
  <c r="Z84" i="26"/>
  <c r="Z83" i="26"/>
  <c r="AD83" i="26" s="1"/>
  <c r="Z82" i="26"/>
  <c r="Z81" i="26"/>
  <c r="Z80" i="26"/>
  <c r="Z79" i="26"/>
  <c r="Z78" i="26"/>
  <c r="Z77" i="26"/>
  <c r="Z76" i="26"/>
  <c r="Z75" i="26"/>
  <c r="AD75" i="26" s="1"/>
  <c r="Z74" i="26"/>
  <c r="Z73" i="26"/>
  <c r="Z69" i="26"/>
  <c r="Z68" i="26"/>
  <c r="Z67" i="26"/>
  <c r="Z70" i="26" s="1"/>
  <c r="Z66" i="26"/>
  <c r="Z65" i="26"/>
  <c r="Z63" i="26"/>
  <c r="Z62" i="26"/>
  <c r="Z61" i="26"/>
  <c r="Z60" i="26"/>
  <c r="Z59" i="26"/>
  <c r="Z58" i="26"/>
  <c r="Z56" i="26"/>
  <c r="Z55" i="26"/>
  <c r="Z54" i="26"/>
  <c r="Z53" i="26"/>
  <c r="Z52" i="26"/>
  <c r="Z51" i="26"/>
  <c r="Z50" i="26"/>
  <c r="Z49" i="26"/>
  <c r="Z48" i="26"/>
  <c r="Z47" i="26"/>
  <c r="Z46" i="26"/>
  <c r="Z45" i="26"/>
  <c r="Z44" i="26"/>
  <c r="Z42" i="26"/>
  <c r="Z41" i="26"/>
  <c r="AD41" i="26" s="1"/>
  <c r="Z40" i="26"/>
  <c r="Z39" i="26"/>
  <c r="Z38" i="26"/>
  <c r="Z37" i="26"/>
  <c r="Z36" i="26"/>
  <c r="AD36" i="26" s="1"/>
  <c r="Z35" i="26"/>
  <c r="Z34" i="26"/>
  <c r="Z33" i="26"/>
  <c r="Z32" i="26"/>
  <c r="Z31" i="26"/>
  <c r="Z30" i="26"/>
  <c r="Z29" i="26"/>
  <c r="Z18" i="26"/>
  <c r="Z19" i="26"/>
  <c r="Z20" i="26"/>
  <c r="Z21" i="26"/>
  <c r="Z22" i="26"/>
  <c r="Z23" i="26"/>
  <c r="Z17" i="26"/>
  <c r="AC15" i="26"/>
  <c r="AB15" i="26"/>
  <c r="AA15" i="26"/>
  <c r="Z15" i="26"/>
  <c r="AC90" i="26"/>
  <c r="AB90" i="26"/>
  <c r="AC87" i="26"/>
  <c r="AD69" i="26"/>
  <c r="AD65" i="26"/>
  <c r="AD19" i="26"/>
  <c r="AD105" i="26"/>
  <c r="AD90" i="26"/>
  <c r="AD80" i="26"/>
  <c r="AD78" i="26"/>
  <c r="AD63" i="26"/>
  <c r="AV78" i="26"/>
  <c r="U78" i="26"/>
  <c r="V78" i="26" s="1"/>
  <c r="T78" i="26"/>
  <c r="AS29" i="26"/>
  <c r="AS41" i="26" s="1"/>
  <c r="BD22" i="26"/>
  <c r="BE22" i="26"/>
  <c r="BF22" i="26"/>
  <c r="BG22" i="26"/>
  <c r="BH22" i="26"/>
  <c r="BI22" i="26"/>
  <c r="BJ22" i="26"/>
  <c r="BK22" i="26"/>
  <c r="BC22" i="26"/>
  <c r="BC17" i="26"/>
  <c r="BD17" i="26"/>
  <c r="BE17" i="26"/>
  <c r="BF17" i="26"/>
  <c r="BG17" i="26"/>
  <c r="BH17" i="26"/>
  <c r="BI17" i="26"/>
  <c r="BJ17" i="26"/>
  <c r="BK17" i="26"/>
  <c r="BA17" i="26"/>
  <c r="BB17" i="26"/>
  <c r="AZ17" i="26"/>
  <c r="AT17" i="26"/>
  <c r="AU17" i="26"/>
  <c r="AS17" i="26"/>
  <c r="AU87" i="26"/>
  <c r="AP86" i="26"/>
  <c r="AP76" i="26"/>
  <c r="AQ76" i="26"/>
  <c r="AP128" i="26"/>
  <c r="AP141" i="26" s="1"/>
  <c r="AQ128" i="26"/>
  <c r="AQ141" i="26" s="1"/>
  <c r="AK69" i="15"/>
  <c r="AK65" i="15"/>
  <c r="AJ86" i="15"/>
  <c r="AI86" i="15"/>
  <c r="AJ76" i="15"/>
  <c r="AJ73" i="15"/>
  <c r="AJ128" i="15"/>
  <c r="AJ140" i="15" s="1"/>
  <c r="BA18" i="26"/>
  <c r="BB18" i="26"/>
  <c r="BC18" i="26"/>
  <c r="BD18" i="26"/>
  <c r="BE18" i="26"/>
  <c r="BF18" i="26"/>
  <c r="BG18" i="26"/>
  <c r="BH18" i="26"/>
  <c r="BI18" i="26"/>
  <c r="BJ18" i="26"/>
  <c r="BK18" i="26"/>
  <c r="AZ18" i="26"/>
  <c r="AT18" i="26"/>
  <c r="AU18" i="26"/>
  <c r="AS18" i="26"/>
  <c r="AV89" i="26"/>
  <c r="BK29" i="26"/>
  <c r="BK41" i="26" s="1"/>
  <c r="BJ29" i="26"/>
  <c r="BJ41" i="26" s="1"/>
  <c r="BI29" i="26"/>
  <c r="BI41" i="26" s="1"/>
  <c r="BH29" i="26"/>
  <c r="BH41" i="26" s="1"/>
  <c r="BG29" i="26"/>
  <c r="BG41" i="26" s="1"/>
  <c r="BF29" i="26"/>
  <c r="BF41" i="26" s="1"/>
  <c r="BE29" i="26"/>
  <c r="BE41" i="26" s="1"/>
  <c r="BD29" i="26"/>
  <c r="BD41" i="26" s="1"/>
  <c r="BC29" i="26"/>
  <c r="BC41" i="26" s="1"/>
  <c r="BB29" i="26"/>
  <c r="BA29" i="26"/>
  <c r="BA41" i="26" s="1"/>
  <c r="AZ29" i="26"/>
  <c r="AZ41" i="26" s="1"/>
  <c r="AT29" i="26"/>
  <c r="AT41" i="26" s="1"/>
  <c r="AU29" i="26"/>
  <c r="AU41" i="26" s="1"/>
  <c r="BK23" i="26"/>
  <c r="BJ23" i="26"/>
  <c r="BI23" i="26"/>
  <c r="BH23" i="26"/>
  <c r="BG23" i="26"/>
  <c r="BF23" i="26"/>
  <c r="BE23" i="26"/>
  <c r="BD23" i="26"/>
  <c r="BC23" i="26"/>
  <c r="BB23" i="26"/>
  <c r="BA23" i="26"/>
  <c r="AZ23" i="26"/>
  <c r="BB22" i="26"/>
  <c r="BA22" i="26"/>
  <c r="AZ22" i="26"/>
  <c r="BJ115" i="26"/>
  <c r="BL90" i="26"/>
  <c r="BL89" i="26"/>
  <c r="BK87" i="26"/>
  <c r="BJ87" i="26"/>
  <c r="BI87" i="26"/>
  <c r="BH87" i="26"/>
  <c r="BG87" i="26"/>
  <c r="BF87" i="26"/>
  <c r="BE87" i="26"/>
  <c r="BB87" i="26"/>
  <c r="BA87" i="26"/>
  <c r="BL85" i="26"/>
  <c r="BL84" i="26"/>
  <c r="BL83" i="26"/>
  <c r="BL82" i="26"/>
  <c r="BL81" i="26"/>
  <c r="BL80" i="26"/>
  <c r="BL79" i="26"/>
  <c r="BL77" i="26"/>
  <c r="BL76" i="26"/>
  <c r="BL75" i="26"/>
  <c r="BL74" i="26"/>
  <c r="BD87" i="26"/>
  <c r="BL69" i="26"/>
  <c r="BL68" i="26"/>
  <c r="BM68" i="26" s="1"/>
  <c r="BL67" i="26"/>
  <c r="BL66" i="26"/>
  <c r="BL65" i="26"/>
  <c r="BL63" i="26"/>
  <c r="BL62" i="26"/>
  <c r="BL61" i="26"/>
  <c r="BL59" i="26"/>
  <c r="BL58" i="26"/>
  <c r="BM58" i="26" s="1"/>
  <c r="BL56" i="26"/>
  <c r="BM56" i="26" s="1"/>
  <c r="BL54" i="26"/>
  <c r="BM54" i="26" s="1"/>
  <c r="BG53" i="26"/>
  <c r="BH53" i="26" s="1"/>
  <c r="BI53" i="26" s="1"/>
  <c r="BJ53" i="26" s="1"/>
  <c r="BK53" i="26" s="1"/>
  <c r="BK44" i="26"/>
  <c r="BJ44" i="26"/>
  <c r="BI44" i="26"/>
  <c r="BH44" i="26"/>
  <c r="BG44" i="26"/>
  <c r="BL42" i="26"/>
  <c r="BM42" i="26" s="1"/>
  <c r="BK36" i="26"/>
  <c r="BJ36" i="26"/>
  <c r="BI36" i="26"/>
  <c r="BH36" i="26"/>
  <c r="BG36" i="26"/>
  <c r="BF36" i="26"/>
  <c r="BA36" i="26"/>
  <c r="AZ36" i="26"/>
  <c r="BL21" i="26"/>
  <c r="BM21" i="26" s="1"/>
  <c r="BL20" i="26"/>
  <c r="BL19" i="26"/>
  <c r="BL15" i="26"/>
  <c r="BM15" i="26" s="1"/>
  <c r="BL11" i="26"/>
  <c r="BL10" i="26"/>
  <c r="BL9" i="26"/>
  <c r="BL8" i="26"/>
  <c r="BL7" i="26"/>
  <c r="X141" i="26"/>
  <c r="AO128" i="26"/>
  <c r="AO141" i="26" s="1"/>
  <c r="AN128" i="26"/>
  <c r="AM128" i="26"/>
  <c r="AM141" i="26" s="1"/>
  <c r="AL128" i="26"/>
  <c r="AL141" i="26" s="1"/>
  <c r="AK128" i="26"/>
  <c r="AK141" i="26" s="1"/>
  <c r="AJ128" i="26"/>
  <c r="AJ141" i="26" s="1"/>
  <c r="AI128" i="26"/>
  <c r="AI141" i="26" s="1"/>
  <c r="AH128" i="26"/>
  <c r="AH141" i="26" s="1"/>
  <c r="AG128" i="26"/>
  <c r="AF128" i="26"/>
  <c r="AF141" i="26" s="1"/>
  <c r="AT115" i="26"/>
  <c r="AV105" i="26"/>
  <c r="BL105" i="26" s="1"/>
  <c r="V105" i="26"/>
  <c r="O105" i="26"/>
  <c r="AV92" i="26"/>
  <c r="R92" i="26"/>
  <c r="V92" i="26" s="1"/>
  <c r="AV90" i="26"/>
  <c r="AH90" i="26"/>
  <c r="U90" i="26"/>
  <c r="T90" i="26"/>
  <c r="S90" i="26"/>
  <c r="R90" i="26"/>
  <c r="U89" i="26"/>
  <c r="S89" i="26"/>
  <c r="R89" i="26"/>
  <c r="AF87" i="26"/>
  <c r="N87" i="26"/>
  <c r="AS86" i="26"/>
  <c r="AS87" i="26" s="1"/>
  <c r="AR86" i="26"/>
  <c r="AR87" i="26" s="1"/>
  <c r="AQ86" i="26"/>
  <c r="AM86" i="26"/>
  <c r="AK86" i="26"/>
  <c r="AJ86" i="26"/>
  <c r="I86" i="26"/>
  <c r="G86" i="26"/>
  <c r="E86" i="26"/>
  <c r="C86" i="26"/>
  <c r="AV85" i="26"/>
  <c r="U85" i="26"/>
  <c r="T85" i="26"/>
  <c r="S85" i="26"/>
  <c r="R85" i="26"/>
  <c r="AV84" i="26"/>
  <c r="U84" i="26"/>
  <c r="T84" i="26"/>
  <c r="S84" i="26"/>
  <c r="R84" i="26"/>
  <c r="AV83" i="26"/>
  <c r="U83" i="26"/>
  <c r="T83" i="26"/>
  <c r="S83" i="26"/>
  <c r="R83" i="26"/>
  <c r="AV82" i="26"/>
  <c r="U82" i="26"/>
  <c r="T82" i="26"/>
  <c r="S82" i="26"/>
  <c r="R82" i="26"/>
  <c r="AV81" i="26"/>
  <c r="U81" i="26"/>
  <c r="T81" i="26"/>
  <c r="S81" i="26"/>
  <c r="R81" i="26"/>
  <c r="AV80" i="26"/>
  <c r="U80" i="26"/>
  <c r="T80" i="26"/>
  <c r="S80" i="26"/>
  <c r="R80" i="26"/>
  <c r="AO79" i="26"/>
  <c r="AM79" i="26"/>
  <c r="U79" i="26"/>
  <c r="T79" i="26"/>
  <c r="R79" i="26"/>
  <c r="AK77" i="26"/>
  <c r="U77" i="26"/>
  <c r="T77" i="26"/>
  <c r="S77" i="26"/>
  <c r="AO76" i="26"/>
  <c r="AN76" i="26"/>
  <c r="AM76" i="26"/>
  <c r="AL76" i="26"/>
  <c r="AK76" i="26"/>
  <c r="U76" i="26"/>
  <c r="AN75" i="26"/>
  <c r="AM75" i="26"/>
  <c r="U75" i="26"/>
  <c r="T75" i="26"/>
  <c r="R75" i="26"/>
  <c r="AV74" i="26"/>
  <c r="U74" i="26"/>
  <c r="T74" i="26"/>
  <c r="S74" i="26"/>
  <c r="R74" i="26"/>
  <c r="U73" i="26"/>
  <c r="AV69" i="26"/>
  <c r="AH69" i="26"/>
  <c r="U69" i="26"/>
  <c r="T69" i="26"/>
  <c r="S69" i="26"/>
  <c r="R69" i="26"/>
  <c r="O69" i="26"/>
  <c r="J69" i="26"/>
  <c r="E69" i="26"/>
  <c r="AV68" i="26"/>
  <c r="U68" i="26"/>
  <c r="T68" i="26"/>
  <c r="S68" i="26"/>
  <c r="R68" i="26"/>
  <c r="O68" i="26"/>
  <c r="J68" i="26"/>
  <c r="G68" i="26"/>
  <c r="E68" i="26"/>
  <c r="C68" i="26"/>
  <c r="AV67" i="26"/>
  <c r="U67" i="26"/>
  <c r="T67" i="26"/>
  <c r="S67" i="26"/>
  <c r="R67" i="26"/>
  <c r="O67" i="26"/>
  <c r="J67" i="26"/>
  <c r="AV66" i="26"/>
  <c r="U66" i="26"/>
  <c r="T66" i="26"/>
  <c r="S66" i="26"/>
  <c r="R66" i="26"/>
  <c r="O66" i="26"/>
  <c r="AV65" i="26"/>
  <c r="U65" i="26"/>
  <c r="T65" i="26"/>
  <c r="S65" i="26"/>
  <c r="R65" i="26"/>
  <c r="O65" i="26"/>
  <c r="J65" i="26"/>
  <c r="AV63" i="26"/>
  <c r="U63" i="26"/>
  <c r="T63" i="26"/>
  <c r="S63" i="26"/>
  <c r="R63" i="26"/>
  <c r="O63" i="26"/>
  <c r="J63" i="26"/>
  <c r="G63" i="26"/>
  <c r="E63" i="26"/>
  <c r="C63" i="26"/>
  <c r="AV62" i="26"/>
  <c r="U62" i="26"/>
  <c r="T62" i="26"/>
  <c r="S62" i="26"/>
  <c r="R62" i="26"/>
  <c r="O62" i="26"/>
  <c r="J62" i="26"/>
  <c r="G62" i="26"/>
  <c r="E62" i="26"/>
  <c r="C62" i="26"/>
  <c r="AV61" i="26"/>
  <c r="U61" i="26"/>
  <c r="T61" i="26"/>
  <c r="S61" i="26"/>
  <c r="R61" i="26"/>
  <c r="O61" i="26"/>
  <c r="J61" i="26"/>
  <c r="G61" i="26"/>
  <c r="E61" i="26"/>
  <c r="C61" i="26"/>
  <c r="AP60" i="26"/>
  <c r="S60" i="26"/>
  <c r="R60" i="26"/>
  <c r="O60" i="26"/>
  <c r="J60" i="26"/>
  <c r="G60" i="26"/>
  <c r="E60" i="26"/>
  <c r="C60" i="26"/>
  <c r="AV59" i="26"/>
  <c r="U59" i="26"/>
  <c r="T59" i="26"/>
  <c r="S59" i="26"/>
  <c r="R59" i="26"/>
  <c r="O59" i="26"/>
  <c r="AV58" i="26"/>
  <c r="U58" i="26"/>
  <c r="T58" i="26"/>
  <c r="S58" i="26"/>
  <c r="R58" i="26"/>
  <c r="O58" i="26"/>
  <c r="O57" i="26"/>
  <c r="J57" i="26"/>
  <c r="G57" i="26"/>
  <c r="E57" i="26"/>
  <c r="C57" i="26"/>
  <c r="AK56" i="26"/>
  <c r="U56" i="26"/>
  <c r="T56" i="26"/>
  <c r="S56" i="26"/>
  <c r="O56" i="26"/>
  <c r="J56" i="26"/>
  <c r="G56" i="26"/>
  <c r="E56" i="26"/>
  <c r="C56" i="26"/>
  <c r="S55" i="26"/>
  <c r="R55" i="26"/>
  <c r="O55" i="26"/>
  <c r="J55" i="26"/>
  <c r="G55" i="26"/>
  <c r="E55" i="26"/>
  <c r="C55" i="26"/>
  <c r="AV54" i="26"/>
  <c r="U54" i="26"/>
  <c r="T54" i="26"/>
  <c r="S54" i="26"/>
  <c r="R54" i="26"/>
  <c r="O54" i="26"/>
  <c r="J54" i="26"/>
  <c r="G54" i="26"/>
  <c r="E54" i="26"/>
  <c r="S53" i="26"/>
  <c r="R53" i="26"/>
  <c r="O53" i="26"/>
  <c r="J53" i="26"/>
  <c r="G53" i="26"/>
  <c r="E53" i="26"/>
  <c r="AJ52" i="26"/>
  <c r="R52" i="26" s="1"/>
  <c r="S52" i="26"/>
  <c r="O52" i="26"/>
  <c r="J52" i="26"/>
  <c r="G52" i="26"/>
  <c r="E52" i="26"/>
  <c r="C52" i="26"/>
  <c r="U50" i="26"/>
  <c r="T50" i="26"/>
  <c r="O50" i="26"/>
  <c r="AU44" i="26"/>
  <c r="AT44" i="26"/>
  <c r="AS44" i="26"/>
  <c r="AM44" i="26"/>
  <c r="S44" i="26" s="1"/>
  <c r="AK44" i="26"/>
  <c r="AJ44" i="26"/>
  <c r="AI44" i="26"/>
  <c r="AH44" i="26"/>
  <c r="O44" i="26"/>
  <c r="J44" i="26"/>
  <c r="G44" i="26"/>
  <c r="E44" i="26"/>
  <c r="C44" i="26"/>
  <c r="AO43" i="26"/>
  <c r="AO70" i="26" s="1"/>
  <c r="AN43" i="26"/>
  <c r="AN70" i="26" s="1"/>
  <c r="AM43" i="26"/>
  <c r="AL43" i="26"/>
  <c r="AL70" i="26" s="1"/>
  <c r="AI43" i="26"/>
  <c r="AH43" i="26"/>
  <c r="AG43" i="26"/>
  <c r="AG70" i="26" s="1"/>
  <c r="AF43" i="26"/>
  <c r="AF70" i="26" s="1"/>
  <c r="N43" i="26"/>
  <c r="N70" i="26" s="1"/>
  <c r="M43" i="26"/>
  <c r="M70" i="26" s="1"/>
  <c r="L43" i="26"/>
  <c r="L70" i="26" s="1"/>
  <c r="K43" i="26"/>
  <c r="K70" i="26" s="1"/>
  <c r="I43" i="26"/>
  <c r="I70" i="26" s="1"/>
  <c r="J70" i="26" s="1"/>
  <c r="AV42" i="26"/>
  <c r="U42" i="26"/>
  <c r="T42" i="26"/>
  <c r="S42" i="26"/>
  <c r="R42" i="26"/>
  <c r="O42" i="26"/>
  <c r="J42" i="26"/>
  <c r="G42" i="26"/>
  <c r="E42" i="26"/>
  <c r="C42" i="26"/>
  <c r="S41" i="26"/>
  <c r="R41" i="26"/>
  <c r="O41" i="26"/>
  <c r="J41" i="26"/>
  <c r="G41" i="26"/>
  <c r="E41" i="26"/>
  <c r="C41" i="26"/>
  <c r="AU36" i="26"/>
  <c r="AT36" i="26"/>
  <c r="AS36" i="26"/>
  <c r="AK36" i="26"/>
  <c r="AK43" i="26" s="1"/>
  <c r="AJ36" i="26"/>
  <c r="S36" i="26"/>
  <c r="O36" i="26"/>
  <c r="J36" i="26"/>
  <c r="G36" i="26"/>
  <c r="E36" i="26"/>
  <c r="C36" i="26"/>
  <c r="AI35" i="26"/>
  <c r="AH35" i="26"/>
  <c r="AI34" i="26"/>
  <c r="AH34" i="26"/>
  <c r="AI33" i="26"/>
  <c r="AH33" i="26"/>
  <c r="AO32" i="26"/>
  <c r="AN32" i="26"/>
  <c r="AM32" i="26"/>
  <c r="AL32" i="26"/>
  <c r="AI32" i="26"/>
  <c r="AH32" i="26"/>
  <c r="AK31" i="26"/>
  <c r="AJ31" i="26"/>
  <c r="AI31" i="26"/>
  <c r="AH31" i="26"/>
  <c r="AJ30" i="26"/>
  <c r="AI30" i="26"/>
  <c r="AH30" i="26"/>
  <c r="S29" i="26"/>
  <c r="R29" i="26"/>
  <c r="O29" i="26"/>
  <c r="J29" i="26"/>
  <c r="G29" i="26"/>
  <c r="E29" i="26"/>
  <c r="C29" i="26"/>
  <c r="AO24" i="26"/>
  <c r="AO25" i="26" s="1"/>
  <c r="AO26" i="26" s="1"/>
  <c r="AN24" i="26"/>
  <c r="AN25" i="26" s="1"/>
  <c r="AM24" i="26"/>
  <c r="AM25" i="26" s="1"/>
  <c r="AM26" i="26" s="1"/>
  <c r="AL24" i="26"/>
  <c r="AL25" i="26" s="1"/>
  <c r="AK24" i="26"/>
  <c r="AK25" i="26" s="1"/>
  <c r="AJ24" i="26"/>
  <c r="AJ25" i="26" s="1"/>
  <c r="AJ26" i="26" s="1"/>
  <c r="AI24" i="26"/>
  <c r="AI25" i="26" s="1"/>
  <c r="AH24" i="26"/>
  <c r="AH25" i="26" s="1"/>
  <c r="AH26" i="26" s="1"/>
  <c r="AG24" i="26"/>
  <c r="AG25" i="26" s="1"/>
  <c r="AF24" i="26"/>
  <c r="AF25" i="26" s="1"/>
  <c r="I24" i="26"/>
  <c r="J24" i="26" s="1"/>
  <c r="AU23" i="26"/>
  <c r="AT23" i="26"/>
  <c r="AS23" i="26"/>
  <c r="T23" i="26"/>
  <c r="S23" i="26"/>
  <c r="R23" i="26"/>
  <c r="O23" i="26"/>
  <c r="J23" i="26"/>
  <c r="G23" i="26"/>
  <c r="AU22" i="26"/>
  <c r="AT22" i="26"/>
  <c r="AS22" i="26"/>
  <c r="AQ24" i="26"/>
  <c r="AQ25" i="26" s="1"/>
  <c r="S22" i="26"/>
  <c r="R22" i="26"/>
  <c r="O22" i="26"/>
  <c r="J22" i="26"/>
  <c r="AV21" i="26"/>
  <c r="U21" i="26"/>
  <c r="T21" i="26"/>
  <c r="S21" i="26"/>
  <c r="R21" i="26"/>
  <c r="O21" i="26"/>
  <c r="AV20" i="26"/>
  <c r="U20" i="26"/>
  <c r="T20" i="26"/>
  <c r="S20" i="26"/>
  <c r="R20" i="26"/>
  <c r="J20" i="26"/>
  <c r="K20" i="26" s="1"/>
  <c r="G20" i="26"/>
  <c r="E20" i="26"/>
  <c r="C20" i="26"/>
  <c r="AV19" i="26"/>
  <c r="U19" i="26"/>
  <c r="T19" i="26"/>
  <c r="S19" i="26"/>
  <c r="R19" i="26"/>
  <c r="O19" i="26"/>
  <c r="J19" i="26"/>
  <c r="T18" i="26"/>
  <c r="AP24" i="26"/>
  <c r="AP25" i="26" s="1"/>
  <c r="S18" i="26"/>
  <c r="R18" i="26"/>
  <c r="O18" i="26"/>
  <c r="J18" i="26"/>
  <c r="G18" i="26"/>
  <c r="E18" i="26"/>
  <c r="C18" i="26"/>
  <c r="T17" i="26"/>
  <c r="S17" i="26"/>
  <c r="R17" i="26"/>
  <c r="O17" i="26"/>
  <c r="J17" i="26"/>
  <c r="G17" i="26"/>
  <c r="C17" i="26"/>
  <c r="C24" i="26" s="1"/>
  <c r="AV15" i="26"/>
  <c r="U15" i="26"/>
  <c r="T15" i="26"/>
  <c r="S15" i="26"/>
  <c r="R15" i="26"/>
  <c r="O15" i="26"/>
  <c r="J15" i="26"/>
  <c r="G14" i="26"/>
  <c r="E14" i="26"/>
  <c r="C14" i="26"/>
  <c r="G13" i="26"/>
  <c r="E13" i="26"/>
  <c r="C13" i="26"/>
  <c r="G12" i="26"/>
  <c r="E12" i="26"/>
  <c r="C12" i="26"/>
  <c r="C15" i="26" s="1"/>
  <c r="D18" i="26" s="1"/>
  <c r="AV11" i="26"/>
  <c r="AV10" i="26"/>
  <c r="AV9" i="26"/>
  <c r="AV8" i="26"/>
  <c r="AV7" i="26"/>
  <c r="AG79" i="15"/>
  <c r="AE77" i="15"/>
  <c r="AP77" i="15" s="1"/>
  <c r="AF76" i="15"/>
  <c r="AG76" i="15"/>
  <c r="AH76" i="15"/>
  <c r="AI76" i="15"/>
  <c r="AE76" i="15"/>
  <c r="AH128" i="15"/>
  <c r="AI128" i="15"/>
  <c r="AI140" i="15" s="1"/>
  <c r="AN115" i="15"/>
  <c r="AL17" i="15"/>
  <c r="AM17" i="15"/>
  <c r="AN17" i="15"/>
  <c r="AO17" i="15"/>
  <c r="AP92" i="15"/>
  <c r="AP90" i="15"/>
  <c r="AP89" i="15"/>
  <c r="AB87" i="26" l="1"/>
  <c r="Z86" i="26"/>
  <c r="AD86" i="26" s="1"/>
  <c r="Z87" i="26"/>
  <c r="AD82" i="26"/>
  <c r="AD77" i="26"/>
  <c r="AD56" i="26"/>
  <c r="AD79" i="26"/>
  <c r="AD42" i="26"/>
  <c r="AD21" i="26"/>
  <c r="AD22" i="26"/>
  <c r="AD89" i="26"/>
  <c r="AD81" i="26"/>
  <c r="AD66" i="26"/>
  <c r="AD68" i="26"/>
  <c r="AD54" i="26"/>
  <c r="AD55" i="26"/>
  <c r="AA70" i="26"/>
  <c r="AD18" i="26"/>
  <c r="AA24" i="26"/>
  <c r="AA25" i="26" s="1"/>
  <c r="AA26" i="26" s="1"/>
  <c r="AD17" i="26"/>
  <c r="AM70" i="26"/>
  <c r="AM71" i="26" s="1"/>
  <c r="BL44" i="26"/>
  <c r="BM44" i="26" s="1"/>
  <c r="AD73" i="26"/>
  <c r="AD74" i="26"/>
  <c r="AD76" i="26"/>
  <c r="AD58" i="26"/>
  <c r="AD50" i="26"/>
  <c r="AD67" i="26"/>
  <c r="AD53" i="26"/>
  <c r="AD62" i="26"/>
  <c r="AD60" i="26"/>
  <c r="AD15" i="26"/>
  <c r="AB71" i="26"/>
  <c r="AB88" i="26" s="1"/>
  <c r="AB91" i="26" s="1"/>
  <c r="AB26" i="26"/>
  <c r="AC26" i="26"/>
  <c r="AC71" i="26"/>
  <c r="AC88" i="26" s="1"/>
  <c r="AC91" i="26" s="1"/>
  <c r="AD29" i="26"/>
  <c r="Z24" i="26"/>
  <c r="Z25" i="26" s="1"/>
  <c r="BM19" i="26"/>
  <c r="BM63" i="26"/>
  <c r="BM20" i="26"/>
  <c r="S75" i="26"/>
  <c r="V75" i="26" s="1"/>
  <c r="BM59" i="26"/>
  <c r="V50" i="26"/>
  <c r="P17" i="26"/>
  <c r="P18" i="26"/>
  <c r="P36" i="26"/>
  <c r="V62" i="26"/>
  <c r="P22" i="26"/>
  <c r="BM62" i="26"/>
  <c r="P56" i="26"/>
  <c r="P44" i="26"/>
  <c r="P53" i="26"/>
  <c r="P55" i="26"/>
  <c r="P42" i="26"/>
  <c r="P52" i="26"/>
  <c r="P50" i="26"/>
  <c r="P62" i="26"/>
  <c r="P68" i="26"/>
  <c r="G15" i="26"/>
  <c r="H69" i="26" s="1"/>
  <c r="P60" i="26"/>
  <c r="P23" i="26"/>
  <c r="P29" i="26"/>
  <c r="G43" i="26"/>
  <c r="BM69" i="26"/>
  <c r="AQ73" i="26"/>
  <c r="AQ87" i="26" s="1"/>
  <c r="P15" i="26"/>
  <c r="P54" i="26"/>
  <c r="R86" i="26"/>
  <c r="BM61" i="26"/>
  <c r="AP73" i="26"/>
  <c r="AP87" i="26" s="1"/>
  <c r="V20" i="26"/>
  <c r="E43" i="26"/>
  <c r="E70" i="26" s="1"/>
  <c r="AI70" i="26"/>
  <c r="AI71" i="26" s="1"/>
  <c r="U44" i="26"/>
  <c r="U86" i="26"/>
  <c r="U87" i="26" s="1"/>
  <c r="D17" i="26"/>
  <c r="V21" i="26"/>
  <c r="AH70" i="26"/>
  <c r="AH71" i="26" s="1"/>
  <c r="C43" i="26"/>
  <c r="C70" i="26" s="1"/>
  <c r="D70" i="26" s="1"/>
  <c r="AV44" i="26"/>
  <c r="AW44" i="26" s="1"/>
  <c r="P69" i="26"/>
  <c r="AL73" i="26"/>
  <c r="AL87" i="26" s="1"/>
  <c r="T76" i="26"/>
  <c r="D44" i="26"/>
  <c r="E15" i="26"/>
  <c r="F29" i="26" s="1"/>
  <c r="I25" i="26"/>
  <c r="J25" i="26" s="1"/>
  <c r="P41" i="26"/>
  <c r="P57" i="26"/>
  <c r="D62" i="26"/>
  <c r="P63" i="26"/>
  <c r="V68" i="26"/>
  <c r="D24" i="26"/>
  <c r="D55" i="26"/>
  <c r="V19" i="26"/>
  <c r="E24" i="26"/>
  <c r="D52" i="26"/>
  <c r="V59" i="26"/>
  <c r="V58" i="26"/>
  <c r="R24" i="26"/>
  <c r="R25" i="26" s="1"/>
  <c r="R26" i="26" s="1"/>
  <c r="H23" i="26"/>
  <c r="R44" i="26"/>
  <c r="P61" i="26"/>
  <c r="D68" i="26"/>
  <c r="AV75" i="26"/>
  <c r="BK24" i="26"/>
  <c r="BK25" i="26" s="1"/>
  <c r="BK26" i="26" s="1"/>
  <c r="V42" i="26"/>
  <c r="AK70" i="26"/>
  <c r="AK71" i="26" s="1"/>
  <c r="O43" i="26"/>
  <c r="P43" i="26" s="1"/>
  <c r="S43" i="26"/>
  <c r="S70" i="26" s="1"/>
  <c r="V63" i="26"/>
  <c r="S86" i="26"/>
  <c r="V67" i="26"/>
  <c r="S24" i="26"/>
  <c r="S25" i="26" s="1"/>
  <c r="AW61" i="26"/>
  <c r="V69" i="26"/>
  <c r="V54" i="26"/>
  <c r="AW21" i="26"/>
  <c r="AV18" i="26"/>
  <c r="AW18" i="26" s="1"/>
  <c r="AW19" i="26"/>
  <c r="V90" i="26"/>
  <c r="AG71" i="26"/>
  <c r="AP43" i="26"/>
  <c r="AP70" i="26" s="1"/>
  <c r="AP71" i="26" s="1"/>
  <c r="T29" i="26"/>
  <c r="AR43" i="26"/>
  <c r="AM73" i="26"/>
  <c r="AM87" i="26" s="1"/>
  <c r="V80" i="26"/>
  <c r="V83" i="26"/>
  <c r="AK73" i="26"/>
  <c r="AK87" i="26" s="1"/>
  <c r="R76" i="26"/>
  <c r="V82" i="26"/>
  <c r="AJ73" i="26"/>
  <c r="AJ87" i="26" s="1"/>
  <c r="AH73" i="26"/>
  <c r="AH87" i="26" s="1"/>
  <c r="V74" i="26"/>
  <c r="V81" i="26"/>
  <c r="V84" i="26"/>
  <c r="U36" i="26"/>
  <c r="T36" i="26"/>
  <c r="AV36" i="26"/>
  <c r="AW36" i="26" s="1"/>
  <c r="BL86" i="26"/>
  <c r="V65" i="26"/>
  <c r="BF24" i="26"/>
  <c r="BF25" i="26" s="1"/>
  <c r="BF26" i="26" s="1"/>
  <c r="V15" i="26"/>
  <c r="BG24" i="26"/>
  <c r="BG25" i="26" s="1"/>
  <c r="BG26" i="26" s="1"/>
  <c r="BB41" i="26"/>
  <c r="BL41" i="26" s="1"/>
  <c r="BM41" i="26" s="1"/>
  <c r="T89" i="26"/>
  <c r="V89" i="26" s="1"/>
  <c r="AW15" i="26"/>
  <c r="AW20" i="26"/>
  <c r="AW7" i="26"/>
  <c r="AV23" i="26"/>
  <c r="AW23" i="26" s="1"/>
  <c r="AW58" i="26"/>
  <c r="AW63" i="26"/>
  <c r="AW10" i="26"/>
  <c r="AW54" i="26"/>
  <c r="AW11" i="26"/>
  <c r="AS24" i="26"/>
  <c r="AS25" i="26" s="1"/>
  <c r="AS26" i="26" s="1"/>
  <c r="AW42" i="26"/>
  <c r="AW8" i="26"/>
  <c r="BL18" i="26"/>
  <c r="BM18" i="26" s="1"/>
  <c r="BL23" i="26"/>
  <c r="BM23" i="26" s="1"/>
  <c r="BL22" i="26"/>
  <c r="BM22" i="26" s="1"/>
  <c r="U23" i="26"/>
  <c r="V23" i="26" s="1"/>
  <c r="AT24" i="26"/>
  <c r="AT25" i="26" s="1"/>
  <c r="AT26" i="26" s="1"/>
  <c r="AW68" i="26"/>
  <c r="AW9" i="26"/>
  <c r="AW62" i="26"/>
  <c r="U18" i="26"/>
  <c r="V18" i="26" s="1"/>
  <c r="AW59" i="26"/>
  <c r="AW69" i="26"/>
  <c r="BC43" i="26"/>
  <c r="BC70" i="26" s="1"/>
  <c r="BD43" i="26"/>
  <c r="BD70" i="26" s="1"/>
  <c r="BE43" i="26"/>
  <c r="BE70" i="26" s="1"/>
  <c r="BH43" i="26"/>
  <c r="BG43" i="26"/>
  <c r="BG70" i="26" s="1"/>
  <c r="AZ43" i="26"/>
  <c r="AZ70" i="26" s="1"/>
  <c r="BL29" i="26"/>
  <c r="BM29" i="26" s="1"/>
  <c r="BK43" i="26"/>
  <c r="BA43" i="26"/>
  <c r="BA70" i="26" s="1"/>
  <c r="BJ43" i="26"/>
  <c r="BI43" i="26"/>
  <c r="U29" i="26"/>
  <c r="U41" i="26"/>
  <c r="AV29" i="26"/>
  <c r="AW29" i="26" s="1"/>
  <c r="AS43" i="26"/>
  <c r="AU43" i="26"/>
  <c r="AQ43" i="26"/>
  <c r="AQ70" i="26" s="1"/>
  <c r="AQ71" i="26" s="1"/>
  <c r="BB24" i="26"/>
  <c r="BB25" i="26" s="1"/>
  <c r="BB26" i="26" s="1"/>
  <c r="BJ24" i="26"/>
  <c r="BJ25" i="26" s="1"/>
  <c r="BJ26" i="26" s="1"/>
  <c r="BC24" i="26"/>
  <c r="BC25" i="26" s="1"/>
  <c r="BD24" i="26"/>
  <c r="BD25" i="26" s="1"/>
  <c r="BD26" i="26" s="1"/>
  <c r="BE24" i="26"/>
  <c r="BE25" i="26" s="1"/>
  <c r="BE26" i="26" s="1"/>
  <c r="AZ24" i="26"/>
  <c r="AZ25" i="26" s="1"/>
  <c r="AZ26" i="26" s="1"/>
  <c r="BH24" i="26"/>
  <c r="BH25" i="26" s="1"/>
  <c r="BA24" i="26"/>
  <c r="BA25" i="26" s="1"/>
  <c r="BA26" i="26" s="1"/>
  <c r="BI24" i="26"/>
  <c r="BI25" i="26" s="1"/>
  <c r="BH60" i="26"/>
  <c r="BI60" i="26" s="1"/>
  <c r="BJ60" i="26" s="1"/>
  <c r="BK60" i="26" s="1"/>
  <c r="BL73" i="26"/>
  <c r="BL17" i="26"/>
  <c r="BM17" i="26" s="1"/>
  <c r="BL55" i="26"/>
  <c r="BM55" i="26" s="1"/>
  <c r="AZ87" i="26"/>
  <c r="BL53" i="26"/>
  <c r="BM53" i="26" s="1"/>
  <c r="BC87" i="26"/>
  <c r="BF43" i="26"/>
  <c r="BF70" i="26" s="1"/>
  <c r="BL36" i="26"/>
  <c r="BM36" i="26" s="1"/>
  <c r="T52" i="26"/>
  <c r="AQ26" i="26"/>
  <c r="AK26" i="26"/>
  <c r="AL26" i="26"/>
  <c r="AL71" i="26"/>
  <c r="F55" i="26"/>
  <c r="AP26" i="26"/>
  <c r="AF71" i="26"/>
  <c r="AF91" i="26" s="1"/>
  <c r="AF26" i="26"/>
  <c r="AN71" i="26"/>
  <c r="AN26" i="26"/>
  <c r="U17" i="26"/>
  <c r="V17" i="26" s="1"/>
  <c r="H15" i="26"/>
  <c r="AV17" i="26"/>
  <c r="D20" i="26"/>
  <c r="D22" i="26"/>
  <c r="R36" i="26"/>
  <c r="T41" i="26"/>
  <c r="AJ43" i="26"/>
  <c r="AJ70" i="26" s="1"/>
  <c r="AJ71" i="26" s="1"/>
  <c r="AT43" i="26"/>
  <c r="D54" i="26"/>
  <c r="D57" i="26"/>
  <c r="T60" i="26"/>
  <c r="AV76" i="26"/>
  <c r="AR24" i="26"/>
  <c r="AR25" i="26" s="1"/>
  <c r="U22" i="26"/>
  <c r="G24" i="26"/>
  <c r="H29" i="26"/>
  <c r="D36" i="26"/>
  <c r="T55" i="26"/>
  <c r="D61" i="26"/>
  <c r="V66" i="26"/>
  <c r="AG73" i="26"/>
  <c r="AG87" i="26" s="1"/>
  <c r="AV77" i="26"/>
  <c r="R77" i="26"/>
  <c r="V77" i="26" s="1"/>
  <c r="AV86" i="26"/>
  <c r="AG26" i="26"/>
  <c r="AV41" i="26"/>
  <c r="AW41" i="26" s="1"/>
  <c r="AI73" i="26"/>
  <c r="AI87" i="26" s="1"/>
  <c r="S76" i="26"/>
  <c r="T86" i="26"/>
  <c r="D65" i="26"/>
  <c r="D15" i="26"/>
  <c r="D67" i="26"/>
  <c r="D56" i="26"/>
  <c r="H68" i="26"/>
  <c r="D86" i="26"/>
  <c r="AN141" i="26"/>
  <c r="AO73" i="26"/>
  <c r="AO87" i="26" s="1"/>
  <c r="AN73" i="26"/>
  <c r="D23" i="26"/>
  <c r="D42" i="26"/>
  <c r="L20" i="26"/>
  <c r="L24" i="26" s="1"/>
  <c r="L25" i="26" s="1"/>
  <c r="K24" i="26"/>
  <c r="K25" i="26" s="1"/>
  <c r="T44" i="26"/>
  <c r="D69" i="26"/>
  <c r="V85" i="26"/>
  <c r="D29" i="26"/>
  <c r="H56" i="26"/>
  <c r="AV56" i="26"/>
  <c r="AW56" i="26" s="1"/>
  <c r="R56" i="26"/>
  <c r="V56" i="26" s="1"/>
  <c r="D60" i="26"/>
  <c r="AV79" i="26"/>
  <c r="S79" i="26"/>
  <c r="V79" i="26" s="1"/>
  <c r="K86" i="26"/>
  <c r="L86" i="26" s="1"/>
  <c r="M86" i="26" s="1"/>
  <c r="J86" i="26"/>
  <c r="AG141" i="26"/>
  <c r="AU24" i="26"/>
  <c r="AU25" i="26" s="1"/>
  <c r="AI26" i="26"/>
  <c r="D53" i="26"/>
  <c r="C25" i="26"/>
  <c r="AV22" i="26"/>
  <c r="AW22" i="26" s="1"/>
  <c r="T22" i="26"/>
  <c r="D41" i="26"/>
  <c r="D63" i="26"/>
  <c r="AO71" i="26"/>
  <c r="V61" i="26"/>
  <c r="J43" i="26"/>
  <c r="AI73" i="15"/>
  <c r="AH140" i="15"/>
  <c r="S85" i="15"/>
  <c r="R85" i="15"/>
  <c r="U90" i="15"/>
  <c r="U89" i="15"/>
  <c r="U74" i="15"/>
  <c r="U75" i="15"/>
  <c r="U76" i="15"/>
  <c r="U77" i="15"/>
  <c r="U79" i="15"/>
  <c r="U80" i="15"/>
  <c r="U81" i="15"/>
  <c r="U82" i="15"/>
  <c r="U83" i="15"/>
  <c r="U84" i="15"/>
  <c r="U69" i="15"/>
  <c r="U68" i="15"/>
  <c r="U67" i="15"/>
  <c r="U66" i="15"/>
  <c r="U65" i="15"/>
  <c r="U63" i="15"/>
  <c r="U62" i="15"/>
  <c r="U61" i="15"/>
  <c r="U59" i="15"/>
  <c r="U56" i="15"/>
  <c r="U54" i="15"/>
  <c r="U50" i="15"/>
  <c r="U42" i="15"/>
  <c r="U19" i="15"/>
  <c r="U20" i="15"/>
  <c r="U21" i="15"/>
  <c r="U15" i="15"/>
  <c r="T66" i="15"/>
  <c r="T59" i="15"/>
  <c r="T90" i="15"/>
  <c r="T89" i="15"/>
  <c r="T74" i="15"/>
  <c r="T75" i="15"/>
  <c r="T76" i="15"/>
  <c r="T77" i="15"/>
  <c r="T79" i="15"/>
  <c r="T80" i="15"/>
  <c r="T81" i="15"/>
  <c r="T82" i="15"/>
  <c r="T83" i="15"/>
  <c r="T84" i="15"/>
  <c r="T69" i="15"/>
  <c r="T68" i="15"/>
  <c r="T67" i="15"/>
  <c r="T65" i="15"/>
  <c r="T63" i="15"/>
  <c r="T62" i="15"/>
  <c r="T61" i="15"/>
  <c r="T56" i="15"/>
  <c r="T54" i="15"/>
  <c r="T50" i="15"/>
  <c r="T42" i="15"/>
  <c r="T19" i="15"/>
  <c r="T20" i="15"/>
  <c r="T21" i="15"/>
  <c r="T15" i="15"/>
  <c r="S90" i="15"/>
  <c r="S89" i="15"/>
  <c r="S74" i="15"/>
  <c r="S76" i="15"/>
  <c r="S77" i="15"/>
  <c r="S80" i="15"/>
  <c r="S81" i="15"/>
  <c r="S82" i="15"/>
  <c r="S83" i="15"/>
  <c r="S84" i="15"/>
  <c r="S69" i="15"/>
  <c r="S68" i="15"/>
  <c r="S67" i="15"/>
  <c r="S66" i="15"/>
  <c r="S65" i="15"/>
  <c r="S63" i="15"/>
  <c r="S62" i="15"/>
  <c r="S61" i="15"/>
  <c r="S60" i="15"/>
  <c r="S59" i="15"/>
  <c r="S54" i="15"/>
  <c r="S42" i="15"/>
  <c r="S19" i="15"/>
  <c r="S20" i="15"/>
  <c r="S21" i="15"/>
  <c r="S15" i="15"/>
  <c r="AG128" i="15"/>
  <c r="AE86" i="15"/>
  <c r="AF86" i="15"/>
  <c r="AG86" i="15"/>
  <c r="AH86" i="15"/>
  <c r="AK86" i="15"/>
  <c r="AL86" i="15"/>
  <c r="AM86" i="15"/>
  <c r="AN86" i="15"/>
  <c r="AO86" i="15"/>
  <c r="AD86" i="15"/>
  <c r="L119" i="24"/>
  <c r="L95" i="24"/>
  <c r="L81" i="24"/>
  <c r="M125" i="24"/>
  <c r="L125" i="24"/>
  <c r="L122" i="24"/>
  <c r="L123" i="24"/>
  <c r="L124" i="24"/>
  <c r="L121" i="24"/>
  <c r="M120" i="24"/>
  <c r="L115" i="24"/>
  <c r="L116" i="24"/>
  <c r="L117" i="24"/>
  <c r="L118" i="24"/>
  <c r="L114" i="24"/>
  <c r="L111" i="24"/>
  <c r="L112" i="24"/>
  <c r="L113" i="24"/>
  <c r="L110" i="24"/>
  <c r="M109" i="24"/>
  <c r="L108" i="24"/>
  <c r="L107" i="24"/>
  <c r="M106" i="24"/>
  <c r="L105" i="24"/>
  <c r="L104" i="24"/>
  <c r="M103" i="24"/>
  <c r="L99" i="24"/>
  <c r="L100" i="24"/>
  <c r="L101" i="24"/>
  <c r="L102" i="24"/>
  <c r="L98" i="24"/>
  <c r="M96" i="24"/>
  <c r="M97" i="24"/>
  <c r="L94" i="24"/>
  <c r="L93" i="24"/>
  <c r="L92" i="24"/>
  <c r="M91" i="24"/>
  <c r="L87" i="24"/>
  <c r="L88" i="24"/>
  <c r="L89" i="24"/>
  <c r="L90" i="24"/>
  <c r="L86" i="24"/>
  <c r="M84" i="24"/>
  <c r="M85" i="24"/>
  <c r="M83" i="24"/>
  <c r="L82" i="24"/>
  <c r="L80" i="24"/>
  <c r="M79" i="24"/>
  <c r="L78" i="24"/>
  <c r="AL22" i="15"/>
  <c r="AM22" i="15"/>
  <c r="AN22" i="15"/>
  <c r="AO22" i="15"/>
  <c r="AM55" i="15"/>
  <c r="AN55" i="15" s="1"/>
  <c r="AO55" i="15" s="1"/>
  <c r="S23" i="15"/>
  <c r="AL23" i="15"/>
  <c r="AM23" i="15"/>
  <c r="AN23" i="15"/>
  <c r="AO23" i="15"/>
  <c r="AD43" i="26" l="1"/>
  <c r="AD24" i="26"/>
  <c r="AD25" i="26" s="1"/>
  <c r="AD87" i="26"/>
  <c r="Z26" i="26"/>
  <c r="Z71" i="26"/>
  <c r="Z88" i="26" s="1"/>
  <c r="Z91" i="26" s="1"/>
  <c r="H52" i="26"/>
  <c r="H67" i="26"/>
  <c r="F20" i="26"/>
  <c r="H17" i="26"/>
  <c r="F86" i="26"/>
  <c r="H20" i="26"/>
  <c r="H42" i="26"/>
  <c r="H61" i="26"/>
  <c r="H62" i="26"/>
  <c r="H24" i="26"/>
  <c r="H86" i="26"/>
  <c r="H18" i="26"/>
  <c r="H63" i="26"/>
  <c r="H55" i="26"/>
  <c r="F41" i="26"/>
  <c r="W65" i="26"/>
  <c r="H57" i="26"/>
  <c r="F70" i="26"/>
  <c r="F69" i="26"/>
  <c r="H53" i="26"/>
  <c r="W66" i="26"/>
  <c r="F52" i="26"/>
  <c r="W58" i="26"/>
  <c r="H44" i="26"/>
  <c r="W20" i="26"/>
  <c r="H43" i="26"/>
  <c r="V44" i="26"/>
  <c r="W44" i="26" s="1"/>
  <c r="H41" i="26"/>
  <c r="H60" i="26"/>
  <c r="F62" i="26"/>
  <c r="F17" i="26"/>
  <c r="W59" i="26"/>
  <c r="H36" i="26"/>
  <c r="H65" i="26"/>
  <c r="F18" i="26"/>
  <c r="H54" i="26"/>
  <c r="W21" i="26"/>
  <c r="F65" i="26"/>
  <c r="W19" i="26"/>
  <c r="G70" i="26"/>
  <c r="H70" i="26" s="1"/>
  <c r="T73" i="26"/>
  <c r="T87" i="26" s="1"/>
  <c r="W67" i="26"/>
  <c r="AH88" i="26"/>
  <c r="AH91" i="26" s="1"/>
  <c r="AH119" i="26" s="1"/>
  <c r="AI92" i="26" s="1"/>
  <c r="F24" i="26"/>
  <c r="F60" i="26"/>
  <c r="F63" i="26"/>
  <c r="F44" i="26"/>
  <c r="E25" i="26"/>
  <c r="F25" i="26" s="1"/>
  <c r="F42" i="26"/>
  <c r="F54" i="26"/>
  <c r="I71" i="26"/>
  <c r="I91" i="26" s="1"/>
  <c r="J91" i="26" s="1"/>
  <c r="F43" i="26"/>
  <c r="G25" i="26"/>
  <c r="F53" i="26"/>
  <c r="F67" i="26"/>
  <c r="F68" i="26"/>
  <c r="M20" i="26"/>
  <c r="M24" i="26" s="1"/>
  <c r="M25" i="26" s="1"/>
  <c r="M71" i="26" s="1"/>
  <c r="M91" i="26" s="1"/>
  <c r="F36" i="26"/>
  <c r="F22" i="26"/>
  <c r="F15" i="26"/>
  <c r="D43" i="26"/>
  <c r="F56" i="26"/>
  <c r="F61" i="26"/>
  <c r="F23" i="26"/>
  <c r="F57" i="26"/>
  <c r="BF71" i="26"/>
  <c r="BF88" i="26" s="1"/>
  <c r="BF91" i="26" s="1"/>
  <c r="V29" i="26"/>
  <c r="W29" i="26" s="1"/>
  <c r="O70" i="26"/>
  <c r="P70" i="26" s="1"/>
  <c r="V86" i="26"/>
  <c r="AP88" i="26"/>
  <c r="AP91" i="26" s="1"/>
  <c r="AQ88" i="26"/>
  <c r="AQ91" i="26" s="1"/>
  <c r="W63" i="26"/>
  <c r="AR70" i="26"/>
  <c r="AR71" i="26" s="1"/>
  <c r="AR88" i="26" s="1"/>
  <c r="AR91" i="26" s="1"/>
  <c r="AS70" i="26"/>
  <c r="AS71" i="26" s="1"/>
  <c r="AS88" i="26" s="1"/>
  <c r="AS91" i="26" s="1"/>
  <c r="W50" i="26"/>
  <c r="AI88" i="26"/>
  <c r="AI91" i="26" s="1"/>
  <c r="AM88" i="26"/>
  <c r="AM91" i="26" s="1"/>
  <c r="AG88" i="26"/>
  <c r="AG91" i="26" s="1"/>
  <c r="AG119" i="26" s="1"/>
  <c r="V76" i="26"/>
  <c r="AK88" i="26"/>
  <c r="AK91" i="26" s="1"/>
  <c r="R73" i="26"/>
  <c r="R87" i="26" s="1"/>
  <c r="AL88" i="26"/>
  <c r="AL91" i="26" s="1"/>
  <c r="AJ88" i="26"/>
  <c r="AJ91" i="26" s="1"/>
  <c r="AJ119" i="26" s="1"/>
  <c r="AK92" i="26" s="1"/>
  <c r="BL87" i="26"/>
  <c r="U43" i="26"/>
  <c r="T43" i="26"/>
  <c r="V36" i="26"/>
  <c r="W36" i="26" s="1"/>
  <c r="AV43" i="26"/>
  <c r="AW43" i="26" s="1"/>
  <c r="AZ71" i="26"/>
  <c r="AZ88" i="26" s="1"/>
  <c r="AZ91" i="26" s="1"/>
  <c r="BI70" i="26"/>
  <c r="BI71" i="26" s="1"/>
  <c r="BI88" i="26" s="1"/>
  <c r="BI91" i="26" s="1"/>
  <c r="BH70" i="26"/>
  <c r="BH71" i="26" s="1"/>
  <c r="BH88" i="26" s="1"/>
  <c r="BH91" i="26" s="1"/>
  <c r="BL60" i="26"/>
  <c r="BM60" i="26" s="1"/>
  <c r="W56" i="26"/>
  <c r="W42" i="26"/>
  <c r="W68" i="26"/>
  <c r="W62" i="26"/>
  <c r="W18" i="26"/>
  <c r="W61" i="26"/>
  <c r="W54" i="26"/>
  <c r="W23" i="26"/>
  <c r="W69" i="26"/>
  <c r="W15" i="26"/>
  <c r="BG71" i="26"/>
  <c r="BG88" i="26" s="1"/>
  <c r="BG91" i="26" s="1"/>
  <c r="BB43" i="26"/>
  <c r="BB70" i="26" s="1"/>
  <c r="BB71" i="26" s="1"/>
  <c r="BB88" i="26" s="1"/>
  <c r="BB91" i="26" s="1"/>
  <c r="BE71" i="26"/>
  <c r="BE88" i="26" s="1"/>
  <c r="BE91" i="26" s="1"/>
  <c r="BL24" i="26"/>
  <c r="V22" i="26"/>
  <c r="BD71" i="26"/>
  <c r="BD88" i="26" s="1"/>
  <c r="BD91" i="26" s="1"/>
  <c r="BK70" i="26"/>
  <c r="BK71" i="26" s="1"/>
  <c r="BK88" i="26" s="1"/>
  <c r="BK91" i="26" s="1"/>
  <c r="BL43" i="26"/>
  <c r="BM43" i="26" s="1"/>
  <c r="BC71" i="26"/>
  <c r="BC88" i="26" s="1"/>
  <c r="BC91" i="26" s="1"/>
  <c r="BC26" i="26"/>
  <c r="BI26" i="26"/>
  <c r="BH26" i="26"/>
  <c r="BA71" i="26"/>
  <c r="BA88" i="26" s="1"/>
  <c r="BA91" i="26" s="1"/>
  <c r="BL52" i="26"/>
  <c r="BM52" i="26" s="1"/>
  <c r="BJ70" i="26"/>
  <c r="BJ71" i="26" s="1"/>
  <c r="BJ88" i="26" s="1"/>
  <c r="BJ91" i="26" s="1"/>
  <c r="C71" i="26"/>
  <c r="D25" i="26"/>
  <c r="AN87" i="26"/>
  <c r="AN88" i="26" s="1"/>
  <c r="AN91" i="26" s="1"/>
  <c r="S73" i="26"/>
  <c r="AR26" i="26"/>
  <c r="AW17" i="26"/>
  <c r="AV24" i="26"/>
  <c r="T24" i="26"/>
  <c r="T25" i="26" s="1"/>
  <c r="AO88" i="26"/>
  <c r="AO91" i="26" s="1"/>
  <c r="U24" i="26"/>
  <c r="U25" i="26" s="1"/>
  <c r="V41" i="26"/>
  <c r="W41" i="26" s="1"/>
  <c r="T53" i="26"/>
  <c r="S71" i="26"/>
  <c r="S26" i="26"/>
  <c r="W17" i="26"/>
  <c r="AV73" i="26"/>
  <c r="AV87" i="26" s="1"/>
  <c r="AU26" i="26"/>
  <c r="K26" i="26"/>
  <c r="K71" i="26"/>
  <c r="K91" i="26" s="1"/>
  <c r="R43" i="26"/>
  <c r="R70" i="26" s="1"/>
  <c r="R71" i="26" s="1"/>
  <c r="L26" i="26"/>
  <c r="L71" i="26"/>
  <c r="L91" i="26" s="1"/>
  <c r="R86" i="15"/>
  <c r="AG140" i="15"/>
  <c r="AH73" i="15"/>
  <c r="U22" i="15"/>
  <c r="U23" i="15"/>
  <c r="T23" i="15"/>
  <c r="U86" i="15"/>
  <c r="T86" i="15"/>
  <c r="S86" i="15"/>
  <c r="T55" i="15"/>
  <c r="S55" i="15"/>
  <c r="U55" i="15"/>
  <c r="S56" i="15"/>
  <c r="T22" i="15"/>
  <c r="R92" i="15"/>
  <c r="V92" i="15" s="1"/>
  <c r="R90" i="15"/>
  <c r="V90" i="15" s="1"/>
  <c r="R89" i="15"/>
  <c r="V89" i="15" s="1"/>
  <c r="R74" i="15"/>
  <c r="V74" i="15" s="1"/>
  <c r="R75" i="15"/>
  <c r="R76" i="15"/>
  <c r="V76" i="15" s="1"/>
  <c r="R77" i="15"/>
  <c r="V77" i="15" s="1"/>
  <c r="R79" i="15"/>
  <c r="R80" i="15"/>
  <c r="V80" i="15" s="1"/>
  <c r="R81" i="15"/>
  <c r="V81" i="15" s="1"/>
  <c r="R82" i="15"/>
  <c r="V82" i="15" s="1"/>
  <c r="R83" i="15"/>
  <c r="V83" i="15" s="1"/>
  <c r="R84" i="15"/>
  <c r="V84" i="15" s="1"/>
  <c r="AF128" i="15"/>
  <c r="R60" i="15"/>
  <c r="R61" i="15"/>
  <c r="V61" i="15" s="1"/>
  <c r="R62" i="15"/>
  <c r="V62" i="15" s="1"/>
  <c r="R63" i="15"/>
  <c r="V63" i="15" s="1"/>
  <c r="R65" i="15"/>
  <c r="V65" i="15" s="1"/>
  <c r="R66" i="15"/>
  <c r="V66" i="15" s="1"/>
  <c r="R67" i="15"/>
  <c r="V67" i="15" s="1"/>
  <c r="R68" i="15"/>
  <c r="V68" i="15" s="1"/>
  <c r="R69" i="15"/>
  <c r="V69" i="15" s="1"/>
  <c r="R53" i="15"/>
  <c r="R54" i="15"/>
  <c r="V54" i="15" s="1"/>
  <c r="R55" i="15"/>
  <c r="R58" i="15"/>
  <c r="R59" i="15"/>
  <c r="V59" i="15" s="1"/>
  <c r="R42" i="15"/>
  <c r="V42" i="15" s="1"/>
  <c r="R41" i="15"/>
  <c r="R18" i="15"/>
  <c r="R19" i="15"/>
  <c r="V19" i="15" s="1"/>
  <c r="R20" i="15"/>
  <c r="R21" i="15"/>
  <c r="V21" i="15" s="1"/>
  <c r="R22" i="15"/>
  <c r="R23" i="15"/>
  <c r="R17" i="15"/>
  <c r="R15" i="15"/>
  <c r="V15" i="15" s="1"/>
  <c r="N87" i="15"/>
  <c r="X140" i="15"/>
  <c r="Z24" i="15"/>
  <c r="Z25" i="15" s="1"/>
  <c r="AA24" i="15"/>
  <c r="AA25" i="15" s="1"/>
  <c r="AB24" i="15"/>
  <c r="AB25" i="15" s="1"/>
  <c r="AC24" i="15"/>
  <c r="AC25" i="15" s="1"/>
  <c r="AC26" i="15" s="1"/>
  <c r="AB30" i="15"/>
  <c r="AC30" i="15"/>
  <c r="AB31" i="15"/>
  <c r="AC31" i="15"/>
  <c r="AB32" i="15"/>
  <c r="AC32" i="15"/>
  <c r="AB33" i="15"/>
  <c r="AC33" i="15"/>
  <c r="AB34" i="15"/>
  <c r="AC34" i="15"/>
  <c r="AB35" i="15"/>
  <c r="AC35" i="15"/>
  <c r="Z43" i="15"/>
  <c r="Z70" i="15" s="1"/>
  <c r="AA43" i="15"/>
  <c r="AA70" i="15" s="1"/>
  <c r="AB43" i="15"/>
  <c r="AC43" i="15"/>
  <c r="AB44" i="15"/>
  <c r="AC44" i="15"/>
  <c r="AB69" i="15"/>
  <c r="Z87" i="15"/>
  <c r="AB90" i="15"/>
  <c r="Z128" i="15"/>
  <c r="Z140" i="15" s="1"/>
  <c r="AA128" i="15"/>
  <c r="AA140" i="15" s="1"/>
  <c r="AB128" i="15"/>
  <c r="AC128" i="15"/>
  <c r="AC140" i="15" s="1"/>
  <c r="V105" i="15"/>
  <c r="V50" i="15"/>
  <c r="O53" i="15"/>
  <c r="O54" i="15"/>
  <c r="O55" i="15"/>
  <c r="O56" i="15"/>
  <c r="O57" i="15"/>
  <c r="O58" i="15"/>
  <c r="O59" i="15"/>
  <c r="O60" i="15"/>
  <c r="O61" i="15"/>
  <c r="O62" i="15"/>
  <c r="O63" i="15"/>
  <c r="O64" i="15"/>
  <c r="O65" i="15"/>
  <c r="O66" i="15"/>
  <c r="O67" i="15"/>
  <c r="O68" i="15"/>
  <c r="O69" i="15"/>
  <c r="O52" i="15"/>
  <c r="O50" i="15"/>
  <c r="O44" i="15"/>
  <c r="O29" i="15"/>
  <c r="J20" i="15"/>
  <c r="J22" i="15"/>
  <c r="J19" i="15"/>
  <c r="O18" i="15"/>
  <c r="O19" i="15"/>
  <c r="O21" i="15"/>
  <c r="O22" i="15"/>
  <c r="O23" i="15"/>
  <c r="O17" i="15"/>
  <c r="O15" i="15"/>
  <c r="J67" i="15"/>
  <c r="J65" i="15"/>
  <c r="AE128" i="15"/>
  <c r="AD128" i="15"/>
  <c r="AP105" i="15"/>
  <c r="O105" i="15"/>
  <c r="AP86" i="15"/>
  <c r="I86" i="15"/>
  <c r="G86" i="15"/>
  <c r="E86" i="15"/>
  <c r="C86" i="15"/>
  <c r="AP84" i="15"/>
  <c r="AP83" i="15"/>
  <c r="AP82" i="15"/>
  <c r="AP81" i="15"/>
  <c r="AP80" i="15"/>
  <c r="AI79" i="15"/>
  <c r="AP76" i="15"/>
  <c r="AH75" i="15"/>
  <c r="AG75" i="15"/>
  <c r="AP74" i="15"/>
  <c r="AL87" i="15"/>
  <c r="AK87" i="15"/>
  <c r="AP69" i="15"/>
  <c r="E69" i="15"/>
  <c r="AP68" i="15"/>
  <c r="G68" i="15"/>
  <c r="E68" i="15"/>
  <c r="C68" i="15"/>
  <c r="AP67" i="15"/>
  <c r="AP66" i="15"/>
  <c r="AP65" i="15"/>
  <c r="AP64" i="15"/>
  <c r="AP63" i="15"/>
  <c r="G63" i="15"/>
  <c r="E63" i="15"/>
  <c r="C63" i="15"/>
  <c r="AP62" i="15"/>
  <c r="G62" i="15"/>
  <c r="E62" i="15"/>
  <c r="C62" i="15"/>
  <c r="AP61" i="15"/>
  <c r="G61" i="15"/>
  <c r="E61" i="15"/>
  <c r="C61" i="15"/>
  <c r="AJ60" i="15"/>
  <c r="G60" i="15"/>
  <c r="E60" i="15"/>
  <c r="C60" i="15"/>
  <c r="AP59" i="15"/>
  <c r="U58" i="15"/>
  <c r="G57" i="15"/>
  <c r="E57" i="15"/>
  <c r="C57" i="15"/>
  <c r="AE56" i="15"/>
  <c r="R56" i="15" s="1"/>
  <c r="G56" i="15"/>
  <c r="E56" i="15"/>
  <c r="C56" i="15"/>
  <c r="AP55" i="15"/>
  <c r="G55" i="15"/>
  <c r="E55" i="15"/>
  <c r="C55" i="15"/>
  <c r="AP54" i="15"/>
  <c r="G54" i="15"/>
  <c r="E54" i="15"/>
  <c r="G53" i="15"/>
  <c r="E53" i="15"/>
  <c r="AD52" i="15"/>
  <c r="R52" i="15" s="1"/>
  <c r="G52" i="15"/>
  <c r="E52" i="15"/>
  <c r="C52" i="15"/>
  <c r="AO44" i="15"/>
  <c r="AN44" i="15"/>
  <c r="AM44" i="15"/>
  <c r="AL44" i="15"/>
  <c r="T44" i="15"/>
  <c r="AG44" i="15"/>
  <c r="AE44" i="15"/>
  <c r="AD44" i="15"/>
  <c r="G44" i="15"/>
  <c r="E44" i="15"/>
  <c r="C44" i="15"/>
  <c r="AP42" i="15"/>
  <c r="G42" i="15"/>
  <c r="E42" i="15"/>
  <c r="C42" i="15"/>
  <c r="G41" i="15"/>
  <c r="E41" i="15"/>
  <c r="C41" i="15"/>
  <c r="AO36" i="15"/>
  <c r="AN36" i="15"/>
  <c r="AM36" i="15"/>
  <c r="AL36" i="15"/>
  <c r="S36" i="15"/>
  <c r="AE36" i="15"/>
  <c r="AD36" i="15"/>
  <c r="G36" i="15"/>
  <c r="E36" i="15"/>
  <c r="C36" i="15"/>
  <c r="AI32" i="15"/>
  <c r="AH32" i="15"/>
  <c r="AG32" i="15"/>
  <c r="AF32" i="15"/>
  <c r="AE31" i="15"/>
  <c r="AD31" i="15"/>
  <c r="AD30" i="15"/>
  <c r="G29" i="15"/>
  <c r="E29" i="15"/>
  <c r="C29" i="15"/>
  <c r="AE24" i="15"/>
  <c r="AE25" i="15" s="1"/>
  <c r="AD24" i="15"/>
  <c r="AD25" i="15" s="1"/>
  <c r="G23" i="15"/>
  <c r="S22" i="15"/>
  <c r="AP21" i="15"/>
  <c r="AP20" i="15"/>
  <c r="G20" i="15"/>
  <c r="E20" i="15"/>
  <c r="C20" i="15"/>
  <c r="AP19" i="15"/>
  <c r="AO18" i="15"/>
  <c r="AN18" i="15"/>
  <c r="AM18" i="15"/>
  <c r="AL18" i="15"/>
  <c r="S18" i="15"/>
  <c r="G18" i="15"/>
  <c r="E18" i="15"/>
  <c r="C18" i="15"/>
  <c r="U17" i="15"/>
  <c r="T17" i="15"/>
  <c r="G17" i="15"/>
  <c r="C17" i="15"/>
  <c r="AP15" i="15"/>
  <c r="G14" i="15"/>
  <c r="E14" i="15"/>
  <c r="C14" i="15"/>
  <c r="G13" i="15"/>
  <c r="E13" i="15"/>
  <c r="C13" i="15"/>
  <c r="G12" i="15"/>
  <c r="E12" i="15"/>
  <c r="C12" i="15"/>
  <c r="AP11" i="15"/>
  <c r="AP10" i="15"/>
  <c r="AP9" i="15"/>
  <c r="AP8" i="15"/>
  <c r="AP7" i="15"/>
  <c r="N93" i="14"/>
  <c r="N74" i="14"/>
  <c r="N17" i="14"/>
  <c r="N95" i="14" s="1"/>
  <c r="J17" i="14"/>
  <c r="G22" i="14"/>
  <c r="AD44" i="26" l="1"/>
  <c r="M26" i="26"/>
  <c r="AI119" i="26"/>
  <c r="G71" i="26"/>
  <c r="G91" i="26" s="1"/>
  <c r="H91" i="26" s="1"/>
  <c r="V24" i="26"/>
  <c r="V25" i="26" s="1"/>
  <c r="W22" i="26"/>
  <c r="E71" i="26"/>
  <c r="E91" i="26" s="1"/>
  <c r="F91" i="26" s="1"/>
  <c r="N20" i="26"/>
  <c r="N24" i="26" s="1"/>
  <c r="N25" i="26" s="1"/>
  <c r="N26" i="26" s="1"/>
  <c r="O20" i="26"/>
  <c r="P20" i="26" s="1"/>
  <c r="H25" i="26"/>
  <c r="J71" i="26"/>
  <c r="BL25" i="26"/>
  <c r="BM25" i="26" s="1"/>
  <c r="BM24" i="26"/>
  <c r="U55" i="26"/>
  <c r="V55" i="26" s="1"/>
  <c r="W55" i="26" s="1"/>
  <c r="AV53" i="26"/>
  <c r="AW53" i="26" s="1"/>
  <c r="U53" i="26"/>
  <c r="V53" i="26" s="1"/>
  <c r="W53" i="26" s="1"/>
  <c r="R88" i="26"/>
  <c r="R91" i="26" s="1"/>
  <c r="R119" i="26" s="1"/>
  <c r="S92" i="26" s="1"/>
  <c r="AK119" i="26"/>
  <c r="AL92" i="26" s="1"/>
  <c r="AL119" i="26" s="1"/>
  <c r="AM92" i="26" s="1"/>
  <c r="AM119" i="26" s="1"/>
  <c r="AN92" i="26" s="1"/>
  <c r="AN119" i="26" s="1"/>
  <c r="AO92" i="26" s="1"/>
  <c r="AO119" i="26" s="1"/>
  <c r="AP92" i="26" s="1"/>
  <c r="AP119" i="26" s="1"/>
  <c r="AQ92" i="26" s="1"/>
  <c r="AQ119" i="26" s="1"/>
  <c r="AR92" i="26" s="1"/>
  <c r="AR119" i="26" s="1"/>
  <c r="AS92" i="26" s="1"/>
  <c r="AS119" i="26" s="1"/>
  <c r="AT92" i="26" s="1"/>
  <c r="BL70" i="26"/>
  <c r="AV55" i="26"/>
  <c r="AW55" i="26" s="1"/>
  <c r="U26" i="26"/>
  <c r="AW24" i="26"/>
  <c r="AV25" i="26"/>
  <c r="AV60" i="26"/>
  <c r="AW60" i="26" s="1"/>
  <c r="U60" i="26"/>
  <c r="V60" i="26" s="1"/>
  <c r="W60" i="26" s="1"/>
  <c r="V43" i="26"/>
  <c r="AT70" i="26"/>
  <c r="AT71" i="26" s="1"/>
  <c r="AT88" i="26" s="1"/>
  <c r="AT91" i="26" s="1"/>
  <c r="AV52" i="26"/>
  <c r="T70" i="26"/>
  <c r="T71" i="26" s="1"/>
  <c r="T88" i="26" s="1"/>
  <c r="T91" i="26" s="1"/>
  <c r="T26" i="26"/>
  <c r="S87" i="26"/>
  <c r="S88" i="26" s="1"/>
  <c r="S91" i="26" s="1"/>
  <c r="V73" i="26"/>
  <c r="V87" i="26" s="1"/>
  <c r="D71" i="26"/>
  <c r="C91" i="26"/>
  <c r="D91" i="26" s="1"/>
  <c r="AD140" i="15"/>
  <c r="AE73" i="15"/>
  <c r="AE87" i="15" s="1"/>
  <c r="AE140" i="15"/>
  <c r="AF73" i="15"/>
  <c r="AF87" i="15" s="1"/>
  <c r="AF140" i="15"/>
  <c r="AG73" i="15"/>
  <c r="AG87" i="15" s="1"/>
  <c r="V23" i="15"/>
  <c r="W23" i="15" s="1"/>
  <c r="T18" i="15"/>
  <c r="S58" i="15"/>
  <c r="S79" i="15"/>
  <c r="V79" i="15" s="1"/>
  <c r="V86" i="15"/>
  <c r="V56" i="15"/>
  <c r="W56" i="15" s="1"/>
  <c r="S75" i="15"/>
  <c r="V75" i="15" s="1"/>
  <c r="AO87" i="15"/>
  <c r="T85" i="15"/>
  <c r="U44" i="15"/>
  <c r="AM87" i="15"/>
  <c r="U73" i="15"/>
  <c r="U36" i="15"/>
  <c r="S44" i="15"/>
  <c r="T58" i="15"/>
  <c r="V22" i="15"/>
  <c r="S17" i="15"/>
  <c r="V17" i="15" s="1"/>
  <c r="W17" i="15" s="1"/>
  <c r="U18" i="15"/>
  <c r="V55" i="15"/>
  <c r="W55" i="15" s="1"/>
  <c r="AM60" i="15"/>
  <c r="T60" i="15"/>
  <c r="AJ87" i="15"/>
  <c r="T73" i="15"/>
  <c r="T36" i="15"/>
  <c r="S52" i="15"/>
  <c r="AQ42" i="15"/>
  <c r="R36" i="15"/>
  <c r="P22" i="15"/>
  <c r="R44" i="15"/>
  <c r="AB70" i="15"/>
  <c r="AB71" i="15" s="1"/>
  <c r="AC70" i="15"/>
  <c r="AC71" i="15" s="1"/>
  <c r="AC73" i="15"/>
  <c r="AC87" i="15" s="1"/>
  <c r="AB73" i="15"/>
  <c r="AB87" i="15" s="1"/>
  <c r="AB26" i="15"/>
  <c r="AA26" i="15"/>
  <c r="AA71" i="15"/>
  <c r="Z26" i="15"/>
  <c r="Z71" i="15"/>
  <c r="Z91" i="15" s="1"/>
  <c r="AA73" i="15"/>
  <c r="AA87" i="15" s="1"/>
  <c r="AB140" i="15"/>
  <c r="W50" i="15"/>
  <c r="P50" i="15"/>
  <c r="W68" i="15"/>
  <c r="W42" i="15"/>
  <c r="W69" i="15"/>
  <c r="W54" i="15"/>
  <c r="W62" i="15"/>
  <c r="W63" i="15"/>
  <c r="W57" i="15"/>
  <c r="W61" i="15"/>
  <c r="W15" i="15"/>
  <c r="AE43" i="15"/>
  <c r="AE70" i="15" s="1"/>
  <c r="AE71" i="15" s="1"/>
  <c r="AQ68" i="15"/>
  <c r="G15" i="15"/>
  <c r="H15" i="15" s="1"/>
  <c r="E15" i="15"/>
  <c r="F54" i="15" s="1"/>
  <c r="AK24" i="15"/>
  <c r="AK25" i="15" s="1"/>
  <c r="AK26" i="15" s="1"/>
  <c r="AM24" i="15"/>
  <c r="AM25" i="15" s="1"/>
  <c r="AM26" i="15" s="1"/>
  <c r="C43" i="15"/>
  <c r="C70" i="15" s="1"/>
  <c r="AI87" i="15"/>
  <c r="AJ24" i="15"/>
  <c r="AJ25" i="15" s="1"/>
  <c r="AJ26" i="15" s="1"/>
  <c r="AL24" i="15"/>
  <c r="AL25" i="15" s="1"/>
  <c r="AL26" i="15" s="1"/>
  <c r="AD73" i="15"/>
  <c r="AE26" i="15"/>
  <c r="AQ8" i="15"/>
  <c r="AP22" i="15"/>
  <c r="AP36" i="15"/>
  <c r="AQ36" i="15" s="1"/>
  <c r="AH87" i="15"/>
  <c r="C15" i="15"/>
  <c r="D69" i="15" s="1"/>
  <c r="O41" i="15"/>
  <c r="AP58" i="15"/>
  <c r="AQ58" i="15" s="1"/>
  <c r="AP75" i="15"/>
  <c r="AG24" i="15"/>
  <c r="AG25" i="15" s="1"/>
  <c r="AG26" i="15" s="1"/>
  <c r="AO24" i="15"/>
  <c r="AO25" i="15" s="1"/>
  <c r="AO26" i="15" s="1"/>
  <c r="AH24" i="15"/>
  <c r="AH25" i="15" s="1"/>
  <c r="AH26" i="15" s="1"/>
  <c r="AG43" i="15"/>
  <c r="AG70" i="15" s="1"/>
  <c r="AP56" i="15"/>
  <c r="AQ56" i="15" s="1"/>
  <c r="AI24" i="15"/>
  <c r="AI25" i="15" s="1"/>
  <c r="AI26" i="15" s="1"/>
  <c r="AP23" i="15"/>
  <c r="AQ23" i="15" s="1"/>
  <c r="P15" i="15"/>
  <c r="L43" i="15"/>
  <c r="AP79" i="15"/>
  <c r="AQ7" i="15"/>
  <c r="AP17" i="15"/>
  <c r="AQ63" i="15"/>
  <c r="AQ15" i="15"/>
  <c r="P29" i="15"/>
  <c r="AQ10" i="15"/>
  <c r="AF24" i="15"/>
  <c r="AF25" i="15" s="1"/>
  <c r="AF26" i="15" s="1"/>
  <c r="AN24" i="15"/>
  <c r="AN25" i="15" s="1"/>
  <c r="AN26" i="15" s="1"/>
  <c r="AQ20" i="15"/>
  <c r="AQ54" i="15"/>
  <c r="K86" i="15"/>
  <c r="AQ9" i="15"/>
  <c r="AD26" i="15"/>
  <c r="AQ62" i="15"/>
  <c r="AQ55" i="15"/>
  <c r="AQ59" i="15"/>
  <c r="AL41" i="15"/>
  <c r="E24" i="15"/>
  <c r="AQ11" i="15"/>
  <c r="G24" i="15"/>
  <c r="C24" i="15"/>
  <c r="AP18" i="15"/>
  <c r="AQ18" i="15" s="1"/>
  <c r="M43" i="15"/>
  <c r="O42" i="15"/>
  <c r="AP44" i="15"/>
  <c r="N43" i="15"/>
  <c r="O36" i="15"/>
  <c r="AQ69" i="15"/>
  <c r="E43" i="15"/>
  <c r="AQ61" i="15"/>
  <c r="G43" i="15"/>
  <c r="K43" i="15"/>
  <c r="M93" i="14"/>
  <c r="M74" i="14"/>
  <c r="M17" i="14"/>
  <c r="L37" i="14"/>
  <c r="L93" i="14"/>
  <c r="L74" i="14"/>
  <c r="L17" i="14"/>
  <c r="AF124" i="2"/>
  <c r="AF135" i="2" s="1"/>
  <c r="AF25" i="2"/>
  <c r="AE51" i="2"/>
  <c r="N71" i="26" l="1"/>
  <c r="N88" i="26" s="1"/>
  <c r="N91" i="26" s="1"/>
  <c r="N119" i="26" s="1"/>
  <c r="O24" i="26"/>
  <c r="P24" i="26" s="1"/>
  <c r="H71" i="26"/>
  <c r="F71" i="26"/>
  <c r="W24" i="26"/>
  <c r="S119" i="26"/>
  <c r="T92" i="26" s="1"/>
  <c r="T119" i="26" s="1"/>
  <c r="U92" i="26" s="1"/>
  <c r="BL71" i="26"/>
  <c r="BM70" i="26"/>
  <c r="O25" i="26"/>
  <c r="W43" i="26"/>
  <c r="AW52" i="26"/>
  <c r="AV70" i="26"/>
  <c r="AW70" i="26" s="1"/>
  <c r="AW25" i="26"/>
  <c r="AT119" i="26"/>
  <c r="AU92" i="26" s="1"/>
  <c r="AU70" i="26"/>
  <c r="AU71" i="26" s="1"/>
  <c r="AU88" i="26" s="1"/>
  <c r="AU91" i="26" s="1"/>
  <c r="U52" i="26"/>
  <c r="W25" i="26"/>
  <c r="V18" i="15"/>
  <c r="W18" i="15" s="1"/>
  <c r="S73" i="15"/>
  <c r="AN87" i="15"/>
  <c r="U85" i="15"/>
  <c r="V85" i="15" s="1"/>
  <c r="V58" i="15"/>
  <c r="T29" i="15"/>
  <c r="AP85" i="15"/>
  <c r="V44" i="15"/>
  <c r="W44" i="15" s="1"/>
  <c r="V36" i="15"/>
  <c r="W36" i="15" s="1"/>
  <c r="AE88" i="15"/>
  <c r="AE91" i="15" s="1"/>
  <c r="AM41" i="15"/>
  <c r="AM43" i="15" s="1"/>
  <c r="U29" i="15"/>
  <c r="S29" i="15"/>
  <c r="AN60" i="15"/>
  <c r="AO41" i="15"/>
  <c r="AO43" i="15" s="1"/>
  <c r="AN41" i="15"/>
  <c r="AN43" i="15" s="1"/>
  <c r="AI43" i="15"/>
  <c r="AI70" i="15" s="1"/>
  <c r="AI71" i="15" s="1"/>
  <c r="AD87" i="15"/>
  <c r="R73" i="15"/>
  <c r="H44" i="15"/>
  <c r="AB88" i="15"/>
  <c r="AB91" i="15" s="1"/>
  <c r="AB119" i="15" s="1"/>
  <c r="AC92" i="15" s="1"/>
  <c r="AC88" i="15"/>
  <c r="AC91" i="15" s="1"/>
  <c r="AD43" i="15"/>
  <c r="AD70" i="15" s="1"/>
  <c r="AD71" i="15" s="1"/>
  <c r="R29" i="15"/>
  <c r="AA88" i="15"/>
  <c r="AA91" i="15" s="1"/>
  <c r="AA119" i="15" s="1"/>
  <c r="H63" i="15"/>
  <c r="H52" i="15"/>
  <c r="D42" i="15"/>
  <c r="H65" i="15"/>
  <c r="H61" i="15"/>
  <c r="H55" i="15"/>
  <c r="H86" i="15"/>
  <c r="H56" i="15"/>
  <c r="D62" i="15"/>
  <c r="D23" i="15"/>
  <c r="D55" i="15"/>
  <c r="D29" i="15"/>
  <c r="D36" i="15"/>
  <c r="D41" i="15"/>
  <c r="D57" i="15"/>
  <c r="D56" i="15"/>
  <c r="D60" i="15"/>
  <c r="D86" i="15"/>
  <c r="F23" i="15"/>
  <c r="D70" i="15"/>
  <c r="D52" i="15"/>
  <c r="H68" i="15"/>
  <c r="H62" i="15"/>
  <c r="H23" i="15"/>
  <c r="H41" i="15"/>
  <c r="H20" i="15"/>
  <c r="AG71" i="15"/>
  <c r="H57" i="15"/>
  <c r="H18" i="15"/>
  <c r="F65" i="15"/>
  <c r="F22" i="15"/>
  <c r="D53" i="15"/>
  <c r="D22" i="15"/>
  <c r="H36" i="15"/>
  <c r="P42" i="15"/>
  <c r="P60" i="15"/>
  <c r="P69" i="15"/>
  <c r="P36" i="15"/>
  <c r="P41" i="15"/>
  <c r="F52" i="15"/>
  <c r="F15" i="15"/>
  <c r="F42" i="15"/>
  <c r="F86" i="15"/>
  <c r="F62" i="15"/>
  <c r="H60" i="15"/>
  <c r="F41" i="15"/>
  <c r="F36" i="15"/>
  <c r="F57" i="15"/>
  <c r="F29" i="15"/>
  <c r="F24" i="15"/>
  <c r="H54" i="15"/>
  <c r="F56" i="15"/>
  <c r="H42" i="15"/>
  <c r="F44" i="15"/>
  <c r="D18" i="15"/>
  <c r="F20" i="15"/>
  <c r="H53" i="15"/>
  <c r="F60" i="15"/>
  <c r="D17" i="15"/>
  <c r="F67" i="15"/>
  <c r="F17" i="15"/>
  <c r="H67" i="15"/>
  <c r="H69" i="15"/>
  <c r="P68" i="15"/>
  <c r="H29" i="15"/>
  <c r="H17" i="15"/>
  <c r="H24" i="15"/>
  <c r="F63" i="15"/>
  <c r="D15" i="15"/>
  <c r="F61" i="15"/>
  <c r="F68" i="15"/>
  <c r="F53" i="15"/>
  <c r="F69" i="15"/>
  <c r="F55" i="15"/>
  <c r="F18" i="15"/>
  <c r="D43" i="15"/>
  <c r="AP73" i="15"/>
  <c r="P44" i="15"/>
  <c r="D24" i="15"/>
  <c r="D44" i="15"/>
  <c r="D61" i="15"/>
  <c r="P62" i="15"/>
  <c r="D20" i="15"/>
  <c r="D68" i="15"/>
  <c r="P52" i="15"/>
  <c r="D54" i="15"/>
  <c r="P53" i="15"/>
  <c r="D63" i="15"/>
  <c r="AF43" i="15"/>
  <c r="AF70" i="15" s="1"/>
  <c r="AF71" i="15" s="1"/>
  <c r="D65" i="15"/>
  <c r="D67" i="15"/>
  <c r="J15" i="15"/>
  <c r="J55" i="15"/>
  <c r="J44" i="15"/>
  <c r="J61" i="15"/>
  <c r="J56" i="15"/>
  <c r="J52" i="15"/>
  <c r="J18" i="15"/>
  <c r="J86" i="15"/>
  <c r="J57" i="15"/>
  <c r="J63" i="15"/>
  <c r="J41" i="15"/>
  <c r="J42" i="15"/>
  <c r="J68" i="15"/>
  <c r="J36" i="15"/>
  <c r="AK43" i="15"/>
  <c r="G25" i="15"/>
  <c r="AQ44" i="15"/>
  <c r="I24" i="15"/>
  <c r="J24" i="15" s="1"/>
  <c r="J17" i="15"/>
  <c r="E25" i="15"/>
  <c r="AP24" i="15"/>
  <c r="AQ17" i="15"/>
  <c r="H43" i="15"/>
  <c r="G70" i="15"/>
  <c r="H70" i="15" s="1"/>
  <c r="L86" i="15"/>
  <c r="M86" i="15" s="1"/>
  <c r="C25" i="15"/>
  <c r="J54" i="15"/>
  <c r="K70" i="15"/>
  <c r="J69" i="15"/>
  <c r="O43" i="15"/>
  <c r="J53" i="15"/>
  <c r="AL43" i="15"/>
  <c r="J62" i="15"/>
  <c r="AP29" i="15"/>
  <c r="I43" i="15"/>
  <c r="J29" i="15"/>
  <c r="J23" i="15"/>
  <c r="E70" i="15"/>
  <c r="F70" i="15" s="1"/>
  <c r="F43" i="15"/>
  <c r="J60" i="15"/>
  <c r="K20" i="15"/>
  <c r="M95" i="14"/>
  <c r="L95" i="14"/>
  <c r="G74" i="14"/>
  <c r="G93" i="14"/>
  <c r="G17" i="14"/>
  <c r="F23" i="14"/>
  <c r="F67" i="14"/>
  <c r="F25" i="14"/>
  <c r="F17" i="14"/>
  <c r="E25" i="14"/>
  <c r="D22" i="14"/>
  <c r="D25" i="14"/>
  <c r="D82" i="14"/>
  <c r="D93" i="14" s="1"/>
  <c r="F93" i="14"/>
  <c r="E93" i="14"/>
  <c r="E17" i="14"/>
  <c r="D17" i="14"/>
  <c r="AF83" i="2"/>
  <c r="AG83" i="2"/>
  <c r="AH83" i="2"/>
  <c r="AI83" i="2"/>
  <c r="AJ83" i="2"/>
  <c r="AK83" i="2"/>
  <c r="AL83" i="2"/>
  <c r="AM83" i="2"/>
  <c r="AN83" i="2"/>
  <c r="AO83" i="2"/>
  <c r="AP83" i="2"/>
  <c r="AR58" i="2"/>
  <c r="AN72" i="2"/>
  <c r="AO72" i="2"/>
  <c r="AP72" i="2"/>
  <c r="AM72" i="2"/>
  <c r="AH72" i="2"/>
  <c r="AI72" i="2"/>
  <c r="AJ72" i="2"/>
  <c r="AK72" i="2"/>
  <c r="AL72" i="2"/>
  <c r="AG72" i="2"/>
  <c r="AI57" i="2"/>
  <c r="AJ57" i="2"/>
  <c r="AK57" i="2"/>
  <c r="AL57" i="2"/>
  <c r="AM57" i="2"/>
  <c r="AN57" i="2"/>
  <c r="AO57" i="2"/>
  <c r="AP57" i="2"/>
  <c r="AH57" i="2"/>
  <c r="AG57" i="2"/>
  <c r="AF55" i="2"/>
  <c r="AM55" i="2"/>
  <c r="AN55" i="2"/>
  <c r="AO55" i="2"/>
  <c r="AP55" i="2"/>
  <c r="AL55" i="2"/>
  <c r="AH55" i="2"/>
  <c r="AI55" i="2"/>
  <c r="AJ55" i="2"/>
  <c r="AK55" i="2"/>
  <c r="AG55" i="2"/>
  <c r="AL43" i="2"/>
  <c r="AM43" i="2"/>
  <c r="AN43" i="2"/>
  <c r="AO43" i="2"/>
  <c r="AP43" i="2"/>
  <c r="AJ43" i="2"/>
  <c r="AK43" i="2"/>
  <c r="AG43" i="2"/>
  <c r="AH43" i="2"/>
  <c r="AG22" i="2"/>
  <c r="AH22" i="2"/>
  <c r="AI22" i="2"/>
  <c r="AJ22" i="2"/>
  <c r="AK22" i="2"/>
  <c r="AL22" i="2"/>
  <c r="AM22" i="2"/>
  <c r="AN22" i="2"/>
  <c r="AO22" i="2"/>
  <c r="AP22" i="2"/>
  <c r="AG21" i="2"/>
  <c r="AH21" i="2"/>
  <c r="AI21" i="2"/>
  <c r="AJ21" i="2"/>
  <c r="AK21" i="2"/>
  <c r="AL21" i="2"/>
  <c r="AM21" i="2"/>
  <c r="AN21" i="2"/>
  <c r="AO21" i="2"/>
  <c r="AP21" i="2"/>
  <c r="AG17" i="2"/>
  <c r="AH17" i="2"/>
  <c r="AI17" i="2"/>
  <c r="AJ17" i="2"/>
  <c r="AK17" i="2"/>
  <c r="AL17" i="2"/>
  <c r="AM17" i="2"/>
  <c r="AN17" i="2"/>
  <c r="AO17" i="2"/>
  <c r="AP17" i="2"/>
  <c r="AG16" i="2"/>
  <c r="AH16" i="2"/>
  <c r="AI16" i="2"/>
  <c r="AJ16" i="2"/>
  <c r="AK16" i="2"/>
  <c r="AL16" i="2"/>
  <c r="AM16" i="2"/>
  <c r="AN16" i="2"/>
  <c r="AO16" i="2"/>
  <c r="AP16" i="2"/>
  <c r="J74" i="14"/>
  <c r="H37" i="14"/>
  <c r="H74" i="14" s="1"/>
  <c r="H93" i="14"/>
  <c r="I93" i="14"/>
  <c r="J93" i="14"/>
  <c r="K93" i="14"/>
  <c r="I74" i="14"/>
  <c r="K74" i="14"/>
  <c r="H17" i="14"/>
  <c r="I17" i="14"/>
  <c r="K17" i="14"/>
  <c r="AG76" i="2"/>
  <c r="AH76" i="2"/>
  <c r="AI76" i="2"/>
  <c r="AJ76" i="2"/>
  <c r="AG74" i="2"/>
  <c r="AH74" i="2"/>
  <c r="AI74" i="2"/>
  <c r="AJ74" i="2"/>
  <c r="AB86" i="2"/>
  <c r="AE124" i="2"/>
  <c r="AE135" i="2" s="1"/>
  <c r="AB124" i="2"/>
  <c r="AB135" i="2" s="1"/>
  <c r="AC124" i="2"/>
  <c r="AC135" i="2" s="1"/>
  <c r="Z124" i="2"/>
  <c r="Z135" i="2" s="1"/>
  <c r="AE43" i="2"/>
  <c r="AC43" i="2"/>
  <c r="AB68" i="2"/>
  <c r="AB43" i="2"/>
  <c r="AA42" i="2"/>
  <c r="AA69" i="2" s="1"/>
  <c r="AA23" i="2"/>
  <c r="AA24" i="2" s="1"/>
  <c r="Y83" i="2"/>
  <c r="Z83" i="2"/>
  <c r="X83" i="2"/>
  <c r="AQ18" i="2"/>
  <c r="AQ82" i="2"/>
  <c r="AQ81" i="2"/>
  <c r="AQ80" i="2"/>
  <c r="AQ79" i="2"/>
  <c r="AQ78" i="2"/>
  <c r="AQ77" i="2"/>
  <c r="AQ75" i="2"/>
  <c r="AQ73" i="2"/>
  <c r="AQ63" i="2"/>
  <c r="AQ66" i="2"/>
  <c r="AQ65" i="2"/>
  <c r="AQ64" i="2"/>
  <c r="AQ14" i="2"/>
  <c r="N56" i="12"/>
  <c r="N55" i="12"/>
  <c r="N54" i="12"/>
  <c r="N199" i="12" s="1"/>
  <c r="M199" i="12"/>
  <c r="O199" i="12"/>
  <c r="N20" i="12"/>
  <c r="N10" i="12"/>
  <c r="N9" i="12"/>
  <c r="AI195" i="13"/>
  <c r="L195" i="13"/>
  <c r="N195" i="13"/>
  <c r="O195" i="13"/>
  <c r="P195" i="13"/>
  <c r="Q195" i="13"/>
  <c r="R195" i="13"/>
  <c r="S195" i="13"/>
  <c r="U195" i="13"/>
  <c r="V195" i="13"/>
  <c r="Y195" i="13"/>
  <c r="Z195" i="13"/>
  <c r="AB195" i="13"/>
  <c r="AC195" i="13"/>
  <c r="AE195" i="13"/>
  <c r="AH195" i="13"/>
  <c r="K195" i="13"/>
  <c r="AF43" i="2"/>
  <c r="AI43" i="2"/>
  <c r="AQ20" i="2"/>
  <c r="AG33" i="2"/>
  <c r="AQ68" i="2"/>
  <c r="AQ67" i="2"/>
  <c r="AQ61" i="2"/>
  <c r="AQ60" i="2"/>
  <c r="AQ58" i="2"/>
  <c r="AQ54" i="2"/>
  <c r="AQ53" i="2"/>
  <c r="AQ41" i="2"/>
  <c r="AQ19" i="2"/>
  <c r="AQ7" i="2"/>
  <c r="AQ8" i="2"/>
  <c r="AQ9" i="2"/>
  <c r="AQ10" i="2"/>
  <c r="AQ6" i="2"/>
  <c r="AK31" i="2"/>
  <c r="AL31" i="2"/>
  <c r="AM31" i="2"/>
  <c r="AN31" i="2"/>
  <c r="AO31" i="2"/>
  <c r="AP31" i="2"/>
  <c r="AK32" i="2"/>
  <c r="AL32" i="2"/>
  <c r="AM32" i="2"/>
  <c r="AN32" i="2"/>
  <c r="AO32" i="2"/>
  <c r="AP32" i="2"/>
  <c r="AK34" i="2"/>
  <c r="AL34" i="2"/>
  <c r="AM34" i="2"/>
  <c r="AN34" i="2"/>
  <c r="AO34" i="2"/>
  <c r="AP34" i="2"/>
  <c r="X135" i="2"/>
  <c r="L193" i="13"/>
  <c r="M193" i="13"/>
  <c r="N193" i="13"/>
  <c r="O193" i="13"/>
  <c r="P193" i="13"/>
  <c r="Q193" i="13"/>
  <c r="R193" i="13"/>
  <c r="S193" i="13"/>
  <c r="T193" i="13"/>
  <c r="U193" i="13"/>
  <c r="V193" i="13"/>
  <c r="W193" i="13"/>
  <c r="X193" i="13"/>
  <c r="Y193" i="13"/>
  <c r="Z193" i="13"/>
  <c r="AA193" i="13"/>
  <c r="AB193" i="13"/>
  <c r="AC193" i="13"/>
  <c r="AD193" i="13"/>
  <c r="AE193" i="13"/>
  <c r="AF193" i="13"/>
  <c r="AG193" i="13"/>
  <c r="AH193" i="13"/>
  <c r="K193" i="13"/>
  <c r="AG190" i="13"/>
  <c r="AE188" i="13"/>
  <c r="S185" i="13"/>
  <c r="AG179" i="13"/>
  <c r="AE175" i="13"/>
  <c r="S173" i="13"/>
  <c r="AG167" i="13"/>
  <c r="AE155" i="13"/>
  <c r="S154" i="13"/>
  <c r="AC149" i="13"/>
  <c r="S138" i="13"/>
  <c r="AE136" i="13"/>
  <c r="AF133" i="13"/>
  <c r="AF120" i="13"/>
  <c r="AE118" i="13"/>
  <c r="AE101" i="13"/>
  <c r="S98" i="13"/>
  <c r="AC131" i="13"/>
  <c r="AC109" i="13"/>
  <c r="AD95" i="13"/>
  <c r="AD71" i="13"/>
  <c r="AC89" i="13"/>
  <c r="S78" i="13"/>
  <c r="AB82" i="13"/>
  <c r="AB74" i="13"/>
  <c r="AB25" i="13"/>
  <c r="AA122" i="13"/>
  <c r="AA102" i="13"/>
  <c r="AA81" i="13"/>
  <c r="AA58" i="13"/>
  <c r="AA36" i="13"/>
  <c r="AA19" i="13"/>
  <c r="Z73" i="13"/>
  <c r="Z52" i="13"/>
  <c r="Z32" i="13"/>
  <c r="Z15" i="13"/>
  <c r="Y183" i="13"/>
  <c r="Y150" i="13"/>
  <c r="Y129" i="13"/>
  <c r="Y111" i="13"/>
  <c r="Y91" i="13"/>
  <c r="Y66" i="13"/>
  <c r="Y45" i="13"/>
  <c r="Y29" i="13"/>
  <c r="Y9" i="13"/>
  <c r="X189" i="13"/>
  <c r="U187" i="13"/>
  <c r="T186" i="13"/>
  <c r="R184" i="13"/>
  <c r="P182" i="13"/>
  <c r="X181" i="13"/>
  <c r="Q180" i="13"/>
  <c r="R178" i="13"/>
  <c r="V177" i="13"/>
  <c r="R176" i="13"/>
  <c r="U174" i="13"/>
  <c r="R172" i="13"/>
  <c r="P171" i="13"/>
  <c r="T170" i="13"/>
  <c r="X169" i="13"/>
  <c r="Q168" i="13"/>
  <c r="T166" i="13"/>
  <c r="V165" i="13"/>
  <c r="R164" i="13"/>
  <c r="R163" i="13"/>
  <c r="W162" i="13"/>
  <c r="T161" i="13"/>
  <c r="O160" i="13"/>
  <c r="AH159" i="13"/>
  <c r="X158" i="13"/>
  <c r="R157" i="13"/>
  <c r="U156" i="13"/>
  <c r="T153" i="13"/>
  <c r="P152" i="13"/>
  <c r="R151" i="13"/>
  <c r="K148" i="13"/>
  <c r="X147" i="13"/>
  <c r="Q146" i="13"/>
  <c r="T145" i="13"/>
  <c r="R144" i="13"/>
  <c r="O143" i="13"/>
  <c r="V142" i="13"/>
  <c r="W141" i="13"/>
  <c r="X140" i="13"/>
  <c r="V139" i="13"/>
  <c r="U137" i="13"/>
  <c r="L135" i="13"/>
  <c r="P134" i="13"/>
  <c r="K132" i="13"/>
  <c r="M130" i="13"/>
  <c r="Q128" i="13"/>
  <c r="R127" i="13"/>
  <c r="R126" i="13"/>
  <c r="W125" i="13"/>
  <c r="AH124" i="13"/>
  <c r="O123" i="13"/>
  <c r="V121" i="13"/>
  <c r="S119" i="13"/>
  <c r="U117" i="13"/>
  <c r="R116" i="13"/>
  <c r="T115" i="13"/>
  <c r="P114" i="13"/>
  <c r="L113" i="13"/>
  <c r="L112" i="13"/>
  <c r="M110" i="13"/>
  <c r="AH108" i="13"/>
  <c r="K107" i="13"/>
  <c r="Q106" i="13"/>
  <c r="R105" i="13"/>
  <c r="R104" i="13"/>
  <c r="W103" i="13"/>
  <c r="U100" i="13"/>
  <c r="T99" i="13"/>
  <c r="R97" i="13"/>
  <c r="AH96" i="13"/>
  <c r="O94" i="13"/>
  <c r="L93" i="13"/>
  <c r="P92" i="13"/>
  <c r="M90" i="13"/>
  <c r="K88" i="13"/>
  <c r="Q87" i="13"/>
  <c r="R86" i="13"/>
  <c r="R85" i="13"/>
  <c r="V84" i="13"/>
  <c r="W83" i="13"/>
  <c r="AH80" i="13"/>
  <c r="P79" i="13"/>
  <c r="U77" i="13"/>
  <c r="R76" i="13"/>
  <c r="T75" i="13"/>
  <c r="T72" i="13"/>
  <c r="O70" i="13"/>
  <c r="L69" i="13"/>
  <c r="M68" i="13"/>
  <c r="N67" i="13"/>
  <c r="K65" i="13"/>
  <c r="Q64" i="13"/>
  <c r="R63" i="13"/>
  <c r="R62" i="13"/>
  <c r="V61" i="13"/>
  <c r="T60" i="13"/>
  <c r="W59" i="13"/>
  <c r="AH57" i="13"/>
  <c r="U56" i="13"/>
  <c r="S55" i="13"/>
  <c r="T54" i="13"/>
  <c r="R53" i="13"/>
  <c r="O51" i="13"/>
  <c r="M50" i="13"/>
  <c r="L49" i="13"/>
  <c r="M48" i="13"/>
  <c r="P47" i="13"/>
  <c r="N46" i="13"/>
  <c r="K44" i="13"/>
  <c r="Q43" i="13"/>
  <c r="S42" i="13"/>
  <c r="R41" i="13"/>
  <c r="V40" i="13"/>
  <c r="R39" i="13"/>
  <c r="W38" i="13"/>
  <c r="R37" i="13"/>
  <c r="U35" i="13"/>
  <c r="N34" i="13"/>
  <c r="Q33" i="13"/>
  <c r="O31" i="13"/>
  <c r="L30" i="13"/>
  <c r="M28" i="13"/>
  <c r="K27" i="13"/>
  <c r="Q26" i="13"/>
  <c r="T24" i="13"/>
  <c r="R23" i="13"/>
  <c r="V22" i="13"/>
  <c r="R21" i="13"/>
  <c r="W20" i="13"/>
  <c r="U18" i="13"/>
  <c r="S17" i="13"/>
  <c r="R16" i="13"/>
  <c r="P14" i="13"/>
  <c r="O13" i="13"/>
  <c r="N12" i="13"/>
  <c r="M11" i="13"/>
  <c r="L10" i="13"/>
  <c r="K8" i="13"/>
  <c r="L15"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64" i="12"/>
  <c r="M60" i="12"/>
  <c r="M61" i="12"/>
  <c r="M59" i="12"/>
  <c r="M51" i="12"/>
  <c r="L50" i="12"/>
  <c r="M48" i="12"/>
  <c r="M49" i="12"/>
  <c r="M47" i="12"/>
  <c r="L46" i="12"/>
  <c r="L45" i="12"/>
  <c r="M40" i="12"/>
  <c r="M41" i="12"/>
  <c r="M42" i="12"/>
  <c r="M43" i="12"/>
  <c r="M44" i="12"/>
  <c r="M39" i="12"/>
  <c r="L38" i="12"/>
  <c r="L37" i="12"/>
  <c r="M36" i="12"/>
  <c r="M35" i="12"/>
  <c r="L34" i="12"/>
  <c r="L32" i="12"/>
  <c r="L33" i="12"/>
  <c r="L31" i="12"/>
  <c r="M30" i="12"/>
  <c r="O29" i="12"/>
  <c r="L28" i="12"/>
  <c r="O26" i="12"/>
  <c r="O27" i="12"/>
  <c r="O25" i="12"/>
  <c r="M24" i="12"/>
  <c r="O23" i="12"/>
  <c r="L22" i="12"/>
  <c r="M21" i="12"/>
  <c r="O19" i="12"/>
  <c r="M18" i="12"/>
  <c r="M17" i="12"/>
  <c r="L16" i="12"/>
  <c r="M14" i="12"/>
  <c r="L13" i="12"/>
  <c r="L199" i="12" s="1"/>
  <c r="M11" i="12"/>
  <c r="M12" i="12"/>
  <c r="V377" i="10"/>
  <c r="S377" i="10"/>
  <c r="P377" i="10"/>
  <c r="O377" i="10"/>
  <c r="N377" i="10"/>
  <c r="P375" i="10"/>
  <c r="O361" i="10"/>
  <c r="O353" i="10"/>
  <c r="N294" i="10"/>
  <c r="Q151" i="10"/>
  <c r="Q150" i="10"/>
  <c r="Q149" i="10"/>
  <c r="Y146" i="10"/>
  <c r="X145" i="10"/>
  <c r="U144" i="10"/>
  <c r="U143" i="10"/>
  <c r="Q142" i="10"/>
  <c r="X141" i="10"/>
  <c r="X140" i="10"/>
  <c r="U139" i="10"/>
  <c r="V138" i="10"/>
  <c r="U137" i="10"/>
  <c r="Q136" i="10"/>
  <c r="S135" i="10"/>
  <c r="X134" i="10"/>
  <c r="Q133" i="10"/>
  <c r="Z132" i="10"/>
  <c r="Z377" i="10" s="1"/>
  <c r="U131" i="10"/>
  <c r="W130" i="10"/>
  <c r="Q129" i="10"/>
  <c r="V128" i="10"/>
  <c r="Q127" i="10"/>
  <c r="W126" i="10"/>
  <c r="U125" i="10"/>
  <c r="X124" i="10"/>
  <c r="Y123" i="10"/>
  <c r="Y377" i="10" s="1"/>
  <c r="Y122" i="10"/>
  <c r="U121" i="10"/>
  <c r="W120" i="10"/>
  <c r="Q119" i="10"/>
  <c r="W118" i="10"/>
  <c r="X117" i="10"/>
  <c r="X377" i="10" s="1"/>
  <c r="W116" i="10"/>
  <c r="W377" i="10" s="1"/>
  <c r="U115" i="10"/>
  <c r="W114" i="10"/>
  <c r="X113" i="10"/>
  <c r="Q112" i="10"/>
  <c r="W111" i="10"/>
  <c r="Q110" i="10"/>
  <c r="U109" i="10"/>
  <c r="U377" i="10" s="1"/>
  <c r="V108" i="10"/>
  <c r="Q105" i="10"/>
  <c r="Q104" i="10"/>
  <c r="Q103" i="10"/>
  <c r="Q102" i="10"/>
  <c r="Q101" i="10"/>
  <c r="Q100" i="10"/>
  <c r="Q99" i="10"/>
  <c r="Q98" i="10"/>
  <c r="Q97" i="10"/>
  <c r="Q96" i="10"/>
  <c r="Q95" i="10"/>
  <c r="Q94" i="10"/>
  <c r="Q93" i="10"/>
  <c r="Q92" i="10"/>
  <c r="Q89" i="10"/>
  <c r="Q88" i="10"/>
  <c r="Q87" i="10"/>
  <c r="Q86" i="10"/>
  <c r="Q85" i="10"/>
  <c r="Q82" i="10"/>
  <c r="Q81" i="10"/>
  <c r="Q80" i="10"/>
  <c r="R79" i="10"/>
  <c r="R78" i="10"/>
  <c r="R77" i="10"/>
  <c r="Q76" i="10"/>
  <c r="R75" i="10"/>
  <c r="Q74" i="10"/>
  <c r="M73" i="10"/>
  <c r="M72" i="10"/>
  <c r="M71" i="10"/>
  <c r="M70" i="10"/>
  <c r="M69" i="10"/>
  <c r="M68" i="10"/>
  <c r="M67" i="10"/>
  <c r="M66" i="10"/>
  <c r="M65" i="10"/>
  <c r="M64" i="10"/>
  <c r="M63" i="10"/>
  <c r="M62" i="10"/>
  <c r="R61" i="10"/>
  <c r="M60" i="10"/>
  <c r="Q59" i="10"/>
  <c r="R58" i="10"/>
  <c r="M57" i="10"/>
  <c r="R56" i="10"/>
  <c r="Q55" i="10"/>
  <c r="M54" i="10"/>
  <c r="M53" i="10"/>
  <c r="R52" i="10"/>
  <c r="M51" i="10"/>
  <c r="M50" i="10"/>
  <c r="M49" i="10"/>
  <c r="T48" i="10"/>
  <c r="T47" i="10"/>
  <c r="T46" i="10"/>
  <c r="T377" i="10" s="1"/>
  <c r="M45" i="10"/>
  <c r="S44" i="10"/>
  <c r="R43" i="10"/>
  <c r="M42" i="10"/>
  <c r="M41" i="10"/>
  <c r="M40" i="10"/>
  <c r="M39" i="10"/>
  <c r="R38" i="10"/>
  <c r="M37" i="10"/>
  <c r="M36" i="10"/>
  <c r="M35" i="10"/>
  <c r="M34" i="10"/>
  <c r="M33" i="10"/>
  <c r="R32" i="10"/>
  <c r="R377" i="10" s="1"/>
  <c r="M31" i="10"/>
  <c r="M30" i="10"/>
  <c r="M29" i="10"/>
  <c r="M28" i="10"/>
  <c r="M27" i="10"/>
  <c r="M26" i="10"/>
  <c r="Q25" i="10"/>
  <c r="Q24" i="10"/>
  <c r="M23" i="10"/>
  <c r="Q22" i="10"/>
  <c r="M21" i="10"/>
  <c r="Q20" i="10"/>
  <c r="Q19" i="10"/>
  <c r="Q18" i="10"/>
  <c r="M17" i="10"/>
  <c r="Q16" i="10"/>
  <c r="M15" i="10"/>
  <c r="M14" i="10"/>
  <c r="Q13" i="10"/>
  <c r="M12" i="10"/>
  <c r="Q11" i="10"/>
  <c r="Q10" i="10"/>
  <c r="M9" i="10"/>
  <c r="Q8" i="10"/>
  <c r="Q377" i="10" s="1"/>
  <c r="M7" i="10"/>
  <c r="M377" i="10" s="1"/>
  <c r="AH52" i="2"/>
  <c r="AI52" i="2" s="1"/>
  <c r="AJ52" i="2" s="1"/>
  <c r="AK52" i="2" s="1"/>
  <c r="AL52" i="2" s="1"/>
  <c r="AH51" i="2"/>
  <c r="AI51" i="2" s="1"/>
  <c r="AJ51" i="2" s="1"/>
  <c r="AK51" i="2" s="1"/>
  <c r="AL51" i="2" s="1"/>
  <c r="AM51" i="2" s="1"/>
  <c r="AN51" i="2" s="1"/>
  <c r="AO51" i="2" s="1"/>
  <c r="AP51" i="2" s="1"/>
  <c r="AB33" i="2"/>
  <c r="AG32" i="2"/>
  <c r="AH32" i="2"/>
  <c r="AI32" i="2"/>
  <c r="AJ32" i="2"/>
  <c r="AC34" i="2"/>
  <c r="AG34" i="2"/>
  <c r="AH34" i="2"/>
  <c r="AI34" i="2"/>
  <c r="AJ34" i="2"/>
  <c r="AB34" i="2"/>
  <c r="AC29" i="2"/>
  <c r="AE29" i="2"/>
  <c r="AC30" i="2"/>
  <c r="AE30" i="2"/>
  <c r="AF30" i="2"/>
  <c r="AC31" i="2"/>
  <c r="AG31" i="2"/>
  <c r="AH31" i="2"/>
  <c r="AI31" i="2"/>
  <c r="AJ31" i="2"/>
  <c r="AC32" i="2"/>
  <c r="AB30" i="2"/>
  <c r="AB31" i="2"/>
  <c r="AB32" i="2"/>
  <c r="AB29" i="2"/>
  <c r="D42" i="9"/>
  <c r="E42" i="9"/>
  <c r="F42" i="9"/>
  <c r="G42" i="9"/>
  <c r="H42" i="9"/>
  <c r="I42" i="9"/>
  <c r="J42" i="9"/>
  <c r="C42" i="9"/>
  <c r="D39" i="9"/>
  <c r="E39" i="9"/>
  <c r="F39" i="9"/>
  <c r="G39" i="9"/>
  <c r="H39" i="9"/>
  <c r="I39" i="9"/>
  <c r="J39" i="9"/>
  <c r="C39" i="9"/>
  <c r="D35" i="9"/>
  <c r="E35" i="9"/>
  <c r="F35" i="9"/>
  <c r="G35" i="9"/>
  <c r="H35" i="9"/>
  <c r="I35" i="9"/>
  <c r="J35" i="9"/>
  <c r="C35" i="9"/>
  <c r="D22" i="9"/>
  <c r="E22" i="9"/>
  <c r="F22" i="9"/>
  <c r="G22" i="9"/>
  <c r="H22" i="9"/>
  <c r="I22" i="9"/>
  <c r="J22" i="9"/>
  <c r="C22" i="9"/>
  <c r="R43" i="9"/>
  <c r="P43" i="9"/>
  <c r="N43" i="9"/>
  <c r="R42" i="9"/>
  <c r="U41" i="9" s="1"/>
  <c r="L42" i="9"/>
  <c r="AM41" i="9"/>
  <c r="AG41" i="9"/>
  <c r="X41" i="9"/>
  <c r="AN41" i="9" s="1"/>
  <c r="T41" i="9"/>
  <c r="P41" i="9"/>
  <c r="Q41" i="9" s="1"/>
  <c r="N41" i="9"/>
  <c r="O41" i="9" s="1"/>
  <c r="L41" i="9"/>
  <c r="AM36" i="9"/>
  <c r="AG36" i="9"/>
  <c r="AC35" i="9"/>
  <c r="S35" i="9"/>
  <c r="R35" i="9"/>
  <c r="P35" i="9"/>
  <c r="Q35" i="9" s="1"/>
  <c r="N35" i="9"/>
  <c r="O35" i="9" s="1"/>
  <c r="L35" i="9"/>
  <c r="AN34" i="9"/>
  <c r="AM34" i="9"/>
  <c r="AL34" i="9"/>
  <c r="AG34" i="9"/>
  <c r="AB34" i="9"/>
  <c r="T34" i="9"/>
  <c r="V34" i="9" s="1"/>
  <c r="AN33" i="9"/>
  <c r="AL33" i="9"/>
  <c r="AF33" i="9"/>
  <c r="AE33" i="9"/>
  <c r="AJ33" i="9" s="1"/>
  <c r="AD33" i="9"/>
  <c r="AN32" i="9"/>
  <c r="AL32" i="9"/>
  <c r="AF32" i="9"/>
  <c r="AE32" i="9"/>
  <c r="AJ32" i="9" s="1"/>
  <c r="AD32" i="9"/>
  <c r="AN31" i="9"/>
  <c r="AM31" i="9"/>
  <c r="AL31" i="9"/>
  <c r="AG31" i="9"/>
  <c r="AB31" i="9"/>
  <c r="T31" i="9"/>
  <c r="AM30" i="9"/>
  <c r="AL30" i="9"/>
  <c r="AG30" i="9"/>
  <c r="Y30" i="9"/>
  <c r="AN30" i="9" s="1"/>
  <c r="T30" i="9"/>
  <c r="V30" i="9" s="1"/>
  <c r="AN29" i="9"/>
  <c r="AM29" i="9"/>
  <c r="AL29" i="9"/>
  <c r="AG29" i="9"/>
  <c r="AB29" i="9"/>
  <c r="T29" i="9"/>
  <c r="V29" i="9" s="1"/>
  <c r="AN28" i="9"/>
  <c r="AM28" i="9"/>
  <c r="AL28" i="9"/>
  <c r="AG28" i="9"/>
  <c r="AB28" i="9"/>
  <c r="T28" i="9"/>
  <c r="V28" i="9" s="1"/>
  <c r="AM27" i="9"/>
  <c r="AL27" i="9"/>
  <c r="AG27" i="9"/>
  <c r="T27" i="9"/>
  <c r="V27" i="9" s="1"/>
  <c r="AB27" i="9" s="1"/>
  <c r="AM26" i="9"/>
  <c r="AL26" i="9"/>
  <c r="AG26" i="9"/>
  <c r="T26" i="9"/>
  <c r="V26" i="9" s="1"/>
  <c r="AB26" i="9" s="1"/>
  <c r="AM25" i="9"/>
  <c r="AL25" i="9"/>
  <c r="AG25" i="9"/>
  <c r="T25" i="9"/>
  <c r="V25" i="9" s="1"/>
  <c r="AB25" i="9" s="1"/>
  <c r="AM24" i="9"/>
  <c r="AL24" i="9"/>
  <c r="AG24" i="9"/>
  <c r="T24" i="9"/>
  <c r="V24" i="9" s="1"/>
  <c r="AD22" i="9"/>
  <c r="AC22" i="9"/>
  <c r="S22" i="9"/>
  <c r="R22" i="9"/>
  <c r="P22" i="9"/>
  <c r="N22" i="9"/>
  <c r="L22" i="9"/>
  <c r="AN21" i="9"/>
  <c r="AM21" i="9"/>
  <c r="AL21" i="9"/>
  <c r="AG21" i="9"/>
  <c r="T21" i="9"/>
  <c r="AN20" i="9"/>
  <c r="AM20" i="9"/>
  <c r="AL20" i="9"/>
  <c r="AG20" i="9"/>
  <c r="AN19" i="9"/>
  <c r="AM19" i="9"/>
  <c r="AL19" i="9"/>
  <c r="AG19" i="9"/>
  <c r="AN18" i="9"/>
  <c r="AM18" i="9"/>
  <c r="AL18" i="9"/>
  <c r="AG18" i="9"/>
  <c r="AN17" i="9"/>
  <c r="AM17" i="9"/>
  <c r="AL17" i="9"/>
  <c r="AG17" i="9"/>
  <c r="AN16" i="9"/>
  <c r="AM16" i="9"/>
  <c r="AL16" i="9"/>
  <c r="AG16" i="9"/>
  <c r="AB16" i="9"/>
  <c r="T16" i="9"/>
  <c r="V16" i="9" s="1"/>
  <c r="AM15" i="9"/>
  <c r="AL15" i="9"/>
  <c r="AG15" i="9"/>
  <c r="T15" i="9"/>
  <c r="V15" i="9" s="1"/>
  <c r="AB15" i="9" s="1"/>
  <c r="AN14" i="9"/>
  <c r="AM14" i="9"/>
  <c r="AL14" i="9"/>
  <c r="AF14" i="9"/>
  <c r="AE14" i="9"/>
  <c r="AJ14" i="9" s="1"/>
  <c r="AB14" i="9"/>
  <c r="AM13" i="9"/>
  <c r="AL13" i="9"/>
  <c r="AG13" i="9"/>
  <c r="T13" i="9"/>
  <c r="V13" i="9" s="1"/>
  <c r="AB13" i="9" s="1"/>
  <c r="AN12" i="9"/>
  <c r="AM12" i="9"/>
  <c r="AL12" i="9"/>
  <c r="AG12" i="9"/>
  <c r="AB12" i="9"/>
  <c r="AN11" i="9"/>
  <c r="AM11" i="9"/>
  <c r="AL11" i="9"/>
  <c r="AG11" i="9"/>
  <c r="AN10" i="9"/>
  <c r="AM10" i="9"/>
  <c r="AL10" i="9"/>
  <c r="AG10" i="9"/>
  <c r="AN9" i="9"/>
  <c r="AM9" i="9"/>
  <c r="AL9" i="9"/>
  <c r="AJ9" i="9"/>
  <c r="AG9" i="9"/>
  <c r="AB9" i="9"/>
  <c r="AM8" i="9"/>
  <c r="AL8" i="9"/>
  <c r="AG8" i="9"/>
  <c r="T8" i="9"/>
  <c r="V8" i="9" s="1"/>
  <c r="AB8" i="9" s="1"/>
  <c r="AN7" i="9"/>
  <c r="AM7" i="9"/>
  <c r="AL7" i="9"/>
  <c r="AG7" i="9"/>
  <c r="AB7" i="9"/>
  <c r="AM6" i="9"/>
  <c r="AL6" i="9"/>
  <c r="AG6" i="9"/>
  <c r="T6" i="9"/>
  <c r="V6" i="9" s="1"/>
  <c r="AD52" i="26" l="1"/>
  <c r="AA71" i="26"/>
  <c r="AA88" i="26" s="1"/>
  <c r="AA91" i="26" s="1"/>
  <c r="BL88" i="26"/>
  <c r="BL91" i="26" s="1"/>
  <c r="BM71" i="26"/>
  <c r="AV71" i="26"/>
  <c r="AV88" i="26" s="1"/>
  <c r="AV91" i="26" s="1"/>
  <c r="AV119" i="26" s="1"/>
  <c r="AU119" i="26"/>
  <c r="AZ92" i="26" s="1"/>
  <c r="AZ119" i="26" s="1"/>
  <c r="BA92" i="26" s="1"/>
  <c r="BA119" i="26" s="1"/>
  <c r="BB92" i="26" s="1"/>
  <c r="BB119" i="26" s="1"/>
  <c r="BC92" i="26" s="1"/>
  <c r="BC119" i="26" s="1"/>
  <c r="BD92" i="26" s="1"/>
  <c r="BD119" i="26" s="1"/>
  <c r="BE92" i="26" s="1"/>
  <c r="BE119" i="26" s="1"/>
  <c r="BF92" i="26" s="1"/>
  <c r="BF119" i="26" s="1"/>
  <c r="BG92" i="26" s="1"/>
  <c r="BG119" i="26" s="1"/>
  <c r="BH92" i="26" s="1"/>
  <c r="BH119" i="26" s="1"/>
  <c r="BI92" i="26" s="1"/>
  <c r="BI119" i="26" s="1"/>
  <c r="BJ92" i="26" s="1"/>
  <c r="BJ119" i="26" s="1"/>
  <c r="BK92" i="26" s="1"/>
  <c r="BK119" i="26" s="1"/>
  <c r="V52" i="26"/>
  <c r="U70" i="26"/>
  <c r="U71" i="26" s="1"/>
  <c r="U88" i="26" s="1"/>
  <c r="U91" i="26" s="1"/>
  <c r="U119" i="26" s="1"/>
  <c r="Z92" i="26" s="1"/>
  <c r="O71" i="26"/>
  <c r="P71" i="26" s="1"/>
  <c r="P25" i="26"/>
  <c r="U87" i="15"/>
  <c r="AP87" i="15"/>
  <c r="AI88" i="15"/>
  <c r="AI91" i="15" s="1"/>
  <c r="AG88" i="15"/>
  <c r="AG91" i="15" s="1"/>
  <c r="AF88" i="15"/>
  <c r="AF91" i="15" s="1"/>
  <c r="AC119" i="15"/>
  <c r="AH43" i="15"/>
  <c r="AH70" i="15" s="1"/>
  <c r="AH71" i="15" s="1"/>
  <c r="S41" i="15"/>
  <c r="S43" i="15" s="1"/>
  <c r="S53" i="15"/>
  <c r="AJ43" i="15"/>
  <c r="AJ70" i="15" s="1"/>
  <c r="AJ71" i="15" s="1"/>
  <c r="T41" i="15"/>
  <c r="T43" i="15" s="1"/>
  <c r="AK70" i="15"/>
  <c r="AK71" i="15" s="1"/>
  <c r="R87" i="15"/>
  <c r="V73" i="15"/>
  <c r="V87" i="15" s="1"/>
  <c r="AO60" i="15"/>
  <c r="U60" i="15" s="1"/>
  <c r="V60" i="15" s="1"/>
  <c r="W60" i="15" s="1"/>
  <c r="U41" i="15"/>
  <c r="U43" i="15" s="1"/>
  <c r="T52" i="15"/>
  <c r="AD88" i="15"/>
  <c r="AD91" i="15" s="1"/>
  <c r="AD119" i="15" s="1"/>
  <c r="AE92" i="15" s="1"/>
  <c r="AE119" i="15" s="1"/>
  <c r="AF92" i="15" s="1"/>
  <c r="V29" i="15"/>
  <c r="R43" i="15"/>
  <c r="R70" i="15" s="1"/>
  <c r="K24" i="15"/>
  <c r="K25" i="15" s="1"/>
  <c r="P61" i="15"/>
  <c r="P55" i="15"/>
  <c r="P57" i="15"/>
  <c r="P23" i="15"/>
  <c r="AP41" i="15"/>
  <c r="AQ41" i="15" s="1"/>
  <c r="C71" i="15"/>
  <c r="D25" i="15"/>
  <c r="P43" i="15"/>
  <c r="I70" i="15"/>
  <c r="J70" i="15" s="1"/>
  <c r="J43" i="15"/>
  <c r="L20" i="15"/>
  <c r="L24" i="15" s="1"/>
  <c r="L25" i="15" s="1"/>
  <c r="L26" i="15" s="1"/>
  <c r="AQ29" i="15"/>
  <c r="AQ24" i="15"/>
  <c r="AP25" i="15"/>
  <c r="I25" i="15"/>
  <c r="G71" i="15"/>
  <c r="H25" i="15"/>
  <c r="P63" i="15"/>
  <c r="P17" i="15"/>
  <c r="P56" i="15"/>
  <c r="E71" i="15"/>
  <c r="F25" i="15"/>
  <c r="P18" i="15"/>
  <c r="F74" i="14"/>
  <c r="F95" i="14" s="1"/>
  <c r="G95" i="14"/>
  <c r="D74" i="14"/>
  <c r="D95" i="14" s="1"/>
  <c r="D97" i="14" s="1"/>
  <c r="E5" i="14" s="1"/>
  <c r="E74" i="14"/>
  <c r="E95" i="14" s="1"/>
  <c r="AQ22" i="2"/>
  <c r="AQ57" i="2"/>
  <c r="AR57" i="2" s="1"/>
  <c r="AQ55" i="2"/>
  <c r="H95" i="14"/>
  <c r="K95" i="14"/>
  <c r="I95" i="14"/>
  <c r="J95" i="14"/>
  <c r="AQ74" i="2"/>
  <c r="AC72" i="2"/>
  <c r="AQ76" i="2"/>
  <c r="AE72" i="2"/>
  <c r="AQ72" i="2" s="1"/>
  <c r="AH28" i="2"/>
  <c r="AN28" i="2"/>
  <c r="AN40" i="2" s="1"/>
  <c r="AA25" i="2"/>
  <c r="AA70" i="2"/>
  <c r="AM28" i="2"/>
  <c r="AM40" i="2" s="1"/>
  <c r="AG28" i="2"/>
  <c r="AP28" i="2"/>
  <c r="AP40" i="2" s="1"/>
  <c r="AO28" i="2"/>
  <c r="AO40" i="2" s="1"/>
  <c r="AF23" i="2"/>
  <c r="AF24" i="2" s="1"/>
  <c r="AL28" i="2"/>
  <c r="AL40" i="2" s="1"/>
  <c r="AJ28" i="2"/>
  <c r="AK28" i="2"/>
  <c r="AK40" i="2" s="1"/>
  <c r="AF28" i="2"/>
  <c r="AI28" i="2"/>
  <c r="AO35" i="2"/>
  <c r="AN35" i="2"/>
  <c r="AL35" i="2"/>
  <c r="AR8" i="2"/>
  <c r="AM35" i="2"/>
  <c r="AK35" i="2"/>
  <c r="AC23" i="2"/>
  <c r="AC24" i="2" s="1"/>
  <c r="AC25" i="2" s="1"/>
  <c r="AQ51" i="2"/>
  <c r="AQ43" i="2"/>
  <c r="AM52" i="2"/>
  <c r="AQ62" i="2"/>
  <c r="AG23" i="2"/>
  <c r="AG24" i="2" s="1"/>
  <c r="AP35" i="2"/>
  <c r="AB23" i="2"/>
  <c r="AB24" i="2" s="1"/>
  <c r="AF35" i="9"/>
  <c r="P49" i="9"/>
  <c r="R49" i="9"/>
  <c r="M35" i="9"/>
  <c r="U42" i="9"/>
  <c r="R36" i="9"/>
  <c r="U36" i="9" s="1"/>
  <c r="AM22" i="9"/>
  <c r="U35" i="9"/>
  <c r="AG33" i="9"/>
  <c r="Z13" i="9"/>
  <c r="AA13" i="9"/>
  <c r="X13" i="9"/>
  <c r="AJ35" i="9"/>
  <c r="AJ22" i="9"/>
  <c r="AJ42" i="9" s="1"/>
  <c r="N36" i="9"/>
  <c r="O36" i="9" s="1"/>
  <c r="AE22" i="9"/>
  <c r="Z30" i="9"/>
  <c r="AA30" i="9" s="1"/>
  <c r="AB30" i="9" s="1"/>
  <c r="O22" i="9"/>
  <c r="AL41" i="9"/>
  <c r="L36" i="9"/>
  <c r="L43" i="9" s="1"/>
  <c r="AL22" i="9"/>
  <c r="AG14" i="9"/>
  <c r="AG22" i="9" s="1"/>
  <c r="S42" i="9"/>
  <c r="AL35" i="9"/>
  <c r="AG32" i="9"/>
  <c r="AG35" i="9" s="1"/>
  <c r="U22" i="9"/>
  <c r="AE35" i="9"/>
  <c r="AC42" i="9"/>
  <c r="AA8" i="9"/>
  <c r="Y8" i="9"/>
  <c r="Z8" i="9"/>
  <c r="X8" i="9"/>
  <c r="V35" i="9"/>
  <c r="AA15" i="9"/>
  <c r="Z15" i="9"/>
  <c r="Y15" i="9"/>
  <c r="X15" i="9"/>
  <c r="AB6" i="9"/>
  <c r="V22" i="9"/>
  <c r="Z26" i="9"/>
  <c r="Y26" i="9"/>
  <c r="AA26" i="9"/>
  <c r="X26" i="9"/>
  <c r="X25" i="9"/>
  <c r="AA25" i="9"/>
  <c r="Z25" i="9"/>
  <c r="Y25" i="9"/>
  <c r="Z27" i="9"/>
  <c r="Y27" i="9"/>
  <c r="X27" i="9"/>
  <c r="AA27" i="9"/>
  <c r="T22" i="9"/>
  <c r="AB24" i="9"/>
  <c r="Y13" i="9"/>
  <c r="M22" i="9"/>
  <c r="P36" i="9"/>
  <c r="Q36" i="9" s="1"/>
  <c r="V41" i="9"/>
  <c r="AM32" i="9"/>
  <c r="AM33" i="9"/>
  <c r="M41" i="9"/>
  <c r="T35" i="9"/>
  <c r="N49" i="9"/>
  <c r="AF22" i="9"/>
  <c r="Q22" i="9"/>
  <c r="AD35" i="9"/>
  <c r="AD42" i="9" s="1"/>
  <c r="L49" i="9"/>
  <c r="AD70" i="26" l="1"/>
  <c r="AD71" i="26" s="1"/>
  <c r="AD88" i="26" s="1"/>
  <c r="AD91" i="26" s="1"/>
  <c r="AD92" i="26"/>
  <c r="Z119" i="26"/>
  <c r="AA92" i="26" s="1"/>
  <c r="AA119" i="26" s="1"/>
  <c r="AB92" i="26" s="1"/>
  <c r="AB119" i="26" s="1"/>
  <c r="AC92" i="26" s="1"/>
  <c r="AC119" i="26" s="1"/>
  <c r="AW71" i="26"/>
  <c r="BL92" i="26"/>
  <c r="BL119" i="26" s="1"/>
  <c r="W52" i="26"/>
  <c r="V70" i="26"/>
  <c r="AP60" i="15"/>
  <c r="AQ60" i="15" s="1"/>
  <c r="S70" i="15"/>
  <c r="V41" i="15"/>
  <c r="W41" i="15" s="1"/>
  <c r="AK88" i="15"/>
  <c r="AK91" i="15" s="1"/>
  <c r="AJ88" i="15"/>
  <c r="AJ91" i="15" s="1"/>
  <c r="AH88" i="15"/>
  <c r="AH91" i="15" s="1"/>
  <c r="AF119" i="15"/>
  <c r="AG92" i="15" s="1"/>
  <c r="AG119" i="15" s="1"/>
  <c r="AH92" i="15" s="1"/>
  <c r="AO52" i="15"/>
  <c r="AP52" i="15" s="1"/>
  <c r="AQ52" i="15" s="1"/>
  <c r="K71" i="15"/>
  <c r="K91" i="15" s="1"/>
  <c r="K26" i="15"/>
  <c r="T87" i="15"/>
  <c r="S87" i="15"/>
  <c r="W29" i="15"/>
  <c r="AP43" i="15"/>
  <c r="AQ43" i="15" s="1"/>
  <c r="E91" i="15"/>
  <c r="F91" i="15" s="1"/>
  <c r="F71" i="15"/>
  <c r="L70" i="15"/>
  <c r="L71" i="15" s="1"/>
  <c r="L91" i="15" s="1"/>
  <c r="M20" i="15"/>
  <c r="N20" i="15" s="1"/>
  <c r="N24" i="15" s="1"/>
  <c r="N25" i="15" s="1"/>
  <c r="N26" i="15" s="1"/>
  <c r="D71" i="15"/>
  <c r="C91" i="15"/>
  <c r="D91" i="15" s="1"/>
  <c r="G91" i="15"/>
  <c r="H91" i="15" s="1"/>
  <c r="H71" i="15"/>
  <c r="I71" i="15"/>
  <c r="J25" i="15"/>
  <c r="AQ25" i="15"/>
  <c r="E97" i="14"/>
  <c r="F5" i="14" s="1"/>
  <c r="F97" i="14" s="1"/>
  <c r="G5" i="14" s="1"/>
  <c r="G97" i="14" s="1"/>
  <c r="H5" i="14" s="1"/>
  <c r="AQ83" i="2"/>
  <c r="AK42" i="2"/>
  <c r="AP42" i="2"/>
  <c r="AL42" i="2"/>
  <c r="AI23" i="2"/>
  <c r="AI24" i="2" s="1"/>
  <c r="AN42" i="2"/>
  <c r="AM42" i="2"/>
  <c r="AO42" i="2"/>
  <c r="AB25" i="2"/>
  <c r="AO23" i="2"/>
  <c r="AO24" i="2" s="1"/>
  <c r="AN23" i="2"/>
  <c r="AN24" i="2" s="1"/>
  <c r="AP23" i="2"/>
  <c r="AP24" i="2" s="1"/>
  <c r="AM23" i="2"/>
  <c r="AM24" i="2" s="1"/>
  <c r="AL23" i="2"/>
  <c r="AL24" i="2" s="1"/>
  <c r="AK23" i="2"/>
  <c r="AK24" i="2" s="1"/>
  <c r="AJ23" i="2"/>
  <c r="AJ24" i="2" s="1"/>
  <c r="AH23" i="2"/>
  <c r="AH24" i="2" s="1"/>
  <c r="AQ21" i="2"/>
  <c r="AQ17" i="2"/>
  <c r="AE23" i="2"/>
  <c r="AE24" i="2" s="1"/>
  <c r="AE25" i="2" s="1"/>
  <c r="AQ16" i="2"/>
  <c r="AN52" i="2"/>
  <c r="AN15" i="9"/>
  <c r="AN26" i="9"/>
  <c r="AN27" i="9"/>
  <c r="AF42" i="9"/>
  <c r="AN8" i="9"/>
  <c r="AE42" i="9"/>
  <c r="M36" i="9"/>
  <c r="AL36" i="9"/>
  <c r="AL42" i="9" s="1"/>
  <c r="T36" i="9"/>
  <c r="V36" i="9" s="1"/>
  <c r="AB36" i="9" s="1"/>
  <c r="AG42" i="9"/>
  <c r="AM35" i="9"/>
  <c r="AM42" i="9" s="1"/>
  <c r="AN13" i="9"/>
  <c r="AN25" i="9"/>
  <c r="AA24" i="9"/>
  <c r="AA35" i="9" s="1"/>
  <c r="Y24" i="9"/>
  <c r="Y35" i="9" s="1"/>
  <c r="X24" i="9"/>
  <c r="AB35" i="9"/>
  <c r="Z24" i="9"/>
  <c r="Z35" i="9" s="1"/>
  <c r="AA6" i="9"/>
  <c r="AA22" i="9" s="1"/>
  <c r="Y6" i="9"/>
  <c r="Y22" i="9" s="1"/>
  <c r="Z6" i="9"/>
  <c r="Z22" i="9" s="1"/>
  <c r="X6" i="9"/>
  <c r="AB22" i="9"/>
  <c r="AD119" i="26" l="1"/>
  <c r="W70" i="26"/>
  <c r="V71" i="26"/>
  <c r="V43" i="15"/>
  <c r="W43" i="15" s="1"/>
  <c r="AH119" i="15"/>
  <c r="AI92" i="15" s="1"/>
  <c r="AI119" i="15" s="1"/>
  <c r="AJ92" i="15" s="1"/>
  <c r="AJ119" i="15" s="1"/>
  <c r="AK92" i="15" s="1"/>
  <c r="AK119" i="15" s="1"/>
  <c r="AL92" i="15" s="1"/>
  <c r="AM53" i="15"/>
  <c r="AL70" i="15"/>
  <c r="AL71" i="15" s="1"/>
  <c r="T53" i="15"/>
  <c r="U52" i="15"/>
  <c r="O20" i="15"/>
  <c r="I91" i="15"/>
  <c r="J91" i="15" s="1"/>
  <c r="J71" i="15"/>
  <c r="N70" i="15"/>
  <c r="N71" i="15" s="1"/>
  <c r="N88" i="15" s="1"/>
  <c r="N91" i="15" s="1"/>
  <c r="N119" i="15" s="1"/>
  <c r="M70" i="15"/>
  <c r="M24" i="15"/>
  <c r="M25" i="15" s="1"/>
  <c r="M26" i="15" s="1"/>
  <c r="AQ23" i="2"/>
  <c r="AQ24" i="2" s="1"/>
  <c r="AO52" i="2"/>
  <c r="AF43" i="9"/>
  <c r="T42" i="9"/>
  <c r="W22" i="9" s="1"/>
  <c r="AG43" i="9"/>
  <c r="AE43" i="9"/>
  <c r="AC43" i="9"/>
  <c r="AJ43" i="9"/>
  <c r="AD43" i="9"/>
  <c r="X22" i="9"/>
  <c r="AN6" i="9"/>
  <c r="AN22" i="9" s="1"/>
  <c r="X35" i="9"/>
  <c r="AN24" i="9"/>
  <c r="AN35" i="9" s="1"/>
  <c r="AA36" i="9"/>
  <c r="AA42" i="9" s="1"/>
  <c r="Z36" i="9"/>
  <c r="Z42" i="9" s="1"/>
  <c r="Y36" i="9"/>
  <c r="Y42" i="9" s="1"/>
  <c r="X36" i="9"/>
  <c r="AB42" i="9"/>
  <c r="AB43" i="9" s="1"/>
  <c r="V42" i="9"/>
  <c r="V88" i="26" l="1"/>
  <c r="V91" i="26" s="1"/>
  <c r="V119" i="26" s="1"/>
  <c r="W71" i="26"/>
  <c r="AL88" i="15"/>
  <c r="AL91" i="15" s="1"/>
  <c r="AL119" i="15" s="1"/>
  <c r="AM92" i="15" s="1"/>
  <c r="AN53" i="15"/>
  <c r="AM70" i="15"/>
  <c r="AM71" i="15" s="1"/>
  <c r="V52" i="15"/>
  <c r="T70" i="15"/>
  <c r="W36" i="9"/>
  <c r="P54" i="15"/>
  <c r="M71" i="15"/>
  <c r="M91" i="15" s="1"/>
  <c r="P20" i="15"/>
  <c r="O24" i="15"/>
  <c r="H97" i="14"/>
  <c r="AP52" i="2"/>
  <c r="W41" i="9"/>
  <c r="W42" i="9"/>
  <c r="W35" i="9"/>
  <c r="Z43" i="9"/>
  <c r="Y43" i="9"/>
  <c r="AA43" i="9"/>
  <c r="AN36" i="9"/>
  <c r="AN42" i="9" s="1"/>
  <c r="X42" i="9"/>
  <c r="X43" i="9" s="1"/>
  <c r="AM88" i="15" l="1"/>
  <c r="AM91" i="15" s="1"/>
  <c r="AM119" i="15" s="1"/>
  <c r="AN92" i="15" s="1"/>
  <c r="W52" i="15"/>
  <c r="AO53" i="15"/>
  <c r="AP53" i="15" s="1"/>
  <c r="AN70" i="15"/>
  <c r="AN71" i="15" s="1"/>
  <c r="O70" i="15"/>
  <c r="P70" i="15" s="1"/>
  <c r="P24" i="15"/>
  <c r="O25" i="15"/>
  <c r="I5" i="14"/>
  <c r="I97" i="14" s="1"/>
  <c r="AQ52" i="2"/>
  <c r="AC33" i="2"/>
  <c r="AA124" i="2"/>
  <c r="AC83" i="2"/>
  <c r="AE83" i="2"/>
  <c r="AE35" i="2"/>
  <c r="AF35" i="2"/>
  <c r="AG35" i="2"/>
  <c r="AH35" i="2"/>
  <c r="AI35" i="2"/>
  <c r="AJ35" i="2"/>
  <c r="Z23" i="2"/>
  <c r="AD40" i="4"/>
  <c r="AD38" i="4"/>
  <c r="Z35" i="4"/>
  <c r="Z41" i="4" s="1"/>
  <c r="Z42" i="4" s="1"/>
  <c r="AD34" i="4"/>
  <c r="AD33" i="4"/>
  <c r="AC35" i="4"/>
  <c r="AB35" i="4"/>
  <c r="AD32" i="4"/>
  <c r="AD31" i="4"/>
  <c r="AD30" i="4"/>
  <c r="AD29" i="4"/>
  <c r="AD28" i="4"/>
  <c r="AD27" i="4"/>
  <c r="AD26" i="4"/>
  <c r="AD25" i="4"/>
  <c r="AD24" i="4"/>
  <c r="AC22" i="4"/>
  <c r="AC41" i="4" s="1"/>
  <c r="AC42" i="4" s="1"/>
  <c r="AB22" i="4"/>
  <c r="AA22" i="4"/>
  <c r="Z22" i="4"/>
  <c r="AD21" i="4"/>
  <c r="AD20" i="4"/>
  <c r="AD19" i="4"/>
  <c r="AD18" i="4"/>
  <c r="AD17" i="4"/>
  <c r="AD16" i="4"/>
  <c r="AD15" i="4"/>
  <c r="AD14" i="4"/>
  <c r="AD13" i="4"/>
  <c r="AD12" i="4"/>
  <c r="AD11" i="4"/>
  <c r="AD10" i="4"/>
  <c r="AD9" i="4"/>
  <c r="AD8" i="4"/>
  <c r="AD22" i="4" s="1"/>
  <c r="AD7" i="4"/>
  <c r="AD6" i="4"/>
  <c r="AN88" i="15" l="1"/>
  <c r="AN91" i="15" s="1"/>
  <c r="AN119" i="15" s="1"/>
  <c r="AO92" i="15" s="1"/>
  <c r="AQ53" i="15"/>
  <c r="AP70" i="15"/>
  <c r="AO70" i="15"/>
  <c r="AO71" i="15" s="1"/>
  <c r="U53" i="15"/>
  <c r="R24" i="15"/>
  <c r="R25" i="15" s="1"/>
  <c r="S24" i="15"/>
  <c r="S25" i="15" s="1"/>
  <c r="O71" i="15"/>
  <c r="P25" i="15"/>
  <c r="J5" i="14"/>
  <c r="J97" i="14" s="1"/>
  <c r="AA135" i="2"/>
  <c r="AA72" i="2"/>
  <c r="AA83" i="2" s="1"/>
  <c r="AA84" i="2" s="1"/>
  <c r="AA87" i="2" s="1"/>
  <c r="AA115" i="2" s="1"/>
  <c r="AB72" i="2"/>
  <c r="AB83" i="2" s="1"/>
  <c r="AQ35" i="2"/>
  <c r="AE28" i="2"/>
  <c r="AB42" i="2"/>
  <c r="AF42" i="2"/>
  <c r="AF69" i="2" s="1"/>
  <c r="AF70" i="2" s="1"/>
  <c r="AF84" i="2" s="1"/>
  <c r="AF87" i="2" s="1"/>
  <c r="AD35" i="4"/>
  <c r="AD41" i="4"/>
  <c r="AD42" i="4" s="1"/>
  <c r="AB41" i="4"/>
  <c r="AB42" i="4" s="1"/>
  <c r="AA35" i="4"/>
  <c r="AA41" i="4" s="1"/>
  <c r="AA42" i="4" s="1"/>
  <c r="AO88" i="15" l="1"/>
  <c r="AO91" i="15" s="1"/>
  <c r="AO119" i="15" s="1"/>
  <c r="S71" i="15"/>
  <c r="S88" i="15" s="1"/>
  <c r="S91" i="15" s="1"/>
  <c r="S26" i="15"/>
  <c r="V53" i="15"/>
  <c r="U70" i="15"/>
  <c r="AQ70" i="15"/>
  <c r="AP71" i="15"/>
  <c r="AP88" i="15" s="1"/>
  <c r="AP91" i="15" s="1"/>
  <c r="AP119" i="15" s="1"/>
  <c r="R71" i="15"/>
  <c r="R88" i="15" s="1"/>
  <c r="R91" i="15" s="1"/>
  <c r="R119" i="15" s="1"/>
  <c r="S92" i="15" s="1"/>
  <c r="R26" i="15"/>
  <c r="P71" i="15"/>
  <c r="K5" i="14"/>
  <c r="K97" i="14" s="1"/>
  <c r="L5" i="14" s="1"/>
  <c r="L97" i="14" s="1"/>
  <c r="M5" i="14" s="1"/>
  <c r="M97" i="14" s="1"/>
  <c r="N5" i="14" s="1"/>
  <c r="N97" i="14" s="1"/>
  <c r="AB69" i="2"/>
  <c r="AB70" i="2" s="1"/>
  <c r="AQ28" i="2"/>
  <c r="AH59" i="2"/>
  <c r="AI40" i="2"/>
  <c r="AI42" i="2" s="1"/>
  <c r="AH40" i="2"/>
  <c r="AH42" i="2" s="1"/>
  <c r="AC42" i="2"/>
  <c r="AC69" i="2" s="1"/>
  <c r="AG40" i="2"/>
  <c r="AG42" i="2" s="1"/>
  <c r="AG69" i="2" s="1"/>
  <c r="AG70" i="2" s="1"/>
  <c r="AG84" i="2" s="1"/>
  <c r="AG87" i="2" s="1"/>
  <c r="AJ40" i="2"/>
  <c r="AJ42" i="2" s="1"/>
  <c r="AI7" i="4"/>
  <c r="AI9" i="4"/>
  <c r="AI10" i="4"/>
  <c r="AI11" i="4"/>
  <c r="AI12" i="4"/>
  <c r="AI14" i="4"/>
  <c r="AI16" i="4"/>
  <c r="AI17" i="4"/>
  <c r="AI18" i="4"/>
  <c r="AI19" i="4"/>
  <c r="AI20" i="4"/>
  <c r="AI21" i="4"/>
  <c r="AI28" i="4"/>
  <c r="AI29" i="4"/>
  <c r="AI31" i="4"/>
  <c r="AI32" i="4"/>
  <c r="AI33" i="4"/>
  <c r="AI34" i="4"/>
  <c r="AH7" i="4"/>
  <c r="AH8" i="4"/>
  <c r="AH9" i="4"/>
  <c r="AH10" i="4"/>
  <c r="AH11" i="4"/>
  <c r="AH12" i="4"/>
  <c r="AH13" i="4"/>
  <c r="AH14" i="4"/>
  <c r="AH15" i="4"/>
  <c r="AH16" i="4"/>
  <c r="AH17" i="4"/>
  <c r="AH18" i="4"/>
  <c r="AH19" i="4"/>
  <c r="AH20" i="4"/>
  <c r="AH21" i="4"/>
  <c r="AH24" i="4"/>
  <c r="AH25" i="4"/>
  <c r="AH26" i="4"/>
  <c r="AH27" i="4"/>
  <c r="AH28" i="4"/>
  <c r="AH29" i="4"/>
  <c r="AH30" i="4"/>
  <c r="AH31" i="4"/>
  <c r="AH34" i="4"/>
  <c r="AH38" i="4"/>
  <c r="AH40" i="4"/>
  <c r="AH6" i="4"/>
  <c r="AG7" i="4"/>
  <c r="AG8" i="4"/>
  <c r="AG9" i="4"/>
  <c r="AG10" i="4"/>
  <c r="AG11" i="4"/>
  <c r="AG12" i="4"/>
  <c r="AG13" i="4"/>
  <c r="AG14" i="4"/>
  <c r="AG15" i="4"/>
  <c r="AG16" i="4"/>
  <c r="AG17" i="4"/>
  <c r="AG18" i="4"/>
  <c r="AG19" i="4"/>
  <c r="AG20" i="4"/>
  <c r="AG21" i="4"/>
  <c r="AG24" i="4"/>
  <c r="AG35" i="4" s="1"/>
  <c r="AG25" i="4"/>
  <c r="AG26" i="4"/>
  <c r="AG27" i="4"/>
  <c r="AG28" i="4"/>
  <c r="AG29" i="4"/>
  <c r="AG30" i="4"/>
  <c r="AG31" i="4"/>
  <c r="AG32" i="4"/>
  <c r="AG33" i="4"/>
  <c r="AG34" i="4"/>
  <c r="AG6" i="4"/>
  <c r="Y23" i="2"/>
  <c r="AE14" i="4"/>
  <c r="AE9" i="4"/>
  <c r="Y7" i="2"/>
  <c r="X7" i="2"/>
  <c r="X6" i="2"/>
  <c r="AQ101" i="2"/>
  <c r="X40" i="4"/>
  <c r="X38" i="4"/>
  <c r="X34" i="4"/>
  <c r="X31" i="4"/>
  <c r="X30" i="4"/>
  <c r="X29" i="4"/>
  <c r="X28" i="4"/>
  <c r="X27" i="4"/>
  <c r="X26" i="4"/>
  <c r="X25" i="4"/>
  <c r="X24" i="4"/>
  <c r="X20" i="4"/>
  <c r="X19" i="4"/>
  <c r="X18" i="4"/>
  <c r="X11" i="4"/>
  <c r="X10" i="4"/>
  <c r="X7" i="4"/>
  <c r="X8" i="4"/>
  <c r="X13" i="4"/>
  <c r="X17" i="4"/>
  <c r="X21" i="4"/>
  <c r="X6" i="4"/>
  <c r="E36" i="8"/>
  <c r="E23" i="8"/>
  <c r="F23" i="8" s="1"/>
  <c r="D23" i="8"/>
  <c r="C23" i="8"/>
  <c r="C36" i="8" s="1"/>
  <c r="E10" i="8"/>
  <c r="F10" i="8" s="1"/>
  <c r="C10" i="8"/>
  <c r="D9" i="8" s="1"/>
  <c r="E7" i="8"/>
  <c r="F7" i="8" s="1"/>
  <c r="C7" i="8"/>
  <c r="D7" i="8" s="1"/>
  <c r="S119" i="15" l="1"/>
  <c r="T92" i="15" s="1"/>
  <c r="AQ71" i="15"/>
  <c r="W53" i="15"/>
  <c r="V70" i="15"/>
  <c r="W70" i="15" s="1"/>
  <c r="T24" i="15"/>
  <c r="T25" i="15" s="1"/>
  <c r="U24" i="15"/>
  <c r="U25" i="15" s="1"/>
  <c r="AB84" i="2"/>
  <c r="AB87" i="2" s="1"/>
  <c r="AB115" i="2" s="1"/>
  <c r="AC88" i="2" s="1"/>
  <c r="AH69" i="2"/>
  <c r="AH70" i="2" s="1"/>
  <c r="AH84" i="2" s="1"/>
  <c r="AH87" i="2" s="1"/>
  <c r="AQ40" i="2"/>
  <c r="AQ42" i="2" s="1"/>
  <c r="AI59" i="2"/>
  <c r="AI69" i="2" s="1"/>
  <c r="AI70" i="2" s="1"/>
  <c r="AI84" i="2" s="1"/>
  <c r="AI87" i="2" s="1"/>
  <c r="AC70" i="2"/>
  <c r="AC84" i="2" s="1"/>
  <c r="AC87" i="2" s="1"/>
  <c r="AE42" i="2"/>
  <c r="AE69" i="2" s="1"/>
  <c r="AG22" i="4"/>
  <c r="AH22" i="4"/>
  <c r="AE22" i="4"/>
  <c r="Y42" i="2"/>
  <c r="Z42" i="2"/>
  <c r="X42" i="2"/>
  <c r="D6" i="8"/>
  <c r="D8" i="8"/>
  <c r="F6" i="8"/>
  <c r="F8" i="8"/>
  <c r="F9" i="8"/>
  <c r="C41" i="8"/>
  <c r="D33" i="8"/>
  <c r="W33" i="4"/>
  <c r="V33" i="4"/>
  <c r="AE33" i="4" s="1"/>
  <c r="U33" i="4"/>
  <c r="W32" i="4"/>
  <c r="V32" i="4"/>
  <c r="AE32" i="4" s="1"/>
  <c r="U32" i="4"/>
  <c r="X9" i="4"/>
  <c r="X16" i="4"/>
  <c r="T35" i="4"/>
  <c r="X10" i="2" s="1"/>
  <c r="T22" i="4"/>
  <c r="X9" i="2" s="1"/>
  <c r="D37" i="6"/>
  <c r="D36" i="6"/>
  <c r="D35" i="6"/>
  <c r="D34" i="6"/>
  <c r="D31" i="6"/>
  <c r="D29" i="6"/>
  <c r="D28" i="6"/>
  <c r="D27" i="6"/>
  <c r="D26" i="6"/>
  <c r="D25" i="6"/>
  <c r="D21" i="6"/>
  <c r="D20" i="6"/>
  <c r="D17" i="6"/>
  <c r="D16" i="6"/>
  <c r="D15" i="6"/>
  <c r="D11" i="6"/>
  <c r="D10" i="6"/>
  <c r="D9" i="6"/>
  <c r="D8" i="6"/>
  <c r="C37" i="6"/>
  <c r="C36" i="6"/>
  <c r="C35" i="6"/>
  <c r="C34" i="6"/>
  <c r="C31" i="6"/>
  <c r="C28" i="6"/>
  <c r="C27" i="6"/>
  <c r="C26" i="6"/>
  <c r="C25" i="6"/>
  <c r="C20" i="6"/>
  <c r="C17" i="6"/>
  <c r="C16" i="6"/>
  <c r="C15" i="6"/>
  <c r="C11" i="6"/>
  <c r="C10" i="6"/>
  <c r="C9" i="6"/>
  <c r="C8" i="6"/>
  <c r="I41" i="4"/>
  <c r="L40" i="4" s="1"/>
  <c r="K31" i="4"/>
  <c r="C92" i="5"/>
  <c r="B92" i="5"/>
  <c r="C91" i="5"/>
  <c r="B91" i="5"/>
  <c r="C90" i="5"/>
  <c r="B90" i="5"/>
  <c r="C89" i="5"/>
  <c r="B89" i="5"/>
  <c r="B93" i="5" s="1"/>
  <c r="C88" i="5"/>
  <c r="C93" i="5" s="1"/>
  <c r="B88" i="5"/>
  <c r="B84" i="5"/>
  <c r="C83" i="5"/>
  <c r="B83" i="5"/>
  <c r="C82" i="5"/>
  <c r="B82" i="5"/>
  <c r="C81" i="5"/>
  <c r="B81" i="5"/>
  <c r="B80" i="5"/>
  <c r="B79" i="5"/>
  <c r="C78" i="5"/>
  <c r="C85" i="5" s="1"/>
  <c r="B78" i="5"/>
  <c r="B85" i="5" s="1"/>
  <c r="C73" i="5"/>
  <c r="C74" i="5" s="1"/>
  <c r="B73" i="5"/>
  <c r="B74" i="5" s="1"/>
  <c r="C71" i="5"/>
  <c r="B71" i="5"/>
  <c r="C70" i="5"/>
  <c r="B70" i="5"/>
  <c r="C68" i="5"/>
  <c r="C69" i="5" s="1"/>
  <c r="B68" i="5"/>
  <c r="C67" i="5"/>
  <c r="B67" i="5"/>
  <c r="C66" i="5"/>
  <c r="B66" i="5"/>
  <c r="C65" i="5"/>
  <c r="B65" i="5"/>
  <c r="B69" i="5" s="1"/>
  <c r="B75" i="5" s="1"/>
  <c r="B61" i="5"/>
  <c r="B60" i="5"/>
  <c r="B59" i="5"/>
  <c r="C58" i="5"/>
  <c r="B58" i="5"/>
  <c r="C57" i="5"/>
  <c r="B57" i="5"/>
  <c r="C56" i="5"/>
  <c r="B56" i="5"/>
  <c r="C55" i="5"/>
  <c r="B55" i="5"/>
  <c r="C53" i="5"/>
  <c r="B53" i="5"/>
  <c r="B54" i="5" s="1"/>
  <c r="B62" i="5" s="1"/>
  <c r="C52" i="5"/>
  <c r="C54" i="5" s="1"/>
  <c r="C62" i="5" s="1"/>
  <c r="B52" i="5"/>
  <c r="C49" i="5"/>
  <c r="C50" i="5" s="1"/>
  <c r="B49" i="5"/>
  <c r="B50" i="5" s="1"/>
  <c r="B76" i="5" s="1"/>
  <c r="C43" i="5"/>
  <c r="C42" i="5"/>
  <c r="B42" i="5"/>
  <c r="B43" i="5" s="1"/>
  <c r="C39" i="5"/>
  <c r="B39" i="5"/>
  <c r="C38" i="5"/>
  <c r="B38" i="5"/>
  <c r="C37" i="5"/>
  <c r="B37" i="5"/>
  <c r="C36" i="5"/>
  <c r="B36" i="5"/>
  <c r="C35" i="5"/>
  <c r="C40" i="5" s="1"/>
  <c r="B35" i="5"/>
  <c r="B40" i="5" s="1"/>
  <c r="C31" i="5"/>
  <c r="B31" i="5"/>
  <c r="C30" i="5"/>
  <c r="B30" i="5"/>
  <c r="C29" i="5"/>
  <c r="B29" i="5"/>
  <c r="B28" i="5"/>
  <c r="B26" i="5"/>
  <c r="C25" i="5"/>
  <c r="C27" i="5" s="1"/>
  <c r="B25" i="5"/>
  <c r="B24" i="5"/>
  <c r="B27" i="5" s="1"/>
  <c r="C23" i="5"/>
  <c r="B23" i="5"/>
  <c r="C22" i="5"/>
  <c r="B22" i="5"/>
  <c r="C21" i="5"/>
  <c r="B21" i="5"/>
  <c r="C20" i="5"/>
  <c r="C32" i="5" s="1"/>
  <c r="B20" i="5"/>
  <c r="B32" i="5" s="1"/>
  <c r="C17" i="5"/>
  <c r="C18" i="5" s="1"/>
  <c r="B17" i="5"/>
  <c r="B18" i="5" s="1"/>
  <c r="C14" i="5"/>
  <c r="B14" i="5"/>
  <c r="C13" i="5"/>
  <c r="B13" i="5"/>
  <c r="C12" i="5"/>
  <c r="B12" i="5"/>
  <c r="C11" i="5"/>
  <c r="C15" i="5" s="1"/>
  <c r="C33" i="5" s="1"/>
  <c r="C44" i="5" s="1"/>
  <c r="B11" i="5"/>
  <c r="B10" i="5"/>
  <c r="B15" i="5" s="1"/>
  <c r="Y7" i="1"/>
  <c r="Y20" i="1" s="1"/>
  <c r="K31" i="3"/>
  <c r="L31" i="3"/>
  <c r="L27" i="3"/>
  <c r="L30" i="3"/>
  <c r="L26" i="3"/>
  <c r="L28" i="3"/>
  <c r="K26" i="3"/>
  <c r="K27" i="3"/>
  <c r="K28" i="3"/>
  <c r="K30" i="3"/>
  <c r="C21" i="3"/>
  <c r="D21" i="3"/>
  <c r="E21" i="3"/>
  <c r="F21" i="3"/>
  <c r="G21" i="3"/>
  <c r="H21" i="3"/>
  <c r="I21" i="3"/>
  <c r="J21" i="3"/>
  <c r="K21" i="3"/>
  <c r="L21" i="3"/>
  <c r="M21" i="3"/>
  <c r="N21" i="3"/>
  <c r="O21" i="3"/>
  <c r="P21" i="3"/>
  <c r="Q21" i="3"/>
  <c r="R21" i="3"/>
  <c r="C17" i="3"/>
  <c r="D17" i="3"/>
  <c r="E17" i="3"/>
  <c r="T7" i="1"/>
  <c r="T20" i="1" s="1"/>
  <c r="X7" i="1"/>
  <c r="P30" i="4"/>
  <c r="I31" i="7"/>
  <c r="T68" i="2"/>
  <c r="I26" i="7" s="1"/>
  <c r="T67" i="2"/>
  <c r="I25" i="7" s="1"/>
  <c r="R43" i="2"/>
  <c r="Q43" i="2"/>
  <c r="P43" i="2"/>
  <c r="T52" i="2"/>
  <c r="I16" i="7" s="1"/>
  <c r="Q51" i="2"/>
  <c r="R51" i="2"/>
  <c r="S51" i="2"/>
  <c r="P51" i="2"/>
  <c r="Q41" i="2"/>
  <c r="S41" i="2"/>
  <c r="S31" i="3"/>
  <c r="R19" i="3"/>
  <c r="R41" i="2" s="1"/>
  <c r="R14" i="3"/>
  <c r="S14" i="3" s="1"/>
  <c r="Q30" i="3"/>
  <c r="R30" i="3" s="1"/>
  <c r="S30" i="3" s="1"/>
  <c r="Q19" i="3"/>
  <c r="S19" i="3"/>
  <c r="P19" i="3"/>
  <c r="P41" i="2" s="1"/>
  <c r="P27" i="3"/>
  <c r="Q27" i="3" s="1"/>
  <c r="P30" i="3"/>
  <c r="P26" i="3"/>
  <c r="Q26" i="3" s="1"/>
  <c r="R12" i="3"/>
  <c r="S12" i="3"/>
  <c r="Q11" i="3"/>
  <c r="R11" i="3" s="1"/>
  <c r="S11" i="3" s="1"/>
  <c r="Q12" i="3"/>
  <c r="P6" i="3"/>
  <c r="Q6" i="3" s="1"/>
  <c r="R6" i="3" s="1"/>
  <c r="S6" i="3" s="1"/>
  <c r="P7" i="3"/>
  <c r="Q7" i="3" s="1"/>
  <c r="R7" i="3" s="1"/>
  <c r="S7" i="3" s="1"/>
  <c r="P8" i="3"/>
  <c r="Q8" i="3" s="1"/>
  <c r="R8" i="3" s="1"/>
  <c r="S8" i="3" s="1"/>
  <c r="P9" i="3"/>
  <c r="P17" i="3" s="1"/>
  <c r="P10" i="3"/>
  <c r="Q10" i="3" s="1"/>
  <c r="R10" i="3" s="1"/>
  <c r="S10" i="3" s="1"/>
  <c r="P11" i="3"/>
  <c r="P12" i="3"/>
  <c r="P13" i="3"/>
  <c r="Q13" i="3" s="1"/>
  <c r="R13" i="3" s="1"/>
  <c r="S13" i="3" s="1"/>
  <c r="P5" i="3"/>
  <c r="Q5" i="3" s="1"/>
  <c r="AB62" i="1"/>
  <c r="T58" i="1"/>
  <c r="T59" i="1"/>
  <c r="T60" i="1"/>
  <c r="U60" i="1" s="1"/>
  <c r="T61" i="1"/>
  <c r="S34" i="4"/>
  <c r="S31" i="4"/>
  <c r="S29" i="4"/>
  <c r="S28" i="4"/>
  <c r="S16" i="4"/>
  <c r="S14" i="4"/>
  <c r="S12" i="4"/>
  <c r="S9" i="4"/>
  <c r="S7" i="4"/>
  <c r="T104" i="1"/>
  <c r="T109" i="1"/>
  <c r="L40" i="2" s="1"/>
  <c r="K40" i="4"/>
  <c r="L7" i="2" s="1"/>
  <c r="K34" i="4"/>
  <c r="M34" i="4" s="1"/>
  <c r="K30" i="4"/>
  <c r="M30" i="4" s="1"/>
  <c r="K29" i="4"/>
  <c r="M29" i="4" s="1"/>
  <c r="K28" i="4"/>
  <c r="M28" i="4" s="1"/>
  <c r="K27" i="4"/>
  <c r="M27" i="4" s="1"/>
  <c r="S27" i="4" s="1"/>
  <c r="O27" i="4" s="1"/>
  <c r="K26" i="4"/>
  <c r="M26" i="4" s="1"/>
  <c r="S26" i="4" s="1"/>
  <c r="O26" i="4" s="1"/>
  <c r="K25" i="4"/>
  <c r="M25" i="4" s="1"/>
  <c r="S25" i="4" s="1"/>
  <c r="O25" i="4" s="1"/>
  <c r="K24" i="4"/>
  <c r="M24" i="4" s="1"/>
  <c r="S24" i="4" s="1"/>
  <c r="Q24" i="4" s="1"/>
  <c r="K8" i="4"/>
  <c r="M8" i="4" s="1"/>
  <c r="S8" i="4" s="1"/>
  <c r="R8" i="4" s="1"/>
  <c r="K13" i="4"/>
  <c r="M13" i="4" s="1"/>
  <c r="S13" i="4" s="1"/>
  <c r="Q13" i="4" s="1"/>
  <c r="K15" i="4"/>
  <c r="M15" i="4" s="1"/>
  <c r="S15" i="4" s="1"/>
  <c r="K16" i="4"/>
  <c r="M16" i="4" s="1"/>
  <c r="K21" i="4"/>
  <c r="K6" i="4"/>
  <c r="M6" i="4" s="1"/>
  <c r="S6" i="4" s="1"/>
  <c r="Q6" i="4" s="1"/>
  <c r="J22" i="4"/>
  <c r="J35" i="4"/>
  <c r="T8" i="1"/>
  <c r="T9" i="1"/>
  <c r="T10" i="1"/>
  <c r="T11" i="1"/>
  <c r="T12" i="1"/>
  <c r="T13" i="1"/>
  <c r="T14" i="1"/>
  <c r="T15" i="1"/>
  <c r="T16" i="1"/>
  <c r="T17" i="1"/>
  <c r="T18" i="1"/>
  <c r="T19" i="1"/>
  <c r="T22" i="1"/>
  <c r="T24" i="1" s="1"/>
  <c r="T23" i="1"/>
  <c r="T26" i="1"/>
  <c r="T27" i="1"/>
  <c r="T28" i="1"/>
  <c r="T30" i="1"/>
  <c r="T31" i="1"/>
  <c r="T33" i="1" s="1"/>
  <c r="T32" i="1"/>
  <c r="U32" i="1" s="1"/>
  <c r="T34" i="1"/>
  <c r="T36" i="1"/>
  <c r="T37" i="1"/>
  <c r="T38" i="1" s="1"/>
  <c r="T40" i="1" s="1"/>
  <c r="T39" i="1"/>
  <c r="U39" i="1" s="1"/>
  <c r="T43" i="1"/>
  <c r="T44" i="1"/>
  <c r="U44" i="1" s="1"/>
  <c r="T50" i="1"/>
  <c r="T52" i="1"/>
  <c r="L19" i="2" s="1"/>
  <c r="T53" i="1"/>
  <c r="T54" i="1"/>
  <c r="T55" i="1"/>
  <c r="T56" i="1"/>
  <c r="U56" i="1" s="1"/>
  <c r="T57" i="1"/>
  <c r="T62" i="1"/>
  <c r="T64" i="1"/>
  <c r="T69" i="1"/>
  <c r="T70" i="1"/>
  <c r="T71" i="1"/>
  <c r="T72" i="1"/>
  <c r="T73" i="1"/>
  <c r="T74" i="1"/>
  <c r="T75" i="1"/>
  <c r="T76" i="1"/>
  <c r="T77" i="1"/>
  <c r="T79" i="1"/>
  <c r="T81" i="1"/>
  <c r="T82" i="1"/>
  <c r="T83" i="1"/>
  <c r="U83" i="1" s="1"/>
  <c r="T84" i="1"/>
  <c r="U84" i="1" s="1"/>
  <c r="T86" i="1"/>
  <c r="T87" i="1"/>
  <c r="T88" i="1"/>
  <c r="T90" i="1"/>
  <c r="L56" i="2" s="1"/>
  <c r="T91" i="1"/>
  <c r="T92" i="1"/>
  <c r="T93" i="1"/>
  <c r="U93" i="1" s="1"/>
  <c r="T94" i="1"/>
  <c r="U94" i="1" s="1"/>
  <c r="T95" i="1"/>
  <c r="T96" i="1"/>
  <c r="T97" i="1"/>
  <c r="T98" i="1"/>
  <c r="U98" i="1" s="1"/>
  <c r="T100" i="1"/>
  <c r="T101" i="1"/>
  <c r="T102" i="1"/>
  <c r="T103" i="1"/>
  <c r="U103" i="1" s="1"/>
  <c r="T106" i="1"/>
  <c r="L59" i="2" s="1"/>
  <c r="S59" i="2" s="1"/>
  <c r="T107" i="1"/>
  <c r="L61" i="2" s="1"/>
  <c r="S61" i="2" s="1"/>
  <c r="T108" i="1"/>
  <c r="L35" i="2" s="1"/>
  <c r="T112" i="1"/>
  <c r="L67" i="2" s="1"/>
  <c r="T113" i="1"/>
  <c r="T114" i="1"/>
  <c r="L62" i="2" s="1"/>
  <c r="T115" i="1"/>
  <c r="L60" i="2" s="1"/>
  <c r="T116" i="1"/>
  <c r="U116" i="1" s="1"/>
  <c r="T117" i="1"/>
  <c r="T118" i="1"/>
  <c r="T119" i="1"/>
  <c r="T120" i="1"/>
  <c r="T121" i="1"/>
  <c r="T125" i="1"/>
  <c r="T126" i="1"/>
  <c r="T127" i="1"/>
  <c r="U127" i="1" s="1"/>
  <c r="T130" i="1"/>
  <c r="U130" i="1" s="1"/>
  <c r="T131" i="1"/>
  <c r="U131" i="1" s="1"/>
  <c r="T132" i="1"/>
  <c r="U132" i="1" s="1"/>
  <c r="Y133" i="1"/>
  <c r="X133" i="1"/>
  <c r="W133" i="1"/>
  <c r="Y128" i="1"/>
  <c r="X128" i="1"/>
  <c r="W128" i="1"/>
  <c r="Y105" i="1"/>
  <c r="X105" i="1"/>
  <c r="W105" i="1"/>
  <c r="Y99" i="1"/>
  <c r="X99" i="1"/>
  <c r="W99" i="1"/>
  <c r="Y89" i="1"/>
  <c r="X89" i="1"/>
  <c r="W89" i="1"/>
  <c r="Y85" i="1"/>
  <c r="X85" i="1"/>
  <c r="W85" i="1"/>
  <c r="Y78" i="1"/>
  <c r="Y80" i="1" s="1"/>
  <c r="X78" i="1"/>
  <c r="X80" i="1" s="1"/>
  <c r="W78" i="1"/>
  <c r="W80" i="1" s="1"/>
  <c r="Y63" i="1"/>
  <c r="Y65" i="1" s="1"/>
  <c r="X63" i="1"/>
  <c r="X65" i="1" s="1"/>
  <c r="W63" i="1"/>
  <c r="W65" i="1" s="1"/>
  <c r="W40" i="1"/>
  <c r="Y38" i="1"/>
  <c r="Y40" i="1" s="1"/>
  <c r="X38" i="1"/>
  <c r="X40" i="1" s="1"/>
  <c r="W38" i="1"/>
  <c r="Y33" i="1"/>
  <c r="X33" i="1"/>
  <c r="W33" i="1"/>
  <c r="Y29" i="1"/>
  <c r="X29" i="1"/>
  <c r="W29" i="1"/>
  <c r="Y24" i="1"/>
  <c r="X24" i="1"/>
  <c r="W24" i="1"/>
  <c r="X20" i="1"/>
  <c r="W20" i="1"/>
  <c r="U96" i="1"/>
  <c r="U97" i="1"/>
  <c r="U112" i="1"/>
  <c r="U53" i="1"/>
  <c r="U52" i="1"/>
  <c r="U47" i="1"/>
  <c r="U43" i="1"/>
  <c r="U37" i="1"/>
  <c r="U15" i="1"/>
  <c r="G40" i="4"/>
  <c r="H40" i="4" s="1"/>
  <c r="E40" i="4"/>
  <c r="F40" i="4" s="1"/>
  <c r="C40" i="4"/>
  <c r="E35" i="4"/>
  <c r="J10" i="2" s="1"/>
  <c r="G35" i="4"/>
  <c r="H35" i="4" s="1"/>
  <c r="I35" i="4"/>
  <c r="E22" i="4"/>
  <c r="F22" i="4" s="1"/>
  <c r="G22" i="4"/>
  <c r="H22" i="4" s="1"/>
  <c r="I22" i="4"/>
  <c r="C35" i="4"/>
  <c r="C22" i="4"/>
  <c r="U71" i="15" l="1"/>
  <c r="U88" i="15" s="1"/>
  <c r="U91" i="15" s="1"/>
  <c r="U26" i="15"/>
  <c r="T71" i="15"/>
  <c r="T88" i="15" s="1"/>
  <c r="T91" i="15" s="1"/>
  <c r="T119" i="15" s="1"/>
  <c r="U92" i="15" s="1"/>
  <c r="T26" i="15"/>
  <c r="V20" i="15"/>
  <c r="V24" i="15" s="1"/>
  <c r="AE70" i="2"/>
  <c r="AE84" i="2" s="1"/>
  <c r="AE87" i="2" s="1"/>
  <c r="AJ59" i="2"/>
  <c r="AJ69" i="2" s="1"/>
  <c r="AJ70" i="2" s="1"/>
  <c r="AJ84" i="2" s="1"/>
  <c r="AJ87" i="2" s="1"/>
  <c r="AC115" i="2"/>
  <c r="X14" i="2"/>
  <c r="AE35" i="4"/>
  <c r="AG40" i="4"/>
  <c r="AH33" i="4"/>
  <c r="X33" i="4"/>
  <c r="AI27" i="4"/>
  <c r="AE41" i="4"/>
  <c r="Q30" i="4"/>
  <c r="R30" i="4" s="1"/>
  <c r="AI30" i="4"/>
  <c r="X32" i="4"/>
  <c r="AH32" i="4"/>
  <c r="T43" i="2"/>
  <c r="I14" i="7" s="1"/>
  <c r="T51" i="2"/>
  <c r="I15" i="7" s="1"/>
  <c r="X12" i="4"/>
  <c r="X14" i="4"/>
  <c r="C12" i="8"/>
  <c r="D11" i="8"/>
  <c r="D18" i="8"/>
  <c r="D32" i="8"/>
  <c r="D16" i="8"/>
  <c r="D21" i="8"/>
  <c r="D26" i="8"/>
  <c r="D30" i="8"/>
  <c r="D35" i="8"/>
  <c r="D28" i="8"/>
  <c r="D24" i="8"/>
  <c r="D40" i="8"/>
  <c r="D10" i="8"/>
  <c r="D39" i="8"/>
  <c r="D17" i="8"/>
  <c r="D22" i="8"/>
  <c r="D27" i="8"/>
  <c r="D31" i="8"/>
  <c r="D19" i="8"/>
  <c r="D25" i="8"/>
  <c r="D29" i="8"/>
  <c r="D34" i="8"/>
  <c r="D41" i="8"/>
  <c r="C20" i="8"/>
  <c r="E20" i="8"/>
  <c r="T41" i="4"/>
  <c r="P27" i="4"/>
  <c r="R13" i="4"/>
  <c r="Q25" i="4"/>
  <c r="P25" i="4"/>
  <c r="AI25" i="4" s="1"/>
  <c r="R27" i="4"/>
  <c r="Q27" i="4"/>
  <c r="R25" i="4"/>
  <c r="D12" i="6"/>
  <c r="C29" i="6"/>
  <c r="C18" i="6"/>
  <c r="C12" i="6"/>
  <c r="L35" i="4"/>
  <c r="L41" i="4"/>
  <c r="B86" i="5"/>
  <c r="B94" i="5" s="1"/>
  <c r="C75" i="5"/>
  <c r="C76" i="5"/>
  <c r="C86" i="5" s="1"/>
  <c r="C94" i="5" s="1"/>
  <c r="B33" i="5"/>
  <c r="B44" i="5" s="1"/>
  <c r="T41" i="1"/>
  <c r="P28" i="2"/>
  <c r="P18" i="3"/>
  <c r="P40" i="2" s="1"/>
  <c r="P35" i="3"/>
  <c r="R5" i="3"/>
  <c r="T41" i="2"/>
  <c r="Q34" i="3"/>
  <c r="Q35" i="2" s="1"/>
  <c r="R26" i="3"/>
  <c r="Q9" i="3"/>
  <c r="R9" i="3" s="1"/>
  <c r="S9" i="3" s="1"/>
  <c r="P34" i="3"/>
  <c r="P35" i="2" s="1"/>
  <c r="T78" i="1"/>
  <c r="T80" i="1" s="1"/>
  <c r="L43" i="2" s="1"/>
  <c r="R24" i="4"/>
  <c r="O8" i="4"/>
  <c r="L22" i="2"/>
  <c r="R15" i="4"/>
  <c r="P15" i="4"/>
  <c r="X15" i="4" s="1"/>
  <c r="Q15" i="4"/>
  <c r="O15" i="4"/>
  <c r="AI15" i="4" s="1"/>
  <c r="Q8" i="4"/>
  <c r="S22" i="4"/>
  <c r="O13" i="4"/>
  <c r="O24" i="4"/>
  <c r="R26" i="4"/>
  <c r="P13" i="4"/>
  <c r="P24" i="4"/>
  <c r="Q26" i="4"/>
  <c r="R6" i="4"/>
  <c r="P6" i="4"/>
  <c r="P26" i="4"/>
  <c r="AI26" i="4" s="1"/>
  <c r="P8" i="4"/>
  <c r="C48" i="4"/>
  <c r="J41" i="4"/>
  <c r="T42" i="1" s="1"/>
  <c r="M40" i="4"/>
  <c r="O6" i="4"/>
  <c r="J9" i="2"/>
  <c r="K22" i="4"/>
  <c r="L9" i="2" s="1"/>
  <c r="M35" i="4"/>
  <c r="M22" i="4"/>
  <c r="K35" i="4"/>
  <c r="T85" i="1"/>
  <c r="L51" i="2" s="1"/>
  <c r="T99" i="1"/>
  <c r="L82" i="2" s="1"/>
  <c r="T89" i="1"/>
  <c r="L52" i="2" s="1"/>
  <c r="T105" i="1"/>
  <c r="U133" i="1"/>
  <c r="W134" i="1"/>
  <c r="U8" i="1"/>
  <c r="X134" i="1"/>
  <c r="Y134" i="1"/>
  <c r="T128" i="1"/>
  <c r="L41" i="2"/>
  <c r="T133" i="1"/>
  <c r="L68" i="2"/>
  <c r="L55" i="2"/>
  <c r="T29" i="1"/>
  <c r="J7" i="2"/>
  <c r="I9" i="2"/>
  <c r="I10" i="2"/>
  <c r="I7" i="2"/>
  <c r="K7" i="2"/>
  <c r="K9" i="2"/>
  <c r="K10" i="2"/>
  <c r="E38" i="4"/>
  <c r="F35" i="4"/>
  <c r="L54" i="2"/>
  <c r="L53" i="2"/>
  <c r="Y111" i="1"/>
  <c r="Y122" i="1" s="1"/>
  <c r="X111" i="1"/>
  <c r="X122" i="1" s="1"/>
  <c r="X41" i="1"/>
  <c r="X45" i="1" s="1"/>
  <c r="X66" i="1" s="1"/>
  <c r="W111" i="1"/>
  <c r="W122" i="1" s="1"/>
  <c r="W41" i="1"/>
  <c r="W45" i="1" s="1"/>
  <c r="W66" i="1" s="1"/>
  <c r="Y41" i="1"/>
  <c r="Y45" i="1" s="1"/>
  <c r="Y66" i="1" s="1"/>
  <c r="I38" i="4"/>
  <c r="K38" i="4" s="1"/>
  <c r="L22" i="4"/>
  <c r="G48" i="4"/>
  <c r="E48" i="4"/>
  <c r="G38" i="4"/>
  <c r="I48" i="4"/>
  <c r="T101" i="2"/>
  <c r="U119" i="15" l="1"/>
  <c r="W20" i="15"/>
  <c r="V25" i="15"/>
  <c r="W24" i="15"/>
  <c r="AE115" i="2"/>
  <c r="AF88" i="2" s="1"/>
  <c r="AK59" i="2"/>
  <c r="AK69" i="2" s="1"/>
  <c r="AK70" i="2" s="1"/>
  <c r="AK84" i="2" s="1"/>
  <c r="AK87" i="2" s="1"/>
  <c r="AI8" i="4"/>
  <c r="AH35" i="4"/>
  <c r="AH41" i="4" s="1"/>
  <c r="S30" i="4"/>
  <c r="S35" i="4" s="1"/>
  <c r="T10" i="2" s="1"/>
  <c r="O35" i="4"/>
  <c r="P10" i="2" s="1"/>
  <c r="AI24" i="4"/>
  <c r="AI35" i="4" s="1"/>
  <c r="AI6" i="4"/>
  <c r="AI13" i="4"/>
  <c r="W22" i="4"/>
  <c r="V22" i="4"/>
  <c r="Q35" i="4"/>
  <c r="R10" i="2" s="1"/>
  <c r="U35" i="4"/>
  <c r="Y10" i="2" s="1"/>
  <c r="R35" i="4"/>
  <c r="S10" i="2" s="1"/>
  <c r="W35" i="4"/>
  <c r="U22" i="4"/>
  <c r="Y9" i="2" s="1"/>
  <c r="F28" i="8"/>
  <c r="E12" i="8"/>
  <c r="F12" i="8" s="1"/>
  <c r="F11" i="8"/>
  <c r="F33" i="8"/>
  <c r="F30" i="8"/>
  <c r="F22" i="8"/>
  <c r="F27" i="8"/>
  <c r="F29" i="8"/>
  <c r="F21" i="8"/>
  <c r="F40" i="8"/>
  <c r="F41" i="8"/>
  <c r="F39" i="8"/>
  <c r="F35" i="8"/>
  <c r="F18" i="8"/>
  <c r="F32" i="8"/>
  <c r="F34" i="8"/>
  <c r="F19" i="8"/>
  <c r="F16" i="8"/>
  <c r="F25" i="8"/>
  <c r="F17" i="8"/>
  <c r="F31" i="8"/>
  <c r="F26" i="8"/>
  <c r="F24" i="8"/>
  <c r="F20" i="8"/>
  <c r="F36" i="8"/>
  <c r="D12" i="8"/>
  <c r="D20" i="8"/>
  <c r="D36" i="8"/>
  <c r="O22" i="4"/>
  <c r="P9" i="2" s="1"/>
  <c r="C21" i="6"/>
  <c r="R34" i="3"/>
  <c r="R35" i="2" s="1"/>
  <c r="S26" i="3"/>
  <c r="S34" i="3" s="1"/>
  <c r="S35" i="2" s="1"/>
  <c r="Q17" i="3"/>
  <c r="R17" i="3"/>
  <c r="S5" i="3"/>
  <c r="S17" i="3" s="1"/>
  <c r="T45" i="1"/>
  <c r="T48" i="1" s="1"/>
  <c r="P35" i="4"/>
  <c r="Q10" i="2" s="1"/>
  <c r="P22" i="4"/>
  <c r="Q9" i="2" s="1"/>
  <c r="R22" i="4"/>
  <c r="S9" i="2" s="1"/>
  <c r="O40" i="4"/>
  <c r="T7" i="2"/>
  <c r="R7" i="2"/>
  <c r="Q7" i="2"/>
  <c r="S7" i="2"/>
  <c r="T9" i="2"/>
  <c r="Q22" i="4"/>
  <c r="L6" i="2"/>
  <c r="K41" i="4"/>
  <c r="L10" i="2"/>
  <c r="M10" i="2" s="1"/>
  <c r="T134" i="1"/>
  <c r="M9" i="2"/>
  <c r="L38" i="4"/>
  <c r="H38" i="4"/>
  <c r="K6" i="2"/>
  <c r="F38" i="4"/>
  <c r="J6" i="2"/>
  <c r="Y123" i="1"/>
  <c r="Y135" i="1" s="1"/>
  <c r="X123" i="1"/>
  <c r="X135" i="1" s="1"/>
  <c r="W123" i="1"/>
  <c r="W135" i="1" s="1"/>
  <c r="O56" i="2"/>
  <c r="O51" i="2"/>
  <c r="O41" i="2"/>
  <c r="O40" i="2"/>
  <c r="J31" i="3"/>
  <c r="I31" i="3"/>
  <c r="H31" i="3"/>
  <c r="G31" i="3"/>
  <c r="O35" i="2" s="1"/>
  <c r="N17" i="3"/>
  <c r="M17" i="3"/>
  <c r="L17" i="3"/>
  <c r="K17" i="3"/>
  <c r="J17" i="3"/>
  <c r="I17" i="3"/>
  <c r="H17" i="3"/>
  <c r="G17" i="3"/>
  <c r="F17" i="3"/>
  <c r="I19" i="2"/>
  <c r="J19" i="2"/>
  <c r="K19" i="2"/>
  <c r="I60" i="2"/>
  <c r="K60" i="2"/>
  <c r="I67" i="2"/>
  <c r="J67" i="2"/>
  <c r="K67" i="2"/>
  <c r="G67" i="2"/>
  <c r="E25" i="7" s="1"/>
  <c r="P132" i="1"/>
  <c r="P130" i="1"/>
  <c r="P129" i="1"/>
  <c r="P126" i="1"/>
  <c r="P124" i="1"/>
  <c r="P120" i="1"/>
  <c r="P119" i="1"/>
  <c r="P118" i="1"/>
  <c r="P116" i="1"/>
  <c r="P114" i="1"/>
  <c r="G62" i="2" s="1"/>
  <c r="E24" i="7" s="1"/>
  <c r="P112" i="1"/>
  <c r="P103" i="1"/>
  <c r="P98" i="1"/>
  <c r="P97" i="1"/>
  <c r="P96" i="1"/>
  <c r="P94" i="1"/>
  <c r="P91" i="1"/>
  <c r="P84" i="1"/>
  <c r="P81" i="1"/>
  <c r="P70" i="1"/>
  <c r="P68" i="1"/>
  <c r="P60" i="1"/>
  <c r="P47" i="1"/>
  <c r="P46" i="1"/>
  <c r="P44" i="1"/>
  <c r="P43" i="1"/>
  <c r="P39" i="1"/>
  <c r="P37" i="1"/>
  <c r="P35" i="1"/>
  <c r="P32" i="1"/>
  <c r="P31" i="1"/>
  <c r="P30" i="1"/>
  <c r="P25" i="1"/>
  <c r="P8" i="1"/>
  <c r="K132" i="1"/>
  <c r="K130" i="1"/>
  <c r="K129" i="1"/>
  <c r="K127" i="1"/>
  <c r="K126" i="1"/>
  <c r="K124" i="1"/>
  <c r="K121" i="1"/>
  <c r="K120" i="1"/>
  <c r="K119" i="1"/>
  <c r="K118" i="1"/>
  <c r="K114" i="1"/>
  <c r="E62" i="2" s="1"/>
  <c r="C24" i="7" s="1"/>
  <c r="K112" i="1"/>
  <c r="E67" i="2" s="1"/>
  <c r="C25" i="7" s="1"/>
  <c r="K98" i="1"/>
  <c r="K97" i="1"/>
  <c r="K94" i="1"/>
  <c r="K91" i="1"/>
  <c r="K84" i="1"/>
  <c r="K83" i="1"/>
  <c r="K81" i="1"/>
  <c r="K72" i="1"/>
  <c r="K68" i="1"/>
  <c r="K61" i="1"/>
  <c r="K58" i="1"/>
  <c r="K56" i="1"/>
  <c r="K54" i="1"/>
  <c r="K48" i="1"/>
  <c r="K47" i="1"/>
  <c r="K46" i="1"/>
  <c r="K35" i="1"/>
  <c r="K32" i="1"/>
  <c r="K30" i="1"/>
  <c r="K28" i="1"/>
  <c r="K25" i="1"/>
  <c r="K12" i="1"/>
  <c r="K10" i="1"/>
  <c r="F131" i="1"/>
  <c r="F129" i="1"/>
  <c r="F127" i="1"/>
  <c r="F126" i="1"/>
  <c r="F124" i="1"/>
  <c r="F121" i="1"/>
  <c r="F120" i="1"/>
  <c r="F119" i="1"/>
  <c r="F118" i="1"/>
  <c r="F117" i="1"/>
  <c r="F116" i="1"/>
  <c r="F114" i="1"/>
  <c r="C62" i="2" s="1"/>
  <c r="F110" i="1"/>
  <c r="C28" i="2" s="1"/>
  <c r="F109" i="1"/>
  <c r="C40" i="2" s="1"/>
  <c r="F101" i="1"/>
  <c r="F96" i="1"/>
  <c r="F91" i="1"/>
  <c r="F81" i="1"/>
  <c r="F72" i="1"/>
  <c r="F68" i="1"/>
  <c r="F61" i="1"/>
  <c r="F60" i="1"/>
  <c r="F58" i="1"/>
  <c r="F56" i="1"/>
  <c r="F55" i="1"/>
  <c r="F54" i="1"/>
  <c r="F53" i="1"/>
  <c r="F48" i="1"/>
  <c r="F46" i="1"/>
  <c r="F30" i="1"/>
  <c r="F28" i="1"/>
  <c r="F10" i="1"/>
  <c r="F12" i="1"/>
  <c r="S133" i="1"/>
  <c r="R133" i="1"/>
  <c r="Q133" i="1"/>
  <c r="N133" i="1"/>
  <c r="L133" i="1"/>
  <c r="I133" i="1"/>
  <c r="H133" i="1"/>
  <c r="G133" i="1"/>
  <c r="K133" i="1" s="1"/>
  <c r="D132" i="1"/>
  <c r="C132" i="1"/>
  <c r="B132" i="1"/>
  <c r="O131" i="1"/>
  <c r="P131" i="1" s="1"/>
  <c r="E33" i="7" s="1"/>
  <c r="J131" i="1"/>
  <c r="J133" i="1" s="1"/>
  <c r="M130" i="1"/>
  <c r="M133" i="1" s="1"/>
  <c r="E130" i="1"/>
  <c r="E133" i="1" s="1"/>
  <c r="D130" i="1"/>
  <c r="C130" i="1"/>
  <c r="B130" i="1"/>
  <c r="O127" i="1"/>
  <c r="S126" i="1"/>
  <c r="U126" i="1" s="1"/>
  <c r="S125" i="1"/>
  <c r="R125" i="1"/>
  <c r="R128" i="1" s="1"/>
  <c r="Q125" i="1"/>
  <c r="O125" i="1"/>
  <c r="N125" i="1"/>
  <c r="N128" i="1" s="1"/>
  <c r="M125" i="1"/>
  <c r="M128" i="1" s="1"/>
  <c r="L125" i="1"/>
  <c r="L128" i="1" s="1"/>
  <c r="J125" i="1"/>
  <c r="J128" i="1" s="1"/>
  <c r="I125" i="1"/>
  <c r="I128" i="1" s="1"/>
  <c r="H125" i="1"/>
  <c r="H128" i="1" s="1"/>
  <c r="G125" i="1"/>
  <c r="G128" i="1" s="1"/>
  <c r="E125" i="1"/>
  <c r="E128" i="1" s="1"/>
  <c r="D125" i="1"/>
  <c r="D128" i="1" s="1"/>
  <c r="C125" i="1"/>
  <c r="C128" i="1" s="1"/>
  <c r="B125" i="1"/>
  <c r="B128" i="1" s="1"/>
  <c r="S121" i="1"/>
  <c r="R121" i="1"/>
  <c r="Q121" i="1"/>
  <c r="O121" i="1"/>
  <c r="N121" i="1"/>
  <c r="M121" i="1"/>
  <c r="P121" i="1" s="1"/>
  <c r="Q120" i="1"/>
  <c r="U120" i="1" s="1"/>
  <c r="S119" i="1"/>
  <c r="U119" i="1" s="1"/>
  <c r="S118" i="1"/>
  <c r="R118" i="1"/>
  <c r="R117" i="1"/>
  <c r="L117" i="1"/>
  <c r="P117" i="1" s="1"/>
  <c r="I117" i="1"/>
  <c r="H117" i="1"/>
  <c r="K117" i="1" s="1"/>
  <c r="J116" i="1"/>
  <c r="H116" i="1"/>
  <c r="K116" i="1" s="1"/>
  <c r="S115" i="1"/>
  <c r="R115" i="1"/>
  <c r="J60" i="2" s="1"/>
  <c r="Q115" i="1"/>
  <c r="O115" i="1"/>
  <c r="N115" i="1"/>
  <c r="M115" i="1"/>
  <c r="L115" i="1"/>
  <c r="J115" i="1"/>
  <c r="I115" i="1"/>
  <c r="H115" i="1"/>
  <c r="G115" i="1"/>
  <c r="E115" i="1"/>
  <c r="D115" i="1"/>
  <c r="C115" i="1"/>
  <c r="B115" i="1"/>
  <c r="S114" i="1"/>
  <c r="K62" i="2" s="1"/>
  <c r="R114" i="1"/>
  <c r="J62" i="2" s="1"/>
  <c r="Q114" i="1"/>
  <c r="O114" i="1"/>
  <c r="S113" i="1"/>
  <c r="K53" i="2" s="1"/>
  <c r="R113" i="1"/>
  <c r="J53" i="2" s="1"/>
  <c r="Q113" i="1"/>
  <c r="U113" i="1" s="1"/>
  <c r="O113" i="1"/>
  <c r="N113" i="1"/>
  <c r="M113" i="1"/>
  <c r="L113" i="1"/>
  <c r="J113" i="1"/>
  <c r="I113" i="1"/>
  <c r="H113" i="1"/>
  <c r="G113" i="1"/>
  <c r="K113" i="1" s="1"/>
  <c r="E53" i="2" s="1"/>
  <c r="C18" i="7" s="1"/>
  <c r="E113" i="1"/>
  <c r="D113" i="1"/>
  <c r="C113" i="1"/>
  <c r="B113" i="1"/>
  <c r="I112" i="1"/>
  <c r="H112" i="1"/>
  <c r="G112" i="1"/>
  <c r="E112" i="1"/>
  <c r="D112" i="1"/>
  <c r="C112" i="1"/>
  <c r="S110" i="1"/>
  <c r="K28" i="2" s="1"/>
  <c r="R110" i="1"/>
  <c r="J28" i="2" s="1"/>
  <c r="Q110" i="1"/>
  <c r="O110" i="1"/>
  <c r="N110" i="1"/>
  <c r="M110" i="1"/>
  <c r="L110" i="1"/>
  <c r="J110" i="1"/>
  <c r="I110" i="1"/>
  <c r="H110" i="1"/>
  <c r="S109" i="1"/>
  <c r="K40" i="2" s="1"/>
  <c r="R109" i="1"/>
  <c r="J40" i="2" s="1"/>
  <c r="Q109" i="1"/>
  <c r="O109" i="1"/>
  <c r="N109" i="1"/>
  <c r="M109" i="1"/>
  <c r="L109" i="1"/>
  <c r="J109" i="1"/>
  <c r="I109" i="1"/>
  <c r="H109" i="1"/>
  <c r="K109" i="1" s="1"/>
  <c r="E40" i="2" s="1"/>
  <c r="S108" i="1"/>
  <c r="K35" i="2" s="1"/>
  <c r="R108" i="1"/>
  <c r="J35" i="2" s="1"/>
  <c r="Q108" i="1"/>
  <c r="O108" i="1"/>
  <c r="N108" i="1"/>
  <c r="M108" i="1"/>
  <c r="L108" i="1"/>
  <c r="J108" i="1"/>
  <c r="I108" i="1"/>
  <c r="G108" i="1"/>
  <c r="K108" i="1" s="1"/>
  <c r="E35" i="2" s="1"/>
  <c r="E108" i="1"/>
  <c r="D108" i="1"/>
  <c r="C108" i="1"/>
  <c r="B108" i="1"/>
  <c r="S107" i="1"/>
  <c r="K61" i="2" s="1"/>
  <c r="R61" i="2" s="1"/>
  <c r="R107" i="1"/>
  <c r="J61" i="2" s="1"/>
  <c r="Q61" i="2" s="1"/>
  <c r="Q107" i="1"/>
  <c r="O107" i="1"/>
  <c r="N107" i="1"/>
  <c r="L107" i="1"/>
  <c r="J107" i="1"/>
  <c r="I107" i="1"/>
  <c r="H107" i="1"/>
  <c r="E107" i="1"/>
  <c r="D107" i="1"/>
  <c r="C107" i="1"/>
  <c r="B107" i="1"/>
  <c r="S106" i="1"/>
  <c r="K59" i="2" s="1"/>
  <c r="R59" i="2" s="1"/>
  <c r="R106" i="1"/>
  <c r="J59" i="2" s="1"/>
  <c r="Q59" i="2" s="1"/>
  <c r="Q106" i="1"/>
  <c r="O106" i="1"/>
  <c r="N106" i="1"/>
  <c r="M106" i="1"/>
  <c r="L106" i="1"/>
  <c r="P106" i="1" s="1"/>
  <c r="G59" i="2" s="1"/>
  <c r="E17" i="7" s="1"/>
  <c r="J106" i="1"/>
  <c r="I106" i="1"/>
  <c r="H106" i="1"/>
  <c r="E106" i="1"/>
  <c r="D106" i="1"/>
  <c r="C106" i="1"/>
  <c r="S104" i="1"/>
  <c r="K41" i="2" s="1"/>
  <c r="R104" i="1"/>
  <c r="J41" i="2" s="1"/>
  <c r="Q104" i="1"/>
  <c r="O104" i="1"/>
  <c r="N104" i="1"/>
  <c r="M104" i="1"/>
  <c r="L104" i="1"/>
  <c r="J104" i="1"/>
  <c r="I104" i="1"/>
  <c r="H104" i="1"/>
  <c r="G104" i="1"/>
  <c r="K104" i="1" s="1"/>
  <c r="E41" i="2" s="1"/>
  <c r="E104" i="1"/>
  <c r="D104" i="1"/>
  <c r="C104" i="1"/>
  <c r="B104" i="1"/>
  <c r="H103" i="1"/>
  <c r="K103" i="1" s="1"/>
  <c r="C103" i="1"/>
  <c r="F103" i="1" s="1"/>
  <c r="S102" i="1"/>
  <c r="R102" i="1"/>
  <c r="Q102" i="1"/>
  <c r="O102" i="1"/>
  <c r="N102" i="1"/>
  <c r="M102" i="1"/>
  <c r="L102" i="1"/>
  <c r="P102" i="1" s="1"/>
  <c r="J102" i="1"/>
  <c r="I102" i="1"/>
  <c r="H102" i="1"/>
  <c r="G102" i="1"/>
  <c r="K102" i="1" s="1"/>
  <c r="E102" i="1"/>
  <c r="D102" i="1"/>
  <c r="C102" i="1"/>
  <c r="B102" i="1"/>
  <c r="S101" i="1"/>
  <c r="K55" i="2" s="1"/>
  <c r="R101" i="1"/>
  <c r="J55" i="2" s="1"/>
  <c r="Q101" i="1"/>
  <c r="O101" i="1"/>
  <c r="N101" i="1"/>
  <c r="M101" i="1"/>
  <c r="L101" i="1"/>
  <c r="J101" i="1"/>
  <c r="I101" i="1"/>
  <c r="K101" i="1" s="1"/>
  <c r="S100" i="1"/>
  <c r="K54" i="2" s="1"/>
  <c r="R100" i="1"/>
  <c r="J54" i="2" s="1"/>
  <c r="Q100" i="1"/>
  <c r="O100" i="1"/>
  <c r="N100" i="1"/>
  <c r="M100" i="1"/>
  <c r="L100" i="1"/>
  <c r="P100" i="1" s="1"/>
  <c r="G54" i="2" s="1"/>
  <c r="E19" i="7" s="1"/>
  <c r="J100" i="1"/>
  <c r="I100" i="1"/>
  <c r="H100" i="1"/>
  <c r="G100" i="1"/>
  <c r="E100" i="1"/>
  <c r="D100" i="1"/>
  <c r="C100" i="1"/>
  <c r="B100" i="1"/>
  <c r="D98" i="1"/>
  <c r="C98" i="1"/>
  <c r="D97" i="1"/>
  <c r="C97" i="1"/>
  <c r="B97" i="1"/>
  <c r="I96" i="1"/>
  <c r="S95" i="1"/>
  <c r="R95" i="1"/>
  <c r="Q95" i="1"/>
  <c r="U95" i="1" s="1"/>
  <c r="O95" i="1"/>
  <c r="P95" i="1" s="1"/>
  <c r="I95" i="1"/>
  <c r="H95" i="1"/>
  <c r="G95" i="1"/>
  <c r="K95" i="1" s="1"/>
  <c r="E95" i="1"/>
  <c r="D95" i="1"/>
  <c r="C95" i="1"/>
  <c r="B95" i="1"/>
  <c r="E94" i="1"/>
  <c r="D94" i="1"/>
  <c r="C94" i="1"/>
  <c r="B94" i="1"/>
  <c r="M93" i="1"/>
  <c r="L93" i="1"/>
  <c r="J93" i="1"/>
  <c r="I93" i="1"/>
  <c r="H93" i="1"/>
  <c r="G93" i="1"/>
  <c r="E93" i="1"/>
  <c r="D93" i="1"/>
  <c r="C93" i="1"/>
  <c r="S92" i="1"/>
  <c r="S99" i="1" s="1"/>
  <c r="K82" i="2" s="1"/>
  <c r="R92" i="1"/>
  <c r="Q92" i="1"/>
  <c r="U92" i="1" s="1"/>
  <c r="O92" i="1"/>
  <c r="O99" i="1" s="1"/>
  <c r="N92" i="1"/>
  <c r="N99" i="1" s="1"/>
  <c r="M92" i="1"/>
  <c r="L92" i="1"/>
  <c r="J92" i="1"/>
  <c r="I92" i="1"/>
  <c r="H92" i="1"/>
  <c r="G92" i="1"/>
  <c r="K92" i="1" s="1"/>
  <c r="E92" i="1"/>
  <c r="D92" i="1"/>
  <c r="C92" i="1"/>
  <c r="B92" i="1"/>
  <c r="R91" i="1"/>
  <c r="U91" i="1" s="1"/>
  <c r="S90" i="1"/>
  <c r="K56" i="2" s="1"/>
  <c r="R90" i="1"/>
  <c r="J56" i="2" s="1"/>
  <c r="Q90" i="1"/>
  <c r="U90" i="1" s="1"/>
  <c r="O90" i="1"/>
  <c r="N90" i="1"/>
  <c r="M90" i="1"/>
  <c r="L90" i="1"/>
  <c r="J90" i="1"/>
  <c r="I90" i="1"/>
  <c r="H90" i="1"/>
  <c r="G90" i="1"/>
  <c r="K90" i="1" s="1"/>
  <c r="E56" i="2" s="1"/>
  <c r="C21" i="7" s="1"/>
  <c r="E90" i="1"/>
  <c r="D90" i="1"/>
  <c r="C90" i="1"/>
  <c r="B90" i="1"/>
  <c r="S88" i="1"/>
  <c r="R88" i="1"/>
  <c r="Q88" i="1"/>
  <c r="U88" i="1" s="1"/>
  <c r="O88" i="1"/>
  <c r="N88" i="1"/>
  <c r="M88" i="1"/>
  <c r="L88" i="1"/>
  <c r="P88" i="1" s="1"/>
  <c r="J88" i="1"/>
  <c r="I88" i="1"/>
  <c r="H88" i="1"/>
  <c r="G88" i="1"/>
  <c r="E88" i="1"/>
  <c r="D88" i="1"/>
  <c r="C88" i="1"/>
  <c r="B88" i="1"/>
  <c r="S87" i="1"/>
  <c r="Q87" i="1"/>
  <c r="O87" i="1"/>
  <c r="P87" i="1" s="1"/>
  <c r="I87" i="1"/>
  <c r="H87" i="1"/>
  <c r="G87" i="1"/>
  <c r="K87" i="1" s="1"/>
  <c r="E87" i="1"/>
  <c r="D87" i="1"/>
  <c r="C87" i="1"/>
  <c r="B87" i="1"/>
  <c r="S86" i="1"/>
  <c r="R86" i="1"/>
  <c r="Q86" i="1"/>
  <c r="U86" i="1" s="1"/>
  <c r="O86" i="1"/>
  <c r="N86" i="1"/>
  <c r="M86" i="1"/>
  <c r="L86" i="1"/>
  <c r="J86" i="1"/>
  <c r="I86" i="1"/>
  <c r="H86" i="1"/>
  <c r="G86" i="1"/>
  <c r="K86" i="1" s="1"/>
  <c r="E86" i="1"/>
  <c r="D86" i="1"/>
  <c r="C86" i="1"/>
  <c r="B86" i="1"/>
  <c r="C84" i="1"/>
  <c r="M83" i="1"/>
  <c r="P83" i="1" s="1"/>
  <c r="C83" i="1"/>
  <c r="F83" i="1" s="1"/>
  <c r="S82" i="1"/>
  <c r="S85" i="1" s="1"/>
  <c r="K51" i="2" s="1"/>
  <c r="R82" i="1"/>
  <c r="R85" i="1" s="1"/>
  <c r="J51" i="2" s="1"/>
  <c r="Q82" i="1"/>
  <c r="O82" i="1"/>
  <c r="O85" i="1" s="1"/>
  <c r="N82" i="1"/>
  <c r="N85" i="1" s="1"/>
  <c r="M82" i="1"/>
  <c r="L82" i="1"/>
  <c r="L85" i="1" s="1"/>
  <c r="J82" i="1"/>
  <c r="J85" i="1" s="1"/>
  <c r="I82" i="1"/>
  <c r="I85" i="1" s="1"/>
  <c r="H82" i="1"/>
  <c r="H85" i="1" s="1"/>
  <c r="G82" i="1"/>
  <c r="G85" i="1" s="1"/>
  <c r="E82" i="1"/>
  <c r="E85" i="1" s="1"/>
  <c r="D82" i="1"/>
  <c r="D85" i="1" s="1"/>
  <c r="C82" i="1"/>
  <c r="B82" i="1"/>
  <c r="B85" i="1" s="1"/>
  <c r="R81" i="1"/>
  <c r="U81" i="1" s="1"/>
  <c r="S79" i="1"/>
  <c r="R79" i="1"/>
  <c r="Q79" i="1"/>
  <c r="O79" i="1"/>
  <c r="N79" i="1"/>
  <c r="M79" i="1"/>
  <c r="L79" i="1"/>
  <c r="J79" i="1"/>
  <c r="I79" i="1"/>
  <c r="H79" i="1"/>
  <c r="G79" i="1"/>
  <c r="K79" i="1" s="1"/>
  <c r="E79" i="1"/>
  <c r="D79" i="1"/>
  <c r="C79" i="1"/>
  <c r="B79" i="1"/>
  <c r="S77" i="1"/>
  <c r="R77" i="1"/>
  <c r="Q77" i="1"/>
  <c r="U77" i="1" s="1"/>
  <c r="O77" i="1"/>
  <c r="N77" i="1"/>
  <c r="M77" i="1"/>
  <c r="L77" i="1"/>
  <c r="J77" i="1"/>
  <c r="I77" i="1"/>
  <c r="H77" i="1"/>
  <c r="G77" i="1"/>
  <c r="K77" i="1" s="1"/>
  <c r="E77" i="1"/>
  <c r="D77" i="1"/>
  <c r="C77" i="1"/>
  <c r="B77" i="1"/>
  <c r="S76" i="1"/>
  <c r="R76" i="1"/>
  <c r="Q76" i="1"/>
  <c r="U76" i="1" s="1"/>
  <c r="O76" i="1"/>
  <c r="N76" i="1"/>
  <c r="M76" i="1"/>
  <c r="L76" i="1"/>
  <c r="J76" i="1"/>
  <c r="I76" i="1"/>
  <c r="H76" i="1"/>
  <c r="G76" i="1"/>
  <c r="K76" i="1" s="1"/>
  <c r="E76" i="1"/>
  <c r="D76" i="1"/>
  <c r="C76" i="1"/>
  <c r="B76" i="1"/>
  <c r="S75" i="1"/>
  <c r="R75" i="1"/>
  <c r="U75" i="1"/>
  <c r="O75" i="1"/>
  <c r="N75" i="1"/>
  <c r="M75" i="1"/>
  <c r="L75" i="1"/>
  <c r="J75" i="1"/>
  <c r="I75" i="1"/>
  <c r="H75" i="1"/>
  <c r="G75" i="1"/>
  <c r="K75" i="1" s="1"/>
  <c r="E75" i="1"/>
  <c r="D75" i="1"/>
  <c r="C75" i="1"/>
  <c r="B75" i="1"/>
  <c r="S74" i="1"/>
  <c r="R74" i="1"/>
  <c r="Q74" i="1"/>
  <c r="O74" i="1"/>
  <c r="N74" i="1"/>
  <c r="M74" i="1"/>
  <c r="P74" i="1" s="1"/>
  <c r="H74" i="1"/>
  <c r="G74" i="1"/>
  <c r="K74" i="1" s="1"/>
  <c r="E74" i="1"/>
  <c r="C74" i="1"/>
  <c r="B74" i="1"/>
  <c r="S73" i="1"/>
  <c r="R73" i="1"/>
  <c r="Q73" i="1"/>
  <c r="U73" i="1" s="1"/>
  <c r="O73" i="1"/>
  <c r="N73" i="1"/>
  <c r="L73" i="1"/>
  <c r="J73" i="1"/>
  <c r="I73" i="1"/>
  <c r="G73" i="1"/>
  <c r="K73" i="1" s="1"/>
  <c r="E73" i="1"/>
  <c r="D73" i="1"/>
  <c r="C73" i="1"/>
  <c r="B73" i="1"/>
  <c r="S72" i="1"/>
  <c r="R72" i="1"/>
  <c r="Q72" i="1"/>
  <c r="O72" i="1"/>
  <c r="N72" i="1"/>
  <c r="M72" i="1"/>
  <c r="S71" i="1"/>
  <c r="R71" i="1"/>
  <c r="Q71" i="1"/>
  <c r="O71" i="1"/>
  <c r="N71" i="1"/>
  <c r="M71" i="1"/>
  <c r="L71" i="1"/>
  <c r="J71" i="1"/>
  <c r="I71" i="1"/>
  <c r="H71" i="1"/>
  <c r="G71" i="1"/>
  <c r="E71" i="1"/>
  <c r="D71" i="1"/>
  <c r="C71" i="1"/>
  <c r="B71" i="1"/>
  <c r="S70" i="1"/>
  <c r="R70" i="1"/>
  <c r="Q70" i="1"/>
  <c r="O70" i="1"/>
  <c r="G70" i="1"/>
  <c r="K70" i="1" s="1"/>
  <c r="C70" i="1"/>
  <c r="B70" i="1"/>
  <c r="F70" i="1" s="1"/>
  <c r="S69" i="1"/>
  <c r="R69" i="1"/>
  <c r="Q69" i="1"/>
  <c r="O69" i="1"/>
  <c r="N69" i="1"/>
  <c r="M69" i="1"/>
  <c r="L69" i="1"/>
  <c r="J69" i="1"/>
  <c r="I69" i="1"/>
  <c r="H69" i="1"/>
  <c r="K69" i="1" s="1"/>
  <c r="G69" i="1"/>
  <c r="E69" i="1"/>
  <c r="D69" i="1"/>
  <c r="C69" i="1"/>
  <c r="B69" i="1"/>
  <c r="R64" i="1"/>
  <c r="Q64" i="1"/>
  <c r="U64" i="1" s="1"/>
  <c r="O64" i="1"/>
  <c r="N64" i="1"/>
  <c r="M64" i="1"/>
  <c r="L64" i="1"/>
  <c r="J64" i="1"/>
  <c r="I64" i="1"/>
  <c r="H64" i="1"/>
  <c r="G64" i="1"/>
  <c r="K64" i="1" s="1"/>
  <c r="D64" i="1"/>
  <c r="C64" i="1"/>
  <c r="R62" i="1"/>
  <c r="Q62" i="1"/>
  <c r="O62" i="1"/>
  <c r="N62" i="1"/>
  <c r="M62" i="1"/>
  <c r="L62" i="1"/>
  <c r="J62" i="1"/>
  <c r="I62" i="1"/>
  <c r="H62" i="1"/>
  <c r="G62" i="1"/>
  <c r="E62" i="1"/>
  <c r="D62" i="1"/>
  <c r="C62" i="1"/>
  <c r="S61" i="1"/>
  <c r="R61" i="1"/>
  <c r="Q61" i="1"/>
  <c r="O61" i="1"/>
  <c r="P61" i="1" s="1"/>
  <c r="N61" i="1"/>
  <c r="J60" i="1"/>
  <c r="K60" i="1" s="1"/>
  <c r="I60" i="1"/>
  <c r="S59" i="1"/>
  <c r="R59" i="1"/>
  <c r="Q59" i="1"/>
  <c r="U59" i="1" s="1"/>
  <c r="O59" i="1"/>
  <c r="N59" i="1"/>
  <c r="M59" i="1"/>
  <c r="L59" i="1"/>
  <c r="J59" i="1"/>
  <c r="I59" i="1"/>
  <c r="H59" i="1"/>
  <c r="G59" i="1"/>
  <c r="K59" i="1" s="1"/>
  <c r="E59" i="1"/>
  <c r="D59" i="1"/>
  <c r="C59" i="1"/>
  <c r="B59" i="1"/>
  <c r="R58" i="1"/>
  <c r="Q58" i="1"/>
  <c r="U58" i="1" s="1"/>
  <c r="O58" i="1"/>
  <c r="N58" i="1"/>
  <c r="M58" i="1"/>
  <c r="R57" i="1"/>
  <c r="Q57" i="1"/>
  <c r="O57" i="1"/>
  <c r="N57" i="1"/>
  <c r="M57" i="1"/>
  <c r="L57" i="1"/>
  <c r="P57" i="1" s="1"/>
  <c r="J57" i="1"/>
  <c r="I57" i="1"/>
  <c r="H57" i="1"/>
  <c r="G57" i="1"/>
  <c r="E57" i="1"/>
  <c r="D57" i="1"/>
  <c r="C57" i="1"/>
  <c r="B57" i="1"/>
  <c r="O56" i="1"/>
  <c r="N56" i="1"/>
  <c r="M56" i="1"/>
  <c r="Q55" i="1"/>
  <c r="U55" i="1" s="1"/>
  <c r="O55" i="1"/>
  <c r="P55" i="1" s="1"/>
  <c r="L55" i="1"/>
  <c r="J55" i="1"/>
  <c r="I55" i="1"/>
  <c r="K55" i="1" s="1"/>
  <c r="Q54" i="1"/>
  <c r="U54" i="1" s="1"/>
  <c r="O54" i="1"/>
  <c r="M54" i="1"/>
  <c r="P54" i="1" s="1"/>
  <c r="M53" i="1"/>
  <c r="L53" i="1"/>
  <c r="J53" i="1"/>
  <c r="I53" i="1"/>
  <c r="H53" i="1"/>
  <c r="G53" i="1"/>
  <c r="K53" i="1" s="1"/>
  <c r="N52" i="1"/>
  <c r="M52" i="1"/>
  <c r="L52" i="1"/>
  <c r="J52" i="1"/>
  <c r="I52" i="1"/>
  <c r="H52" i="1"/>
  <c r="G52" i="1"/>
  <c r="E52" i="1"/>
  <c r="D52" i="1"/>
  <c r="C52" i="1"/>
  <c r="B52" i="1"/>
  <c r="R51" i="1"/>
  <c r="Q51" i="1"/>
  <c r="O51" i="1"/>
  <c r="N51" i="1"/>
  <c r="M51" i="1"/>
  <c r="L51" i="1"/>
  <c r="J51" i="1"/>
  <c r="I51" i="1"/>
  <c r="H51" i="1"/>
  <c r="G51" i="1"/>
  <c r="K51" i="1" s="1"/>
  <c r="E51" i="1"/>
  <c r="D51" i="1"/>
  <c r="C51" i="1"/>
  <c r="B51" i="1"/>
  <c r="S50" i="1"/>
  <c r="K16" i="2" s="1"/>
  <c r="R50" i="1"/>
  <c r="Q50" i="1"/>
  <c r="O50" i="1"/>
  <c r="M50" i="1"/>
  <c r="L50" i="1"/>
  <c r="P50" i="1" s="1"/>
  <c r="J50" i="1"/>
  <c r="I50" i="1"/>
  <c r="H50" i="1"/>
  <c r="G50" i="1"/>
  <c r="E50" i="1"/>
  <c r="D50" i="1"/>
  <c r="C50" i="1"/>
  <c r="B50" i="1"/>
  <c r="S49" i="1"/>
  <c r="K17" i="2" s="1"/>
  <c r="R49" i="1"/>
  <c r="J17" i="2" s="1"/>
  <c r="Q49" i="1"/>
  <c r="O49" i="1"/>
  <c r="N49" i="1"/>
  <c r="M49" i="1"/>
  <c r="L49" i="1"/>
  <c r="P49" i="1" s="1"/>
  <c r="G17" i="2" s="1"/>
  <c r="J49" i="1"/>
  <c r="I49" i="1"/>
  <c r="H49" i="1"/>
  <c r="G49" i="1"/>
  <c r="E49" i="1"/>
  <c r="D49" i="1"/>
  <c r="C49" i="1"/>
  <c r="B49" i="1"/>
  <c r="R48" i="1"/>
  <c r="Q48" i="1"/>
  <c r="I16" i="2" s="1"/>
  <c r="O48" i="1"/>
  <c r="N48" i="1"/>
  <c r="M48" i="1"/>
  <c r="D47" i="1"/>
  <c r="G44" i="1"/>
  <c r="K44" i="1" s="1"/>
  <c r="B44" i="1"/>
  <c r="F44" i="1" s="1"/>
  <c r="J43" i="1"/>
  <c r="K43" i="1" s="1"/>
  <c r="C43" i="1"/>
  <c r="F43" i="1" s="1"/>
  <c r="S42" i="1"/>
  <c r="R42" i="1"/>
  <c r="Q42" i="1"/>
  <c r="O42" i="1"/>
  <c r="M42" i="1"/>
  <c r="L42" i="1"/>
  <c r="P42" i="1" s="1"/>
  <c r="G42" i="1"/>
  <c r="K42" i="1" s="1"/>
  <c r="E42" i="1"/>
  <c r="D42" i="1"/>
  <c r="C42" i="1"/>
  <c r="B42" i="1"/>
  <c r="G39" i="1"/>
  <c r="K39" i="1" s="1"/>
  <c r="E39" i="1"/>
  <c r="D39" i="1"/>
  <c r="C39" i="1"/>
  <c r="G37" i="1"/>
  <c r="K37" i="1" s="1"/>
  <c r="C37" i="1"/>
  <c r="B37" i="1"/>
  <c r="S36" i="1"/>
  <c r="S38" i="1" s="1"/>
  <c r="S40" i="1" s="1"/>
  <c r="R36" i="1"/>
  <c r="R38" i="1" s="1"/>
  <c r="R40" i="1" s="1"/>
  <c r="Q36" i="1"/>
  <c r="O36" i="1"/>
  <c r="O38" i="1" s="1"/>
  <c r="O40" i="1" s="1"/>
  <c r="N36" i="1"/>
  <c r="N38" i="1" s="1"/>
  <c r="N40" i="1" s="1"/>
  <c r="M36" i="1"/>
  <c r="M38" i="1" s="1"/>
  <c r="M40" i="1" s="1"/>
  <c r="L36" i="1"/>
  <c r="L38" i="1" s="1"/>
  <c r="L40" i="1" s="1"/>
  <c r="J36" i="1"/>
  <c r="J38" i="1" s="1"/>
  <c r="J40" i="1" s="1"/>
  <c r="I36" i="1"/>
  <c r="I38" i="1" s="1"/>
  <c r="I40" i="1" s="1"/>
  <c r="H36" i="1"/>
  <c r="H38" i="1" s="1"/>
  <c r="H40" i="1" s="1"/>
  <c r="G36" i="1"/>
  <c r="E36" i="1"/>
  <c r="E38" i="1" s="1"/>
  <c r="D36" i="1"/>
  <c r="D38" i="1" s="1"/>
  <c r="C36" i="1"/>
  <c r="B36" i="1"/>
  <c r="C35" i="1"/>
  <c r="F35" i="1" s="1"/>
  <c r="S34" i="1"/>
  <c r="R34" i="1"/>
  <c r="Q34" i="1"/>
  <c r="U34" i="1" s="1"/>
  <c r="O34" i="1"/>
  <c r="N34" i="1"/>
  <c r="M34" i="1"/>
  <c r="L34" i="1"/>
  <c r="J34" i="1"/>
  <c r="I34" i="1"/>
  <c r="H34" i="1"/>
  <c r="G34" i="1"/>
  <c r="K34" i="1" s="1"/>
  <c r="E34" i="1"/>
  <c r="D34" i="1"/>
  <c r="C34" i="1"/>
  <c r="B34" i="1"/>
  <c r="O33" i="1"/>
  <c r="N33" i="1"/>
  <c r="M33" i="1"/>
  <c r="L33" i="1"/>
  <c r="P33" i="1" s="1"/>
  <c r="J33" i="1"/>
  <c r="I33" i="1"/>
  <c r="H33" i="1"/>
  <c r="E32" i="1"/>
  <c r="D32" i="1"/>
  <c r="C32" i="1"/>
  <c r="B32" i="1"/>
  <c r="S31" i="1"/>
  <c r="S33" i="1" s="1"/>
  <c r="R31" i="1"/>
  <c r="R33" i="1" s="1"/>
  <c r="Q31" i="1"/>
  <c r="G31" i="1"/>
  <c r="G33" i="1" s="1"/>
  <c r="E31" i="1"/>
  <c r="E33" i="1" s="1"/>
  <c r="D31" i="1"/>
  <c r="D33" i="1" s="1"/>
  <c r="C31" i="1"/>
  <c r="B31" i="1"/>
  <c r="S30" i="1"/>
  <c r="R30" i="1"/>
  <c r="Q30" i="1"/>
  <c r="U30" i="1" s="1"/>
  <c r="S28" i="1"/>
  <c r="R28" i="1"/>
  <c r="Q28" i="1"/>
  <c r="O28" i="1"/>
  <c r="N28" i="1"/>
  <c r="M28" i="1"/>
  <c r="S27" i="1"/>
  <c r="R27" i="1"/>
  <c r="Q27" i="1"/>
  <c r="O27" i="1"/>
  <c r="N27" i="1"/>
  <c r="M27" i="1"/>
  <c r="L27" i="1"/>
  <c r="J27" i="1"/>
  <c r="I27" i="1"/>
  <c r="H27" i="1"/>
  <c r="K27" i="1" s="1"/>
  <c r="G27" i="1"/>
  <c r="E27" i="1"/>
  <c r="D27" i="1"/>
  <c r="C27" i="1"/>
  <c r="S26" i="1"/>
  <c r="R26" i="1"/>
  <c r="Q26" i="1"/>
  <c r="U26" i="1" s="1"/>
  <c r="O26" i="1"/>
  <c r="N26" i="1"/>
  <c r="M26" i="1"/>
  <c r="L26" i="1"/>
  <c r="J26" i="1"/>
  <c r="I26" i="1"/>
  <c r="H26" i="1"/>
  <c r="G26" i="1"/>
  <c r="G29" i="1" s="1"/>
  <c r="E26" i="1"/>
  <c r="D26" i="1"/>
  <c r="C26" i="1"/>
  <c r="B26" i="1"/>
  <c r="B29" i="1" s="1"/>
  <c r="D25" i="1"/>
  <c r="S23" i="1"/>
  <c r="R23" i="1"/>
  <c r="Q23" i="1"/>
  <c r="U23" i="1" s="1"/>
  <c r="O23" i="1"/>
  <c r="N23" i="1"/>
  <c r="M23" i="1"/>
  <c r="L23" i="1"/>
  <c r="J23" i="1"/>
  <c r="I23" i="1"/>
  <c r="H23" i="1"/>
  <c r="G23" i="1"/>
  <c r="K23" i="1" s="1"/>
  <c r="E23" i="1"/>
  <c r="D23" i="1"/>
  <c r="C23" i="1"/>
  <c r="B23" i="1"/>
  <c r="S22" i="1"/>
  <c r="R22" i="1"/>
  <c r="Q22" i="1"/>
  <c r="U22" i="1" s="1"/>
  <c r="O22" i="1"/>
  <c r="N22" i="1"/>
  <c r="M22" i="1"/>
  <c r="L22" i="1"/>
  <c r="J22" i="1"/>
  <c r="I22" i="1"/>
  <c r="H22" i="1"/>
  <c r="G22" i="1"/>
  <c r="K22" i="1" s="1"/>
  <c r="E22" i="1"/>
  <c r="D22" i="1"/>
  <c r="C22" i="1"/>
  <c r="B22" i="1"/>
  <c r="S19" i="1"/>
  <c r="R19" i="1"/>
  <c r="Q19" i="1"/>
  <c r="O19" i="1"/>
  <c r="N19" i="1"/>
  <c r="M19" i="1"/>
  <c r="L19" i="1"/>
  <c r="J19" i="1"/>
  <c r="I19" i="1"/>
  <c r="H19" i="1"/>
  <c r="G19" i="1"/>
  <c r="E19" i="1"/>
  <c r="D19" i="1"/>
  <c r="S18" i="1"/>
  <c r="R18" i="1"/>
  <c r="Q18" i="1"/>
  <c r="O18" i="1"/>
  <c r="N18" i="1"/>
  <c r="M18" i="1"/>
  <c r="L18" i="1"/>
  <c r="J18" i="1"/>
  <c r="I18" i="1"/>
  <c r="H18" i="1"/>
  <c r="G18" i="1"/>
  <c r="E18" i="1"/>
  <c r="D18" i="1"/>
  <c r="C18" i="1"/>
  <c r="B18" i="1"/>
  <c r="R17" i="1"/>
  <c r="Q17" i="1"/>
  <c r="U17" i="1" s="1"/>
  <c r="O17" i="1"/>
  <c r="N17" i="1"/>
  <c r="M17" i="1"/>
  <c r="L17" i="1"/>
  <c r="J17" i="1"/>
  <c r="I17" i="1"/>
  <c r="H17" i="1"/>
  <c r="G17" i="1"/>
  <c r="K17" i="1" s="1"/>
  <c r="E17" i="1"/>
  <c r="D17" i="1"/>
  <c r="C17" i="1"/>
  <c r="B17" i="1"/>
  <c r="R16" i="1"/>
  <c r="Q16" i="1"/>
  <c r="U16" i="1" s="1"/>
  <c r="O16" i="1"/>
  <c r="N16" i="1"/>
  <c r="M16" i="1"/>
  <c r="L16" i="1"/>
  <c r="J16" i="1"/>
  <c r="I16" i="1"/>
  <c r="H16" i="1"/>
  <c r="G16" i="1"/>
  <c r="E16" i="1"/>
  <c r="D16" i="1"/>
  <c r="C16" i="1"/>
  <c r="B16" i="1"/>
  <c r="N15" i="1"/>
  <c r="M15" i="1"/>
  <c r="L15" i="1"/>
  <c r="J15" i="1"/>
  <c r="I15" i="1"/>
  <c r="H15" i="1"/>
  <c r="G15" i="1"/>
  <c r="E15" i="1"/>
  <c r="D15" i="1"/>
  <c r="C15" i="1"/>
  <c r="B15" i="1"/>
  <c r="R14" i="1"/>
  <c r="Q14" i="1"/>
  <c r="U14" i="1" s="1"/>
  <c r="O14" i="1"/>
  <c r="N14" i="1"/>
  <c r="M14" i="1"/>
  <c r="L14" i="1"/>
  <c r="J14" i="1"/>
  <c r="I14" i="1"/>
  <c r="H14" i="1"/>
  <c r="G14" i="1"/>
  <c r="E14" i="1"/>
  <c r="D14" i="1"/>
  <c r="C14" i="1"/>
  <c r="B14" i="1"/>
  <c r="R13" i="1"/>
  <c r="Q13" i="1"/>
  <c r="O13" i="1"/>
  <c r="N13" i="1"/>
  <c r="M13" i="1"/>
  <c r="L13" i="1"/>
  <c r="J13" i="1"/>
  <c r="I13" i="1"/>
  <c r="H13" i="1"/>
  <c r="G13" i="1"/>
  <c r="E13" i="1"/>
  <c r="D13" i="1"/>
  <c r="C13" i="1"/>
  <c r="B13" i="1"/>
  <c r="R12" i="1"/>
  <c r="Q12" i="1"/>
  <c r="O12" i="1"/>
  <c r="N12" i="1"/>
  <c r="M12" i="1"/>
  <c r="L12" i="1"/>
  <c r="P12" i="1" s="1"/>
  <c r="S11" i="1"/>
  <c r="U11" i="1" s="1"/>
  <c r="M11" i="1"/>
  <c r="L11" i="1"/>
  <c r="P11" i="1" s="1"/>
  <c r="J11" i="1"/>
  <c r="I11" i="1"/>
  <c r="H11" i="1"/>
  <c r="G11" i="1"/>
  <c r="K11" i="1" s="1"/>
  <c r="E11" i="1"/>
  <c r="D11" i="1"/>
  <c r="C11" i="1"/>
  <c r="B11" i="1"/>
  <c r="S10" i="1"/>
  <c r="R10" i="1"/>
  <c r="Q10" i="1"/>
  <c r="O10" i="1"/>
  <c r="N10" i="1"/>
  <c r="M10" i="1"/>
  <c r="L10" i="1"/>
  <c r="P10" i="1" s="1"/>
  <c r="R9" i="1"/>
  <c r="Q9" i="1"/>
  <c r="O9" i="1"/>
  <c r="N9" i="1"/>
  <c r="M9" i="1"/>
  <c r="L9" i="1"/>
  <c r="P9" i="1" s="1"/>
  <c r="J9" i="1"/>
  <c r="I9" i="1"/>
  <c r="H9" i="1"/>
  <c r="G9" i="1"/>
  <c r="E9" i="1"/>
  <c r="D9" i="1"/>
  <c r="C9" i="1"/>
  <c r="B9" i="1"/>
  <c r="J8" i="1"/>
  <c r="I8" i="1"/>
  <c r="K8" i="1" s="1"/>
  <c r="E8" i="1"/>
  <c r="D8" i="1"/>
  <c r="S7" i="1"/>
  <c r="R7" i="1"/>
  <c r="Q7" i="1"/>
  <c r="U7" i="1" s="1"/>
  <c r="O7" i="1"/>
  <c r="N7" i="1"/>
  <c r="M7" i="1"/>
  <c r="L7" i="1"/>
  <c r="J7" i="1"/>
  <c r="G7" i="1"/>
  <c r="E7" i="1"/>
  <c r="D7" i="1"/>
  <c r="C7" i="1"/>
  <c r="V71" i="15" l="1"/>
  <c r="V88" i="15" s="1"/>
  <c r="V91" i="15" s="1"/>
  <c r="V119" i="15" s="1"/>
  <c r="W25" i="15"/>
  <c r="AF115" i="2"/>
  <c r="AG88" i="2" s="1"/>
  <c r="AG115" i="2" s="1"/>
  <c r="AH88" i="2" s="1"/>
  <c r="AH115" i="2" s="1"/>
  <c r="AI88" i="2" s="1"/>
  <c r="AI115" i="2" s="1"/>
  <c r="AL59" i="2"/>
  <c r="AL69" i="2" s="1"/>
  <c r="AL70" i="2" s="1"/>
  <c r="AL84" i="2" s="1"/>
  <c r="AL87" i="2" s="1"/>
  <c r="AI22" i="4"/>
  <c r="P7" i="2"/>
  <c r="AI40" i="4"/>
  <c r="T35" i="2"/>
  <c r="W41" i="4"/>
  <c r="X22" i="4"/>
  <c r="V35" i="4"/>
  <c r="U41" i="4"/>
  <c r="C37" i="8"/>
  <c r="E37" i="8"/>
  <c r="S28" i="2"/>
  <c r="S18" i="3"/>
  <c r="R28" i="2"/>
  <c r="R18" i="3"/>
  <c r="Q28" i="2"/>
  <c r="Q18" i="3"/>
  <c r="Q40" i="2" s="1"/>
  <c r="T110" i="1"/>
  <c r="R9" i="2"/>
  <c r="I42" i="4"/>
  <c r="T51" i="1"/>
  <c r="U51" i="1" s="1"/>
  <c r="T49" i="1"/>
  <c r="L17" i="2" s="1"/>
  <c r="N41" i="4"/>
  <c r="N40" i="4"/>
  <c r="N22" i="4"/>
  <c r="N35" i="4"/>
  <c r="N38" i="4"/>
  <c r="E13" i="2"/>
  <c r="P7" i="1"/>
  <c r="P16" i="1"/>
  <c r="K18" i="1"/>
  <c r="U18" i="1"/>
  <c r="P22" i="1"/>
  <c r="P34" i="1"/>
  <c r="P40" i="1"/>
  <c r="F51" i="1"/>
  <c r="P51" i="1"/>
  <c r="G16" i="2" s="1"/>
  <c r="P56" i="1"/>
  <c r="G22" i="2" s="1"/>
  <c r="J22" i="2"/>
  <c r="U70" i="1"/>
  <c r="P75" i="1"/>
  <c r="K100" i="1"/>
  <c r="E54" i="2" s="1"/>
  <c r="C19" i="7" s="1"/>
  <c r="I54" i="2"/>
  <c r="U100" i="1"/>
  <c r="U102" i="1"/>
  <c r="P107" i="1"/>
  <c r="G61" i="2" s="1"/>
  <c r="E23" i="7" s="1"/>
  <c r="F112" i="1"/>
  <c r="C67" i="2" s="1"/>
  <c r="P38" i="1"/>
  <c r="I22" i="2"/>
  <c r="P13" i="1"/>
  <c r="K15" i="1"/>
  <c r="P19" i="1"/>
  <c r="U27" i="1"/>
  <c r="K33" i="1"/>
  <c r="P58" i="1"/>
  <c r="U61" i="1"/>
  <c r="F64" i="1"/>
  <c r="U69" i="1"/>
  <c r="U79" i="1"/>
  <c r="Q85" i="1"/>
  <c r="I51" i="2" s="1"/>
  <c r="U82" i="1"/>
  <c r="N89" i="1"/>
  <c r="I55" i="2"/>
  <c r="U101" i="1"/>
  <c r="I41" i="2"/>
  <c r="U104" i="1"/>
  <c r="U108" i="1"/>
  <c r="P110" i="1"/>
  <c r="G28" i="2" s="1"/>
  <c r="Q33" i="1"/>
  <c r="U31" i="1"/>
  <c r="U33" i="1" s="1"/>
  <c r="G13" i="2"/>
  <c r="I61" i="2"/>
  <c r="U107" i="1"/>
  <c r="U24" i="1"/>
  <c r="Q38" i="1"/>
  <c r="Q40" i="1" s="1"/>
  <c r="U36" i="1"/>
  <c r="U38" i="1" s="1"/>
  <c r="U40" i="1" s="1"/>
  <c r="K22" i="2"/>
  <c r="K23" i="2" s="1"/>
  <c r="O23" i="2" s="1"/>
  <c r="P72" i="1"/>
  <c r="P80" i="1" s="1"/>
  <c r="G43" i="2" s="1"/>
  <c r="E14" i="7" s="1"/>
  <c r="H78" i="1"/>
  <c r="R78" i="1"/>
  <c r="R80" i="1" s="1"/>
  <c r="J43" i="2" s="1"/>
  <c r="K85" i="1"/>
  <c r="E51" i="2" s="1"/>
  <c r="C15" i="7" s="1"/>
  <c r="K93" i="1"/>
  <c r="P115" i="1"/>
  <c r="G60" i="2" s="1"/>
  <c r="E22" i="7" s="1"/>
  <c r="G134" i="1"/>
  <c r="Q128" i="1"/>
  <c r="Q134" i="1" s="1"/>
  <c r="U125" i="1"/>
  <c r="U10" i="1"/>
  <c r="K13" i="1"/>
  <c r="U13" i="1"/>
  <c r="K14" i="1"/>
  <c r="P15" i="1"/>
  <c r="K19" i="1"/>
  <c r="U19" i="1"/>
  <c r="P27" i="1"/>
  <c r="U50" i="1"/>
  <c r="P69" i="1"/>
  <c r="U72" i="1"/>
  <c r="U74" i="1"/>
  <c r="P93" i="1"/>
  <c r="P101" i="1"/>
  <c r="P104" i="1"/>
  <c r="G41" i="2" s="1"/>
  <c r="K107" i="1"/>
  <c r="E61" i="2" s="1"/>
  <c r="C23" i="7" s="1"/>
  <c r="P108" i="1"/>
  <c r="G35" i="2" s="1"/>
  <c r="I28" i="2"/>
  <c r="K115" i="1"/>
  <c r="E60" i="2" s="1"/>
  <c r="C22" i="7" s="1"/>
  <c r="U115" i="1"/>
  <c r="J68" i="2"/>
  <c r="U117" i="1"/>
  <c r="U121" i="1"/>
  <c r="R134" i="1"/>
  <c r="I40" i="2"/>
  <c r="U109" i="1"/>
  <c r="K7" i="1"/>
  <c r="F27" i="1"/>
  <c r="P28" i="1"/>
  <c r="U42" i="1"/>
  <c r="P48" i="1"/>
  <c r="K50" i="1"/>
  <c r="E16" i="2" s="1"/>
  <c r="J16" i="2"/>
  <c r="K52" i="1"/>
  <c r="E19" i="2" s="1"/>
  <c r="P53" i="1"/>
  <c r="F59" i="1"/>
  <c r="P59" i="1"/>
  <c r="P62" i="1"/>
  <c r="P71" i="1"/>
  <c r="P77" i="1"/>
  <c r="P79" i="1"/>
  <c r="P82" i="1"/>
  <c r="U87" i="1"/>
  <c r="U89" i="1" s="1"/>
  <c r="K88" i="1"/>
  <c r="U99" i="1"/>
  <c r="I59" i="2"/>
  <c r="U106" i="1"/>
  <c r="K110" i="1"/>
  <c r="E28" i="2" s="1"/>
  <c r="P113" i="1"/>
  <c r="G53" i="2" s="1"/>
  <c r="E18" i="7" s="1"/>
  <c r="I62" i="2"/>
  <c r="U114" i="1"/>
  <c r="U118" i="1"/>
  <c r="K128" i="1"/>
  <c r="C31" i="7" s="1"/>
  <c r="I56" i="2"/>
  <c r="I53" i="2"/>
  <c r="U78" i="1"/>
  <c r="E55" i="2"/>
  <c r="C20" i="7" s="1"/>
  <c r="K9" i="1"/>
  <c r="K20" i="1" s="1"/>
  <c r="U9" i="1"/>
  <c r="U12" i="1"/>
  <c r="P14" i="1"/>
  <c r="K16" i="1"/>
  <c r="P17" i="1"/>
  <c r="P18" i="1"/>
  <c r="P23" i="1"/>
  <c r="P26" i="1"/>
  <c r="P29" i="1" s="1"/>
  <c r="U28" i="1"/>
  <c r="U29" i="1" s="1"/>
  <c r="K49" i="1"/>
  <c r="E17" i="2" s="1"/>
  <c r="I17" i="2"/>
  <c r="P52" i="1"/>
  <c r="G19" i="2" s="1"/>
  <c r="K57" i="1"/>
  <c r="U57" i="1"/>
  <c r="K62" i="1"/>
  <c r="E22" i="2" s="1"/>
  <c r="U62" i="1"/>
  <c r="P64" i="1"/>
  <c r="K71" i="1"/>
  <c r="U71" i="1"/>
  <c r="P73" i="1"/>
  <c r="P76" i="1"/>
  <c r="F86" i="1"/>
  <c r="P86" i="1"/>
  <c r="F90" i="1"/>
  <c r="C56" i="2" s="1"/>
  <c r="P90" i="1"/>
  <c r="G56" i="2" s="1"/>
  <c r="E21" i="7" s="1"/>
  <c r="F92" i="1"/>
  <c r="P92" i="1"/>
  <c r="P99" i="1" s="1"/>
  <c r="G82" i="2" s="1"/>
  <c r="E32" i="7" s="1"/>
  <c r="F94" i="1"/>
  <c r="F97" i="1"/>
  <c r="K106" i="1"/>
  <c r="E59" i="2" s="1"/>
  <c r="C17" i="7" s="1"/>
  <c r="P109" i="1"/>
  <c r="G40" i="2" s="1"/>
  <c r="K68" i="2"/>
  <c r="I68" i="2"/>
  <c r="I35" i="2"/>
  <c r="U48" i="1"/>
  <c r="J14" i="2"/>
  <c r="K14" i="2"/>
  <c r="L14" i="2"/>
  <c r="O54" i="2"/>
  <c r="M7" i="2"/>
  <c r="G33" i="7"/>
  <c r="M60" i="2"/>
  <c r="M67" i="2"/>
  <c r="G25" i="7" s="1"/>
  <c r="M19" i="2"/>
  <c r="O53" i="2"/>
  <c r="G55" i="2"/>
  <c r="E20" i="7" s="1"/>
  <c r="E68" i="2"/>
  <c r="C26" i="7" s="1"/>
  <c r="P20" i="1"/>
  <c r="G11" i="2" s="1"/>
  <c r="K24" i="1"/>
  <c r="P24" i="1"/>
  <c r="G68" i="2"/>
  <c r="E26" i="7" s="1"/>
  <c r="K36" i="1"/>
  <c r="F106" i="1"/>
  <c r="C59" i="2" s="1"/>
  <c r="P127" i="1"/>
  <c r="K26" i="1"/>
  <c r="K29" i="1" s="1"/>
  <c r="K80" i="1"/>
  <c r="E43" i="2" s="1"/>
  <c r="C14" i="7" s="1"/>
  <c r="P36" i="1"/>
  <c r="F87" i="1"/>
  <c r="F113" i="1"/>
  <c r="C53" i="2" s="1"/>
  <c r="F52" i="1"/>
  <c r="C19" i="2" s="1"/>
  <c r="C24" i="1"/>
  <c r="F26" i="1"/>
  <c r="F36" i="1"/>
  <c r="K31" i="1"/>
  <c r="K82" i="1"/>
  <c r="K131" i="1"/>
  <c r="C33" i="7" s="1"/>
  <c r="F93" i="1"/>
  <c r="F108" i="1"/>
  <c r="C35" i="2" s="1"/>
  <c r="F7" i="1"/>
  <c r="F132" i="1"/>
  <c r="C68" i="2" s="1"/>
  <c r="P125" i="1"/>
  <c r="F100" i="1"/>
  <c r="C54" i="2" s="1"/>
  <c r="F104" i="1"/>
  <c r="C41" i="2" s="1"/>
  <c r="K96" i="1"/>
  <c r="K99" i="1" s="1"/>
  <c r="E82" i="2" s="1"/>
  <c r="C32" i="7" s="1"/>
  <c r="K125" i="1"/>
  <c r="O28" i="2"/>
  <c r="O42" i="2" s="1"/>
  <c r="K42" i="2"/>
  <c r="J42" i="2"/>
  <c r="F75" i="1"/>
  <c r="F76" i="1"/>
  <c r="M99" i="1"/>
  <c r="F128" i="1"/>
  <c r="F16" i="1"/>
  <c r="F23" i="1"/>
  <c r="F42" i="1"/>
  <c r="C13" i="2" s="1"/>
  <c r="F31" i="1"/>
  <c r="F32" i="1"/>
  <c r="F49" i="1"/>
  <c r="C17" i="2" s="1"/>
  <c r="F57" i="1"/>
  <c r="F73" i="1"/>
  <c r="F77" i="1"/>
  <c r="F88" i="1"/>
  <c r="F107" i="1"/>
  <c r="C61" i="2" s="1"/>
  <c r="F115" i="1"/>
  <c r="C60" i="2" s="1"/>
  <c r="F8" i="1"/>
  <c r="F22" i="1"/>
  <c r="F37" i="1"/>
  <c r="F62" i="1"/>
  <c r="F98" i="1"/>
  <c r="F130" i="1"/>
  <c r="F34" i="1"/>
  <c r="F71" i="1"/>
  <c r="F95" i="1"/>
  <c r="F84" i="1"/>
  <c r="B33" i="1"/>
  <c r="F102" i="1"/>
  <c r="C55" i="2" s="1"/>
  <c r="F11" i="1"/>
  <c r="F14" i="1"/>
  <c r="F15" i="1"/>
  <c r="F18" i="1"/>
  <c r="F19" i="1"/>
  <c r="E24" i="1"/>
  <c r="O24" i="1"/>
  <c r="F39" i="1"/>
  <c r="F69" i="1"/>
  <c r="F74" i="1"/>
  <c r="F79" i="1"/>
  <c r="F9" i="1"/>
  <c r="F13" i="1"/>
  <c r="F17" i="1"/>
  <c r="E40" i="1"/>
  <c r="F50" i="1"/>
  <c r="M85" i="1"/>
  <c r="P85" i="1" s="1"/>
  <c r="G51" i="2" s="1"/>
  <c r="E15" i="7" s="1"/>
  <c r="I89" i="1"/>
  <c r="I99" i="1"/>
  <c r="F82" i="1"/>
  <c r="D105" i="1"/>
  <c r="S128" i="1"/>
  <c r="F25" i="1"/>
  <c r="F125" i="1"/>
  <c r="F47" i="1"/>
  <c r="D29" i="1"/>
  <c r="C99" i="1"/>
  <c r="Q29" i="1"/>
  <c r="B38" i="1"/>
  <c r="E78" i="1"/>
  <c r="E80" i="1" s="1"/>
  <c r="O78" i="1"/>
  <c r="O80" i="1" s="1"/>
  <c r="C20" i="1"/>
  <c r="H24" i="1"/>
  <c r="R24" i="1"/>
  <c r="J29" i="1"/>
  <c r="N134" i="1"/>
  <c r="L105" i="1"/>
  <c r="M24" i="1"/>
  <c r="C29" i="1"/>
  <c r="C133" i="1"/>
  <c r="C134" i="1" s="1"/>
  <c r="C89" i="1"/>
  <c r="J89" i="1"/>
  <c r="G99" i="1"/>
  <c r="E105" i="1"/>
  <c r="G24" i="1"/>
  <c r="Q24" i="1"/>
  <c r="E29" i="1"/>
  <c r="R99" i="1"/>
  <c r="J82" i="2" s="1"/>
  <c r="J99" i="1"/>
  <c r="E99" i="1"/>
  <c r="J105" i="1"/>
  <c r="B105" i="1"/>
  <c r="O128" i="1"/>
  <c r="P128" i="1" s="1"/>
  <c r="E31" i="7" s="1"/>
  <c r="S24" i="1"/>
  <c r="M105" i="1"/>
  <c r="J24" i="1"/>
  <c r="N29" i="1"/>
  <c r="O20" i="1"/>
  <c r="B24" i="1"/>
  <c r="L24" i="1"/>
  <c r="O63" i="1"/>
  <c r="O65" i="1" s="1"/>
  <c r="G63" i="1"/>
  <c r="O89" i="1"/>
  <c r="J134" i="1"/>
  <c r="C38" i="1"/>
  <c r="L134" i="1"/>
  <c r="I24" i="1"/>
  <c r="D24" i="1"/>
  <c r="N24" i="1"/>
  <c r="G38" i="1"/>
  <c r="D40" i="1"/>
  <c r="D78" i="1"/>
  <c r="D80" i="1" s="1"/>
  <c r="N78" i="1"/>
  <c r="N80" i="1" s="1"/>
  <c r="D133" i="1"/>
  <c r="D134" i="1" s="1"/>
  <c r="R29" i="1"/>
  <c r="D89" i="1"/>
  <c r="O105" i="1"/>
  <c r="I29" i="1"/>
  <c r="S29" i="1"/>
  <c r="B78" i="1"/>
  <c r="L78" i="1"/>
  <c r="L80" i="1" s="1"/>
  <c r="E89" i="1"/>
  <c r="Q105" i="1"/>
  <c r="I134" i="1"/>
  <c r="B133" i="1"/>
  <c r="E20" i="1"/>
  <c r="O29" i="1"/>
  <c r="H63" i="1"/>
  <c r="H65" i="1" s="1"/>
  <c r="L63" i="1"/>
  <c r="C78" i="1"/>
  <c r="C80" i="1" s="1"/>
  <c r="M78" i="1"/>
  <c r="M80" i="1" s="1"/>
  <c r="Q89" i="1"/>
  <c r="I52" i="2" s="1"/>
  <c r="R105" i="1"/>
  <c r="B89" i="1"/>
  <c r="N105" i="1"/>
  <c r="E134" i="1"/>
  <c r="N20" i="1"/>
  <c r="L29" i="1"/>
  <c r="R63" i="1"/>
  <c r="R65" i="1" s="1"/>
  <c r="I63" i="1"/>
  <c r="I65" i="1" s="1"/>
  <c r="H89" i="1"/>
  <c r="R89" i="1"/>
  <c r="J52" i="2" s="1"/>
  <c r="D99" i="1"/>
  <c r="I105" i="1"/>
  <c r="S105" i="1"/>
  <c r="H20" i="1"/>
  <c r="R20" i="1"/>
  <c r="H29" i="1"/>
  <c r="H134" i="1"/>
  <c r="K134" i="1" s="1"/>
  <c r="M20" i="1"/>
  <c r="S63" i="1"/>
  <c r="S65" i="1" s="1"/>
  <c r="J63" i="1"/>
  <c r="J65" i="1" s="1"/>
  <c r="D63" i="1"/>
  <c r="D65" i="1" s="1"/>
  <c r="N63" i="1"/>
  <c r="N65" i="1" s="1"/>
  <c r="S89" i="1"/>
  <c r="K52" i="2" s="1"/>
  <c r="Q99" i="1"/>
  <c r="I82" i="2" s="1"/>
  <c r="C33" i="1"/>
  <c r="G20" i="1"/>
  <c r="Q63" i="1"/>
  <c r="Q65" i="1" s="1"/>
  <c r="I78" i="1"/>
  <c r="I80" i="1" s="1"/>
  <c r="S78" i="1"/>
  <c r="L89" i="1"/>
  <c r="P89" i="1" s="1"/>
  <c r="G52" i="2" s="1"/>
  <c r="E16" i="7" s="1"/>
  <c r="J78" i="1"/>
  <c r="J80" i="1" s="1"/>
  <c r="M89" i="1"/>
  <c r="D20" i="1"/>
  <c r="E63" i="1"/>
  <c r="E65" i="1" s="1"/>
  <c r="G78" i="1"/>
  <c r="G80" i="1" s="1"/>
  <c r="Q78" i="1"/>
  <c r="Q80" i="1" s="1"/>
  <c r="I43" i="2" s="1"/>
  <c r="H99" i="1"/>
  <c r="M134" i="1"/>
  <c r="L20" i="1"/>
  <c r="C85" i="1"/>
  <c r="F85" i="1" s="1"/>
  <c r="C51" i="2" s="1"/>
  <c r="I20" i="1"/>
  <c r="S20" i="1"/>
  <c r="C63" i="1"/>
  <c r="C65" i="1" s="1"/>
  <c r="M29" i="1"/>
  <c r="C105" i="1"/>
  <c r="O133" i="1"/>
  <c r="P133" i="1" s="1"/>
  <c r="J20" i="1"/>
  <c r="H105" i="1"/>
  <c r="B20" i="1"/>
  <c r="H80" i="1"/>
  <c r="B99" i="1"/>
  <c r="L99" i="1"/>
  <c r="M63" i="1"/>
  <c r="M65" i="1" s="1"/>
  <c r="Q20" i="1"/>
  <c r="G89" i="1"/>
  <c r="B63" i="1"/>
  <c r="G105" i="1"/>
  <c r="W71" i="15" l="1"/>
  <c r="AM59" i="2"/>
  <c r="AM69" i="2" s="1"/>
  <c r="AM70" i="2" s="1"/>
  <c r="AM84" i="2" s="1"/>
  <c r="AM87" i="2" s="1"/>
  <c r="AJ88" i="2"/>
  <c r="AJ115" i="2" s="1"/>
  <c r="M55" i="2"/>
  <c r="P55" i="2" s="1"/>
  <c r="M53" i="2"/>
  <c r="G18" i="7" s="1"/>
  <c r="M62" i="2"/>
  <c r="G24" i="7" s="1"/>
  <c r="M40" i="2"/>
  <c r="M56" i="2"/>
  <c r="P56" i="2" s="1"/>
  <c r="M51" i="2"/>
  <c r="G15" i="7" s="1"/>
  <c r="M41" i="2"/>
  <c r="M54" i="2"/>
  <c r="G19" i="7" s="1"/>
  <c r="M35" i="2"/>
  <c r="V41" i="4"/>
  <c r="M59" i="2"/>
  <c r="G17" i="7" s="1"/>
  <c r="P59" i="2"/>
  <c r="P60" i="2"/>
  <c r="G22" i="7"/>
  <c r="O61" i="2"/>
  <c r="P61" i="2"/>
  <c r="X35" i="4"/>
  <c r="C42" i="8"/>
  <c r="D42" i="8" s="1"/>
  <c r="D37" i="8"/>
  <c r="E42" i="8"/>
  <c r="F42" i="8" s="1"/>
  <c r="F37" i="8"/>
  <c r="S21" i="3"/>
  <c r="S35" i="3" s="1"/>
  <c r="S40" i="2"/>
  <c r="S42" i="2" s="1"/>
  <c r="Q35" i="3"/>
  <c r="Q42" i="2"/>
  <c r="T28" i="2"/>
  <c r="R35" i="3"/>
  <c r="R40" i="2"/>
  <c r="R42" i="2" s="1"/>
  <c r="U20" i="1"/>
  <c r="U41" i="1" s="1"/>
  <c r="U45" i="1" s="1"/>
  <c r="V81" i="1" s="1"/>
  <c r="L16" i="2"/>
  <c r="L23" i="2" s="1"/>
  <c r="L24" i="2" s="1"/>
  <c r="L28" i="2"/>
  <c r="M28" i="2" s="1"/>
  <c r="T111" i="1"/>
  <c r="T122" i="1" s="1"/>
  <c r="U110" i="1"/>
  <c r="T63" i="1"/>
  <c r="T65" i="1" s="1"/>
  <c r="T66" i="1" s="1"/>
  <c r="U49" i="1"/>
  <c r="U63" i="1" s="1"/>
  <c r="M17" i="2"/>
  <c r="E42" i="2"/>
  <c r="C13" i="7" s="1"/>
  <c r="M61" i="2"/>
  <c r="G23" i="7" s="1"/>
  <c r="I42" i="2"/>
  <c r="I69" i="2" s="1"/>
  <c r="J23" i="2"/>
  <c r="I23" i="2"/>
  <c r="M68" i="2"/>
  <c r="G26" i="7" s="1"/>
  <c r="G42" i="2"/>
  <c r="E13" i="7" s="1"/>
  <c r="E23" i="2"/>
  <c r="C10" i="7" s="1"/>
  <c r="M22" i="2"/>
  <c r="U80" i="1"/>
  <c r="K89" i="1"/>
  <c r="E52" i="2" s="1"/>
  <c r="C16" i="7" s="1"/>
  <c r="G12" i="2"/>
  <c r="G14" i="2" s="1"/>
  <c r="F20" i="1"/>
  <c r="E12" i="2"/>
  <c r="U105" i="1"/>
  <c r="U128" i="1"/>
  <c r="U85" i="1"/>
  <c r="K105" i="1"/>
  <c r="N111" i="1"/>
  <c r="F29" i="1"/>
  <c r="C22" i="2"/>
  <c r="M82" i="2"/>
  <c r="O52" i="2"/>
  <c r="M52" i="2"/>
  <c r="G16" i="7" s="1"/>
  <c r="G23" i="2"/>
  <c r="E10" i="7" s="1"/>
  <c r="C42" i="2"/>
  <c r="S134" i="1"/>
  <c r="J69" i="2"/>
  <c r="L65" i="1"/>
  <c r="P65" i="1" s="1"/>
  <c r="P63" i="1"/>
  <c r="O14" i="2"/>
  <c r="O24" i="2" s="1"/>
  <c r="M111" i="1"/>
  <c r="F24" i="1"/>
  <c r="G40" i="1"/>
  <c r="K40" i="1" s="1"/>
  <c r="E11" i="2" s="1"/>
  <c r="K38" i="1"/>
  <c r="E41" i="1"/>
  <c r="E45" i="1" s="1"/>
  <c r="E66" i="1" s="1"/>
  <c r="P105" i="1"/>
  <c r="C16" i="2"/>
  <c r="F99" i="1"/>
  <c r="C82" i="2" s="1"/>
  <c r="G65" i="1"/>
  <c r="K65" i="1" s="1"/>
  <c r="K63" i="1"/>
  <c r="F89" i="1"/>
  <c r="C52" i="2" s="1"/>
  <c r="S111" i="1"/>
  <c r="I111" i="1"/>
  <c r="I122" i="1" s="1"/>
  <c r="O111" i="1"/>
  <c r="O122" i="1" s="1"/>
  <c r="S41" i="1"/>
  <c r="S45" i="1" s="1"/>
  <c r="L111" i="1"/>
  <c r="F80" i="1"/>
  <c r="C43" i="2" s="1"/>
  <c r="F33" i="1"/>
  <c r="D111" i="1"/>
  <c r="D122" i="1" s="1"/>
  <c r="J111" i="1"/>
  <c r="J122" i="1" s="1"/>
  <c r="F63" i="1"/>
  <c r="B80" i="1"/>
  <c r="F133" i="1"/>
  <c r="B40" i="1"/>
  <c r="F38" i="1"/>
  <c r="D41" i="1"/>
  <c r="D45" i="1" s="1"/>
  <c r="D66" i="1" s="1"/>
  <c r="B134" i="1"/>
  <c r="F134" i="1" s="1"/>
  <c r="F105" i="1"/>
  <c r="N41" i="1"/>
  <c r="N45" i="1" s="1"/>
  <c r="N66" i="1" s="1"/>
  <c r="R41" i="1"/>
  <c r="R45" i="1" s="1"/>
  <c r="G111" i="1"/>
  <c r="G122" i="1" s="1"/>
  <c r="J41" i="1"/>
  <c r="J45" i="1" s="1"/>
  <c r="J66" i="1" s="1"/>
  <c r="H41" i="1"/>
  <c r="H45" i="1" s="1"/>
  <c r="H66" i="1" s="1"/>
  <c r="C111" i="1"/>
  <c r="C122" i="1" s="1"/>
  <c r="C40" i="1"/>
  <c r="N122" i="1"/>
  <c r="S80" i="1"/>
  <c r="Q111" i="1"/>
  <c r="Q122" i="1" s="1"/>
  <c r="R111" i="1"/>
  <c r="R122" i="1" s="1"/>
  <c r="O41" i="1"/>
  <c r="O45" i="1" s="1"/>
  <c r="O66" i="1" s="1"/>
  <c r="Q41" i="1"/>
  <c r="Q45" i="1" s="1"/>
  <c r="M122" i="1"/>
  <c r="I41" i="1"/>
  <c r="I45" i="1" s="1"/>
  <c r="I66" i="1" s="1"/>
  <c r="H111" i="1"/>
  <c r="H122" i="1" s="1"/>
  <c r="E111" i="1"/>
  <c r="E122" i="1" s="1"/>
  <c r="L41" i="1"/>
  <c r="B111" i="1"/>
  <c r="O134" i="1"/>
  <c r="B65" i="1"/>
  <c r="M41" i="1"/>
  <c r="M45" i="1" s="1"/>
  <c r="M66" i="1" s="1"/>
  <c r="AN59" i="2" l="1"/>
  <c r="AN69" i="2" s="1"/>
  <c r="AN70" i="2" s="1"/>
  <c r="AN84" i="2" s="1"/>
  <c r="AN87" i="2" s="1"/>
  <c r="G20" i="7"/>
  <c r="P54" i="2"/>
  <c r="Q54" i="2" s="1"/>
  <c r="R54" i="2" s="1"/>
  <c r="S54" i="2" s="1"/>
  <c r="P62" i="2"/>
  <c r="Q62" i="2" s="1"/>
  <c r="R62" i="2" s="1"/>
  <c r="S62" i="2" s="1"/>
  <c r="Q56" i="2"/>
  <c r="R56" i="2" s="1"/>
  <c r="S56" i="2" s="1"/>
  <c r="P53" i="2"/>
  <c r="T59" i="2"/>
  <c r="I17" i="7" s="1"/>
  <c r="Q55" i="2"/>
  <c r="T61" i="2"/>
  <c r="I23" i="7" s="1"/>
  <c r="M42" i="2"/>
  <c r="G13" i="7" s="1"/>
  <c r="G21" i="7"/>
  <c r="Q60" i="2"/>
  <c r="R60" i="2" s="1"/>
  <c r="S60" i="2" s="1"/>
  <c r="Z24" i="2"/>
  <c r="Z25" i="2" s="1"/>
  <c r="AR10" i="2"/>
  <c r="H52" i="2"/>
  <c r="E8" i="7"/>
  <c r="F13" i="7" s="1"/>
  <c r="C27" i="7"/>
  <c r="P82" i="2"/>
  <c r="G32" i="7"/>
  <c r="E27" i="7"/>
  <c r="T40" i="2"/>
  <c r="T42" i="2" s="1"/>
  <c r="I13" i="7" s="1"/>
  <c r="T123" i="1"/>
  <c r="T135" i="1" s="1"/>
  <c r="M16" i="2"/>
  <c r="M23" i="2" s="1"/>
  <c r="G10" i="7" s="1"/>
  <c r="L42" i="2"/>
  <c r="L69" i="2" s="1"/>
  <c r="L70" i="2" s="1"/>
  <c r="L87" i="2" s="1"/>
  <c r="V47" i="1"/>
  <c r="V98" i="1"/>
  <c r="V105" i="1"/>
  <c r="V94" i="1"/>
  <c r="V80" i="1"/>
  <c r="V110" i="1"/>
  <c r="V71" i="1"/>
  <c r="V50" i="1"/>
  <c r="V53" i="1"/>
  <c r="V102" i="1"/>
  <c r="V106" i="1"/>
  <c r="V95" i="1"/>
  <c r="V116" i="1"/>
  <c r="V109" i="1"/>
  <c r="V75" i="1"/>
  <c r="V124" i="1"/>
  <c r="V62" i="1"/>
  <c r="V113" i="1"/>
  <c r="V51" i="1"/>
  <c r="V100" i="1"/>
  <c r="V117" i="1"/>
  <c r="V126" i="1"/>
  <c r="V129" i="1"/>
  <c r="V99" i="1"/>
  <c r="V58" i="1"/>
  <c r="V84" i="1"/>
  <c r="V49" i="1"/>
  <c r="V125" i="1"/>
  <c r="V76" i="1"/>
  <c r="V127" i="1"/>
  <c r="V78" i="1"/>
  <c r="V59" i="1"/>
  <c r="V45" i="1"/>
  <c r="V115" i="1"/>
  <c r="V82" i="1"/>
  <c r="V48" i="1"/>
  <c r="V90" i="1"/>
  <c r="V54" i="1"/>
  <c r="V83" i="1"/>
  <c r="V133" i="1"/>
  <c r="V131" i="1"/>
  <c r="V87" i="1"/>
  <c r="V121" i="1"/>
  <c r="V77" i="1"/>
  <c r="V92" i="1"/>
  <c r="V112" i="1"/>
  <c r="V56" i="1"/>
  <c r="V52" i="1"/>
  <c r="V69" i="1"/>
  <c r="V108" i="1"/>
  <c r="V114" i="1"/>
  <c r="V118" i="1"/>
  <c r="V70" i="1"/>
  <c r="V107" i="1"/>
  <c r="V86" i="1"/>
  <c r="V91" i="1"/>
  <c r="V93" i="1"/>
  <c r="V130" i="1"/>
  <c r="V104" i="1"/>
  <c r="V74" i="1"/>
  <c r="V57" i="1"/>
  <c r="V61" i="1"/>
  <c r="V89" i="1"/>
  <c r="V64" i="1"/>
  <c r="V73" i="1"/>
  <c r="V55" i="1"/>
  <c r="V97" i="1"/>
  <c r="V103" i="1"/>
  <c r="V96" i="1"/>
  <c r="V72" i="1"/>
  <c r="V79" i="1"/>
  <c r="V101" i="1"/>
  <c r="V120" i="1"/>
  <c r="V119" i="1"/>
  <c r="V88" i="1"/>
  <c r="V132" i="1"/>
  <c r="V60" i="1"/>
  <c r="E69" i="2"/>
  <c r="H51" i="2"/>
  <c r="H28" i="2"/>
  <c r="H19" i="2"/>
  <c r="H35" i="2"/>
  <c r="H82" i="2"/>
  <c r="H68" i="2"/>
  <c r="H71" i="2"/>
  <c r="H14" i="2"/>
  <c r="H62" i="2"/>
  <c r="H54" i="2"/>
  <c r="H59" i="2"/>
  <c r="H67" i="2"/>
  <c r="H17" i="2"/>
  <c r="H22" i="2"/>
  <c r="H56" i="2"/>
  <c r="H23" i="2"/>
  <c r="H61" i="2"/>
  <c r="H55" i="2"/>
  <c r="H43" i="2"/>
  <c r="G69" i="2"/>
  <c r="H69" i="2" s="1"/>
  <c r="H42" i="2"/>
  <c r="H16" i="2"/>
  <c r="H41" i="2"/>
  <c r="H53" i="2"/>
  <c r="H40" i="2"/>
  <c r="H60" i="2"/>
  <c r="C23" i="2"/>
  <c r="S66" i="1"/>
  <c r="G42" i="4"/>
  <c r="D123" i="1"/>
  <c r="D135" i="1" s="1"/>
  <c r="Q66" i="1"/>
  <c r="Q123" i="1" s="1"/>
  <c r="Q135" i="1" s="1"/>
  <c r="C41" i="4"/>
  <c r="C12" i="2"/>
  <c r="G31" i="7"/>
  <c r="U65" i="1"/>
  <c r="V63" i="1"/>
  <c r="V85" i="1"/>
  <c r="U111" i="1"/>
  <c r="P111" i="1"/>
  <c r="R66" i="1"/>
  <c r="E42" i="4"/>
  <c r="U134" i="1"/>
  <c r="V134" i="1" s="1"/>
  <c r="V128" i="1"/>
  <c r="G24" i="2"/>
  <c r="K24" i="2"/>
  <c r="J24" i="2"/>
  <c r="J70" i="2" s="1"/>
  <c r="J87" i="2" s="1"/>
  <c r="E14" i="2"/>
  <c r="O123" i="1"/>
  <c r="O135" i="1" s="1"/>
  <c r="R123" i="1"/>
  <c r="R135" i="1" s="1"/>
  <c r="K43" i="2"/>
  <c r="M43" i="2" s="1"/>
  <c r="G14" i="7" s="1"/>
  <c r="P134" i="1"/>
  <c r="L45" i="1"/>
  <c r="P41" i="1"/>
  <c r="K122" i="1"/>
  <c r="L122" i="1"/>
  <c r="P122" i="1" s="1"/>
  <c r="G41" i="1"/>
  <c r="K111" i="1"/>
  <c r="C69" i="2"/>
  <c r="S122" i="1"/>
  <c r="F40" i="1"/>
  <c r="C11" i="2" s="1"/>
  <c r="J123" i="1"/>
  <c r="J135" i="1" s="1"/>
  <c r="I123" i="1"/>
  <c r="I135" i="1" s="1"/>
  <c r="F65" i="1"/>
  <c r="B41" i="1"/>
  <c r="F111" i="1"/>
  <c r="M123" i="1"/>
  <c r="M135" i="1" s="1"/>
  <c r="N123" i="1"/>
  <c r="N135" i="1" s="1"/>
  <c r="H123" i="1"/>
  <c r="H135" i="1" s="1"/>
  <c r="C41" i="1"/>
  <c r="C45" i="1" s="1"/>
  <c r="C66" i="1" s="1"/>
  <c r="C123" i="1" s="1"/>
  <c r="C135" i="1" s="1"/>
  <c r="E123" i="1"/>
  <c r="E135" i="1" s="1"/>
  <c r="B45" i="1"/>
  <c r="F45" i="1" s="1"/>
  <c r="B122" i="1"/>
  <c r="AO59" i="2" l="1"/>
  <c r="AO69" i="2" s="1"/>
  <c r="AO70" i="2" s="1"/>
  <c r="AO84" i="2" s="1"/>
  <c r="AO87" i="2" s="1"/>
  <c r="AK88" i="2"/>
  <c r="T56" i="2"/>
  <c r="I21" i="7" s="1"/>
  <c r="G27" i="7"/>
  <c r="AR7" i="2"/>
  <c r="T54" i="2"/>
  <c r="I19" i="7" s="1"/>
  <c r="Q53" i="2"/>
  <c r="Q82" i="2"/>
  <c r="R82" i="2" s="1"/>
  <c r="S82" i="2" s="1"/>
  <c r="T60" i="2"/>
  <c r="I22" i="7" s="1"/>
  <c r="R55" i="2"/>
  <c r="S55" i="2" s="1"/>
  <c r="AR43" i="2"/>
  <c r="AR61" i="2"/>
  <c r="AR17" i="2"/>
  <c r="AR67" i="2"/>
  <c r="AR42" i="2"/>
  <c r="AR68" i="2"/>
  <c r="AR40" i="2"/>
  <c r="AR51" i="2"/>
  <c r="AR14" i="2"/>
  <c r="AR22" i="2"/>
  <c r="AR35" i="2"/>
  <c r="AR9" i="2"/>
  <c r="AR16" i="2"/>
  <c r="AR41" i="2"/>
  <c r="AR28" i="2"/>
  <c r="AR6" i="2"/>
  <c r="AR52" i="2"/>
  <c r="T62" i="2"/>
  <c r="I24" i="7" s="1"/>
  <c r="F27" i="7"/>
  <c r="E11" i="7"/>
  <c r="F8" i="7"/>
  <c r="F33" i="7"/>
  <c r="F19" i="7"/>
  <c r="F24" i="7"/>
  <c r="F25" i="7"/>
  <c r="F17" i="7"/>
  <c r="F16" i="7"/>
  <c r="F18" i="7"/>
  <c r="F20" i="7"/>
  <c r="F15" i="7"/>
  <c r="F21" i="7"/>
  <c r="F14" i="7"/>
  <c r="F32" i="7"/>
  <c r="F23" i="7"/>
  <c r="F26" i="7"/>
  <c r="F31" i="7"/>
  <c r="F22" i="7"/>
  <c r="F52" i="2"/>
  <c r="C8" i="7"/>
  <c r="F10" i="7"/>
  <c r="F42" i="2"/>
  <c r="F69" i="2"/>
  <c r="E24" i="2"/>
  <c r="F14" i="2"/>
  <c r="F71" i="2"/>
  <c r="F40" i="2"/>
  <c r="F35" i="2"/>
  <c r="F53" i="2"/>
  <c r="F56" i="2"/>
  <c r="F67" i="2"/>
  <c r="F41" i="2"/>
  <c r="F62" i="2"/>
  <c r="F60" i="2"/>
  <c r="F16" i="2"/>
  <c r="F54" i="2"/>
  <c r="F43" i="2"/>
  <c r="F17" i="2"/>
  <c r="F28" i="2"/>
  <c r="F22" i="2"/>
  <c r="F61" i="2"/>
  <c r="F19" i="2"/>
  <c r="F51" i="2"/>
  <c r="F68" i="2"/>
  <c r="F59" i="2"/>
  <c r="F55" i="2"/>
  <c r="F82" i="2"/>
  <c r="F23" i="2"/>
  <c r="G70" i="2"/>
  <c r="H24" i="2"/>
  <c r="S123" i="1"/>
  <c r="S135" i="1" s="1"/>
  <c r="C14" i="2"/>
  <c r="D23" i="2" s="1"/>
  <c r="M69" i="2"/>
  <c r="U122" i="1"/>
  <c r="V122" i="1" s="1"/>
  <c r="V111" i="1"/>
  <c r="D22" i="4"/>
  <c r="D40" i="4"/>
  <c r="D35" i="4"/>
  <c r="C38" i="4"/>
  <c r="AG38" i="4" s="1"/>
  <c r="AG41" i="4" s="1"/>
  <c r="V65" i="1"/>
  <c r="U66" i="1"/>
  <c r="L66" i="1"/>
  <c r="P45" i="1"/>
  <c r="F41" i="1"/>
  <c r="G45" i="1"/>
  <c r="K41" i="1"/>
  <c r="K69" i="2"/>
  <c r="K70" i="2" s="1"/>
  <c r="K87" i="2" s="1"/>
  <c r="O43" i="2"/>
  <c r="O69" i="2" s="1"/>
  <c r="O70" i="2" s="1"/>
  <c r="F122" i="1"/>
  <c r="B66" i="1"/>
  <c r="F66" i="1" s="1"/>
  <c r="AK115" i="2" l="1"/>
  <c r="AL88" i="2" s="1"/>
  <c r="AL115" i="2" s="1"/>
  <c r="AM88" i="2" s="1"/>
  <c r="AP59" i="2"/>
  <c r="AP69" i="2" s="1"/>
  <c r="AP70" i="2" s="1"/>
  <c r="AP84" i="2" s="1"/>
  <c r="AP87" i="2" s="1"/>
  <c r="T82" i="2"/>
  <c r="I32" i="7" s="1"/>
  <c r="T55" i="2"/>
  <c r="I20" i="7" s="1"/>
  <c r="R53" i="2"/>
  <c r="Q69" i="2"/>
  <c r="C11" i="7"/>
  <c r="D8" i="7"/>
  <c r="D21" i="7"/>
  <c r="D24" i="7"/>
  <c r="D25" i="7"/>
  <c r="D18" i="7"/>
  <c r="D31" i="7"/>
  <c r="D22" i="7"/>
  <c r="D33" i="7"/>
  <c r="D23" i="7"/>
  <c r="D15" i="7"/>
  <c r="D32" i="7"/>
  <c r="D14" i="7"/>
  <c r="D26" i="7"/>
  <c r="D19" i="7"/>
  <c r="D20" i="7"/>
  <c r="D17" i="7"/>
  <c r="D10" i="7"/>
  <c r="D13" i="7"/>
  <c r="D16" i="7"/>
  <c r="D69" i="2"/>
  <c r="E28" i="7"/>
  <c r="F11" i="7"/>
  <c r="D27" i="7"/>
  <c r="C24" i="2"/>
  <c r="D71" i="2"/>
  <c r="D14" i="2"/>
  <c r="D40" i="2"/>
  <c r="D28" i="2"/>
  <c r="D62" i="2"/>
  <c r="D61" i="2"/>
  <c r="D59" i="2"/>
  <c r="D56" i="2"/>
  <c r="D67" i="2"/>
  <c r="D51" i="2"/>
  <c r="D35" i="2"/>
  <c r="D60" i="2"/>
  <c r="D41" i="2"/>
  <c r="D19" i="2"/>
  <c r="D68" i="2"/>
  <c r="D17" i="2"/>
  <c r="D53" i="2"/>
  <c r="D54" i="2"/>
  <c r="D55" i="2"/>
  <c r="D22" i="2"/>
  <c r="D42" i="2"/>
  <c r="D82" i="2"/>
  <c r="D43" i="2"/>
  <c r="D16" i="2"/>
  <c r="D52" i="2"/>
  <c r="E70" i="2"/>
  <c r="F24" i="2"/>
  <c r="G87" i="2"/>
  <c r="H87" i="2" s="1"/>
  <c r="H70" i="2"/>
  <c r="V66" i="1"/>
  <c r="U123" i="1"/>
  <c r="C42" i="4"/>
  <c r="M38" i="4"/>
  <c r="I6" i="2"/>
  <c r="D38" i="4"/>
  <c r="G66" i="1"/>
  <c r="K45" i="1"/>
  <c r="P66" i="1"/>
  <c r="L123" i="1"/>
  <c r="B123" i="1"/>
  <c r="F123" i="1" s="1"/>
  <c r="AM115" i="2" l="1"/>
  <c r="AN88" i="2" s="1"/>
  <c r="AN115" i="2" s="1"/>
  <c r="AO88" i="2" s="1"/>
  <c r="AQ59" i="2"/>
  <c r="AQ69" i="2" s="1"/>
  <c r="AQ70" i="2" s="1"/>
  <c r="S53" i="2"/>
  <c r="R69" i="2"/>
  <c r="E34" i="7"/>
  <c r="F34" i="7" s="1"/>
  <c r="F28" i="7"/>
  <c r="D11" i="7"/>
  <c r="C28" i="7"/>
  <c r="M41" i="4"/>
  <c r="S38" i="4"/>
  <c r="C70" i="2"/>
  <c r="D24" i="2"/>
  <c r="E87" i="2"/>
  <c r="F87" i="2" s="1"/>
  <c r="F70" i="2"/>
  <c r="U135" i="1"/>
  <c r="V135" i="1" s="1"/>
  <c r="V123" i="1"/>
  <c r="M6" i="2"/>
  <c r="I14" i="2"/>
  <c r="L135" i="1"/>
  <c r="P135" i="1" s="1"/>
  <c r="P123" i="1"/>
  <c r="K66" i="1"/>
  <c r="G123" i="1"/>
  <c r="B135" i="1"/>
  <c r="AO115" i="2" l="1"/>
  <c r="AP88" i="2" s="1"/>
  <c r="AP115" i="2" s="1"/>
  <c r="AR59" i="2"/>
  <c r="S69" i="2"/>
  <c r="T53" i="2"/>
  <c r="D28" i="7"/>
  <c r="C34" i="7"/>
  <c r="D34" i="7" s="1"/>
  <c r="Q38" i="4"/>
  <c r="P38" i="4"/>
  <c r="O38" i="4"/>
  <c r="AI38" i="4" s="1"/>
  <c r="AI41" i="4" s="1"/>
  <c r="T6" i="2"/>
  <c r="R38" i="4"/>
  <c r="S41" i="4"/>
  <c r="C87" i="2"/>
  <c r="D87" i="2" s="1"/>
  <c r="D70" i="2"/>
  <c r="I24" i="2"/>
  <c r="I70" i="2" s="1"/>
  <c r="I87" i="2" s="1"/>
  <c r="M14" i="2"/>
  <c r="G8" i="7" s="1"/>
  <c r="G135" i="1"/>
  <c r="K135" i="1" s="1"/>
  <c r="K123" i="1"/>
  <c r="F135" i="1"/>
  <c r="I18" i="7" l="1"/>
  <c r="I27" i="7" s="1"/>
  <c r="T69" i="2"/>
  <c r="X41" i="4"/>
  <c r="S42" i="4"/>
  <c r="H8" i="7"/>
  <c r="H31" i="7"/>
  <c r="H17" i="7"/>
  <c r="H26" i="7"/>
  <c r="H18" i="7"/>
  <c r="H13" i="7"/>
  <c r="H14" i="7"/>
  <c r="H25" i="7"/>
  <c r="H21" i="7"/>
  <c r="H23" i="7"/>
  <c r="H22" i="7"/>
  <c r="G11" i="7"/>
  <c r="H10" i="7"/>
  <c r="H16" i="7"/>
  <c r="H32" i="7"/>
  <c r="H19" i="7"/>
  <c r="H15" i="7"/>
  <c r="H33" i="7"/>
  <c r="H20" i="7"/>
  <c r="H24" i="7"/>
  <c r="H27" i="7"/>
  <c r="N6" i="2"/>
  <c r="J101" i="2"/>
  <c r="K101" i="2"/>
  <c r="I101" i="2"/>
  <c r="L101" i="2"/>
  <c r="T14" i="2"/>
  <c r="I8" i="7" s="1"/>
  <c r="S6" i="2"/>
  <c r="R41" i="4"/>
  <c r="R42" i="4" s="1"/>
  <c r="P6" i="2"/>
  <c r="O41" i="4"/>
  <c r="O42" i="4" s="1"/>
  <c r="Q6" i="2"/>
  <c r="P41" i="4"/>
  <c r="P42" i="4" s="1"/>
  <c r="R6" i="2"/>
  <c r="Q41" i="4"/>
  <c r="Q42" i="4" s="1"/>
  <c r="N7" i="2"/>
  <c r="N9" i="2"/>
  <c r="N10" i="2"/>
  <c r="N14" i="2"/>
  <c r="N53" i="2"/>
  <c r="N60" i="2"/>
  <c r="N16" i="2"/>
  <c r="N67" i="2"/>
  <c r="N40" i="2"/>
  <c r="N62" i="2"/>
  <c r="N28" i="2"/>
  <c r="N35" i="2"/>
  <c r="N17" i="2"/>
  <c r="N68" i="2"/>
  <c r="N54" i="2"/>
  <c r="N55" i="2"/>
  <c r="N61" i="2"/>
  <c r="N51" i="2"/>
  <c r="N56" i="2"/>
  <c r="N19" i="2"/>
  <c r="N41" i="2"/>
  <c r="N59" i="2"/>
  <c r="N23" i="2"/>
  <c r="N82" i="2"/>
  <c r="N52" i="2"/>
  <c r="N42" i="2"/>
  <c r="M24" i="2"/>
  <c r="N22" i="2"/>
  <c r="N43" i="2"/>
  <c r="N69" i="2"/>
  <c r="W42" i="4" l="1"/>
  <c r="X42" i="4"/>
  <c r="V42" i="4"/>
  <c r="T42" i="4"/>
  <c r="AE42" i="4"/>
  <c r="U42" i="4"/>
  <c r="H11" i="7"/>
  <c r="G28" i="7"/>
  <c r="J16" i="7"/>
  <c r="J17" i="7"/>
  <c r="J13" i="7"/>
  <c r="J18" i="7"/>
  <c r="J26" i="7"/>
  <c r="J19" i="7"/>
  <c r="J21" i="7"/>
  <c r="J14" i="7"/>
  <c r="J23" i="7"/>
  <c r="J31" i="7"/>
  <c r="J22" i="7"/>
  <c r="J24" i="7"/>
  <c r="J25" i="7"/>
  <c r="J20" i="7"/>
  <c r="J15" i="7"/>
  <c r="J8" i="7"/>
  <c r="J27" i="7"/>
  <c r="J32" i="7"/>
  <c r="P19" i="2"/>
  <c r="P42" i="2"/>
  <c r="P69" i="2" s="1"/>
  <c r="Q14" i="2"/>
  <c r="Q16" i="2"/>
  <c r="P16" i="2"/>
  <c r="P14" i="2"/>
  <c r="R14" i="2"/>
  <c r="R16" i="2"/>
  <c r="U82" i="2"/>
  <c r="U60" i="2"/>
  <c r="AR60" i="2" s="1"/>
  <c r="U43" i="2"/>
  <c r="U56" i="2"/>
  <c r="U35" i="2"/>
  <c r="U67" i="2"/>
  <c r="U53" i="2"/>
  <c r="U28" i="2"/>
  <c r="U62" i="2"/>
  <c r="U52" i="2"/>
  <c r="U61" i="2"/>
  <c r="U51" i="2"/>
  <c r="U59" i="2"/>
  <c r="U42" i="2"/>
  <c r="U41" i="2"/>
  <c r="U69" i="2"/>
  <c r="U55" i="2"/>
  <c r="U40" i="2"/>
  <c r="U68" i="2"/>
  <c r="U54" i="2"/>
  <c r="U14" i="2"/>
  <c r="U10" i="2"/>
  <c r="U7" i="2"/>
  <c r="U9" i="2"/>
  <c r="S16" i="2"/>
  <c r="S14" i="2"/>
  <c r="U6" i="2"/>
  <c r="N24" i="2"/>
  <c r="M70" i="2"/>
  <c r="I33" i="7" l="1"/>
  <c r="J33" i="7" s="1"/>
  <c r="X69" i="2"/>
  <c r="H28" i="7"/>
  <c r="G34" i="7"/>
  <c r="H34" i="7" s="1"/>
  <c r="T16" i="2"/>
  <c r="U16" i="2" s="1"/>
  <c r="S17" i="2"/>
  <c r="S22" i="2"/>
  <c r="Q22" i="2"/>
  <c r="Q17" i="2"/>
  <c r="Q19" i="2"/>
  <c r="R19" i="2" s="1"/>
  <c r="S19" i="2" s="1"/>
  <c r="R17" i="2"/>
  <c r="R22" i="2"/>
  <c r="P17" i="2"/>
  <c r="P22" i="2"/>
  <c r="M87" i="2"/>
  <c r="N87" i="2" s="1"/>
  <c r="N70" i="2"/>
  <c r="AR54" i="2" l="1"/>
  <c r="AR55" i="2"/>
  <c r="Y69" i="2"/>
  <c r="AR82" i="2"/>
  <c r="AR62" i="2"/>
  <c r="R23" i="2"/>
  <c r="R24" i="2" s="1"/>
  <c r="R70" i="2" s="1"/>
  <c r="R87" i="2" s="1"/>
  <c r="S23" i="2"/>
  <c r="S24" i="2" s="1"/>
  <c r="S70" i="2" s="1"/>
  <c r="S87" i="2" s="1"/>
  <c r="T22" i="2"/>
  <c r="U22" i="2" s="1"/>
  <c r="Q23" i="2"/>
  <c r="Q24" i="2" s="1"/>
  <c r="Q70" i="2" s="1"/>
  <c r="Q87" i="2" s="1"/>
  <c r="T17" i="2"/>
  <c r="P23" i="2"/>
  <c r="P24" i="2" s="1"/>
  <c r="P70" i="2" s="1"/>
  <c r="P87" i="2" s="1"/>
  <c r="T19" i="2"/>
  <c r="U19" i="2" l="1"/>
  <c r="Z69" i="2"/>
  <c r="Z70" i="2" s="1"/>
  <c r="Z87" i="2" s="1"/>
  <c r="U17" i="2"/>
  <c r="T23" i="2"/>
  <c r="I10" i="7" s="1"/>
  <c r="AR53" i="2" l="1"/>
  <c r="X19" i="2"/>
  <c r="J10" i="7"/>
  <c r="I11" i="7"/>
  <c r="T24" i="2"/>
  <c r="U23" i="2"/>
  <c r="AR69" i="2" l="1"/>
  <c r="Y24" i="2"/>
  <c r="Y25" i="2" s="1"/>
  <c r="X23" i="2"/>
  <c r="I28" i="7"/>
  <c r="J11" i="7"/>
  <c r="T70" i="2"/>
  <c r="U24" i="2"/>
  <c r="Y70" i="2" l="1"/>
  <c r="Y87" i="2" s="1"/>
  <c r="X24" i="2"/>
  <c r="AR19" i="2"/>
  <c r="J28" i="7"/>
  <c r="I34" i="7"/>
  <c r="J34" i="7" s="1"/>
  <c r="T87" i="2"/>
  <c r="U87" i="2" s="1"/>
  <c r="U70" i="2"/>
  <c r="AR23" i="2" l="1"/>
  <c r="X70" i="2"/>
  <c r="X87" i="2" s="1"/>
  <c r="X25" i="2"/>
  <c r="AR24" i="2" l="1"/>
  <c r="AQ87" i="2"/>
  <c r="AR70" i="2" l="1"/>
  <c r="AR8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tc={FE226627-4D15-476D-AC3B-7F1EDFD3F80B}</author>
  </authors>
  <commentList>
    <comment ref="AO73" authorId="0" shapeId="0" xr:uid="{FE226627-4D15-476D-AC3B-7F1EDFD3F80B}">
      <text>
        <t>[Threaded comment]
Your version of Excel allows you to read this threaded comment; however, any edits to it will get removed if the file is opened in a newer version of Excel. Learn more: https://go.microsoft.com/fwlink/?linkid=870924
Comment:
    Ink card writeoff</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tc={8F72AC3F-B213-4F76-90C4-0A0D2F1C3B7E}</author>
  </authors>
  <commentList>
    <comment ref="AI73" authorId="0" shapeId="0" xr:uid="{8F72AC3F-B213-4F76-90C4-0A0D2F1C3B7E}">
      <text>
        <t>[Threaded comment]
Your version of Excel allows you to read this threaded comment; however, any edits to it will get removed if the file is opened in a newer version of Excel. Learn more: https://go.microsoft.com/fwlink/?linkid=870924
Comment:
    Ink card writeoff</t>
      </text>
    </comment>
  </commentList>
</comments>
</file>

<file path=xl/sharedStrings.xml><?xml version="1.0" encoding="utf-8"?>
<sst xmlns="http://schemas.openxmlformats.org/spreadsheetml/2006/main" count="9539" uniqueCount="2142">
  <si>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</si>
  <si>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</si>
  <si>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</si>
  <si>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</si>
  <si>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</si>
  <si>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</si>
  <si>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</si>
  <si>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</si>
  <si>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</si>
  <si>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</si>
  <si>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</si>
  <si>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</si>
  <si>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</si>
  <si>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</si>
  <si>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</si>
  <si>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Total</t>
  </si>
  <si>
    <t>Income</t>
  </si>
  <si>
    <t xml:space="preserve">   61000 Sales</t>
  </si>
  <si>
    <t xml:space="preserve">      61200 Hot Sauce</t>
  </si>
  <si>
    <t xml:space="preserve">         61210 Pineapple &amp; Habanero Hot Sauce</t>
  </si>
  <si>
    <t xml:space="preserve">         61215 Garlic &amp; Arbol Moruga Scorpion Hot Sauce</t>
  </si>
  <si>
    <t xml:space="preserve">         61220 Jalapeno &amp; Green Apple Hot Sauce</t>
  </si>
  <si>
    <t xml:space="preserve">         61225 Ancho Masala Ghost-Reaper Hot Sauce</t>
  </si>
  <si>
    <t xml:space="preserve">         61230 Ghost Pepper &amp; Blueberry Hot Sauce</t>
  </si>
  <si>
    <t xml:space="preserve">         61240 Crimson Hot Sauce</t>
  </si>
  <si>
    <t xml:space="preserve">         61250 Crimson Special Reserve</t>
  </si>
  <si>
    <t xml:space="preserve">         61260 Serrano &amp; Basil Hot Sauce</t>
  </si>
  <si>
    <t xml:space="preserve">         61270 Black Garlic &amp; Carolina Reaper Hot Sauce</t>
  </si>
  <si>
    <t xml:space="preserve">         61280 Creamy Herb &amp; Jalapeño Hot Sauce</t>
  </si>
  <si>
    <t xml:space="preserve">         61290 Aka Miso Ghost-Reaper Hot Sauce</t>
  </si>
  <si>
    <t xml:space="preserve">      Total 61200 Hot Sauce</t>
  </si>
  <si>
    <t xml:space="preserve">      61300 Seasonings</t>
  </si>
  <si>
    <t xml:space="preserve">         61310 Jalapeno &amp; Garlic Seasoning</t>
  </si>
  <si>
    <t xml:space="preserve">         61320 Crimson Seasonings</t>
  </si>
  <si>
    <t xml:space="preserve">      Total 61300 Seasonings</t>
  </si>
  <si>
    <t xml:space="preserve">      61400 Mixers</t>
  </si>
  <si>
    <t xml:space="preserve">         61410 Pineapple &amp; Jalapeno &amp; Margarita Mix</t>
  </si>
  <si>
    <t xml:space="preserve">         61420 Ruby Red Grapefruit Margarita Mix</t>
  </si>
  <si>
    <t xml:space="preserve">         61430 Lime &amp; Yuzu Margarita Mix</t>
  </si>
  <si>
    <t xml:space="preserve">      Total 61400 Mixers</t>
  </si>
  <si>
    <t xml:space="preserve">      61500 Sets</t>
  </si>
  <si>
    <t xml:space="preserve">      63000 Events/Shows Sales</t>
  </si>
  <si>
    <t xml:space="preserve">         63100 Refunds/Allowances</t>
  </si>
  <si>
    <t xml:space="preserve">      Total 63000 Events/Shows Sales</t>
  </si>
  <si>
    <t xml:space="preserve">      64000 Online Sales</t>
  </si>
  <si>
    <t xml:space="preserve">      65000 Amazon Seller Central Sales</t>
  </si>
  <si>
    <t xml:space="preserve">         65100 Amazon US Market Sales</t>
  </si>
  <si>
    <t xml:space="preserve">            65110 Amazon Refund/Swell US Market Place</t>
  </si>
  <si>
    <t xml:space="preserve">         Total 65100 Amazon US Market Sales</t>
  </si>
  <si>
    <t xml:space="preserve">         65200 Amazon CA Market Sales</t>
  </si>
  <si>
    <t xml:space="preserve">      Total 65000 Amazon Seller Central Sales</t>
  </si>
  <si>
    <t xml:space="preserve">   Total 61000 Sales</t>
  </si>
  <si>
    <t xml:space="preserve">   66000 Other Income</t>
  </si>
  <si>
    <t xml:space="preserve">   Sales of Product Income</t>
  </si>
  <si>
    <t xml:space="preserve">   Shipping Income</t>
  </si>
  <si>
    <t>Total Income</t>
  </si>
  <si>
    <t>Cost of Goods Sold</t>
  </si>
  <si>
    <t xml:space="preserve">   62100 Refunds/Allowances</t>
  </si>
  <si>
    <t xml:space="preserve">   71000 Cost of Sales (COS)</t>
  </si>
  <si>
    <t xml:space="preserve">      71100 Shipping &amp; Delivery - COS</t>
  </si>
  <si>
    <t xml:space="preserve">      71300 Ingredients - COS</t>
  </si>
  <si>
    <t xml:space="preserve">      71400 Co-Packer - COGS</t>
  </si>
  <si>
    <t xml:space="preserve">      71500 Materials - COS</t>
  </si>
  <si>
    <t xml:space="preserve">      71600 Placement/Freefill - COS</t>
  </si>
  <si>
    <t xml:space="preserve">      Expiration Allowance</t>
  </si>
  <si>
    <t xml:space="preserve">      Inventory Shrinkage</t>
  </si>
  <si>
    <t xml:space="preserve">      Marketing Allowance</t>
  </si>
  <si>
    <t xml:space="preserve">      On-Invoice Discounts</t>
  </si>
  <si>
    <t xml:space="preserve">      Pass Thru Deduction</t>
  </si>
  <si>
    <t xml:space="preserve">      QuickBooks Payments Fees</t>
  </si>
  <si>
    <t xml:space="preserve">      Shipping/Transit Discounts</t>
  </si>
  <si>
    <t xml:space="preserve">      Spoilage Allowance</t>
  </si>
  <si>
    <t xml:space="preserve">      Swell Discount</t>
  </si>
  <si>
    <t xml:space="preserve">   Total 71000 Cost of Sales (COS)</t>
  </si>
  <si>
    <t xml:space="preserve">   Cost of Goods Sold</t>
  </si>
  <si>
    <t>Total Cost of Goods Sold</t>
  </si>
  <si>
    <t>Gross Profit</t>
  </si>
  <si>
    <t>Expenses</t>
  </si>
  <si>
    <t xml:space="preserve">   72000 Marketing/Advertising</t>
  </si>
  <si>
    <t xml:space="preserve">      72100 Freight &amp; Delivery - Marketing</t>
  </si>
  <si>
    <t xml:space="preserve">      72200 Social Media Marketing</t>
  </si>
  <si>
    <t xml:space="preserve">      72300 72300 Promotional</t>
  </si>
  <si>
    <t xml:space="preserve">      72300 Promotional</t>
  </si>
  <si>
    <t xml:space="preserve">      72400 Travel</t>
  </si>
  <si>
    <t xml:space="preserve">      72500 Events/Shows</t>
  </si>
  <si>
    <t xml:space="preserve">      72600 In Store Marketing</t>
  </si>
  <si>
    <t xml:space="preserve">         72601 Marketing Scanbacks</t>
  </si>
  <si>
    <t xml:space="preserve">      Total 72600 In Store Marketing</t>
  </si>
  <si>
    <t xml:space="preserve">      72700 Website/Design</t>
  </si>
  <si>
    <t xml:space="preserve">   Total 72000 Marketing/Advertising</t>
  </si>
  <si>
    <t xml:space="preserve">   73000 Overhead Expenses (G&amp;A)</t>
  </si>
  <si>
    <t xml:space="preserve">      73100 Rent or Lease</t>
  </si>
  <si>
    <t xml:space="preserve">         73110 Office Rent</t>
  </si>
  <si>
    <t xml:space="preserve">         73120 James Office</t>
  </si>
  <si>
    <t xml:space="preserve">      Total 73100 Rent or Lease</t>
  </si>
  <si>
    <t xml:space="preserve">      73200 Office Expenses</t>
  </si>
  <si>
    <t xml:space="preserve">         73210 Shipping Supplies</t>
  </si>
  <si>
    <t xml:space="preserve">         73220 Food Expense</t>
  </si>
  <si>
    <t xml:space="preserve">      Total 73200 Office Expenses</t>
  </si>
  <si>
    <t xml:space="preserve">      73300 Utilities</t>
  </si>
  <si>
    <t xml:space="preserve">      73400 Financial Fees</t>
  </si>
  <si>
    <t xml:space="preserve">         73410 Bank Fees</t>
  </si>
  <si>
    <t xml:space="preserve">         73420 Credit Card Fees</t>
  </si>
  <si>
    <t xml:space="preserve">         73440 Square Fees</t>
  </si>
  <si>
    <t xml:space="preserve">         73450 Interest Expense</t>
  </si>
  <si>
    <t xml:space="preserve">         73460 Line of Credit Fee | AT</t>
  </si>
  <si>
    <t xml:space="preserve">         73470 Fundbox Fees</t>
  </si>
  <si>
    <t xml:space="preserve">         73480 Stripe Fee</t>
  </si>
  <si>
    <t xml:space="preserve">      Total 73400 Financial Fees</t>
  </si>
  <si>
    <t xml:space="preserve">      73500 Dues &amp; Subscriptions</t>
  </si>
  <si>
    <t xml:space="preserve">      73600 Insurance</t>
  </si>
  <si>
    <t xml:space="preserve">         73620 Insurance - Liability</t>
  </si>
  <si>
    <t xml:space="preserve">         73630 Insurance - Auto</t>
  </si>
  <si>
    <t xml:space="preserve">         73640 Insurance - Health</t>
  </si>
  <si>
    <t xml:space="preserve">      Total 73600 Insurance</t>
  </si>
  <si>
    <t xml:space="preserve">      73700 Professional Fees</t>
  </si>
  <si>
    <t xml:space="preserve">      73800 Taxes &amp; Licenses</t>
  </si>
  <si>
    <t xml:space="preserve">      73900 1099 Non-Employee Compensation</t>
  </si>
  <si>
    <t xml:space="preserve">      73901 Payroll Taxes</t>
  </si>
  <si>
    <t xml:space="preserve">      73902 Salaries &amp; Wages</t>
  </si>
  <si>
    <t xml:space="preserve">   Total 73000 Overhead Expenses (G&amp;A)</t>
  </si>
  <si>
    <t xml:space="preserve">   74000 Bad Debts</t>
  </si>
  <si>
    <t xml:space="preserve">   75000 Travel</t>
  </si>
  <si>
    <t xml:space="preserve">   75500 Reimbursements</t>
  </si>
  <si>
    <t xml:space="preserve">   76000 Repair &amp; Maintenance</t>
  </si>
  <si>
    <t xml:space="preserve">   77000 Diminimis Safe Harbor Expenses</t>
  </si>
  <si>
    <t xml:space="preserve">   Charitable Contributions</t>
  </si>
  <si>
    <t xml:space="preserve">   Melio Credit card fee</t>
  </si>
  <si>
    <t xml:space="preserve">   Remittance Discrepancy</t>
  </si>
  <si>
    <t xml:space="preserve">   Returned Check</t>
  </si>
  <si>
    <t xml:space="preserve">   Sales Tax Expense</t>
  </si>
  <si>
    <t>Total Expenses</t>
  </si>
  <si>
    <t>Net Operating Income</t>
  </si>
  <si>
    <t>Other Income</t>
  </si>
  <si>
    <t xml:space="preserve">   80000 Interest Earned</t>
  </si>
  <si>
    <t xml:space="preserve">   Insurance Proceeds - Loss</t>
  </si>
  <si>
    <t xml:space="preserve">   Tax Exempt Income</t>
  </si>
  <si>
    <t>Total Other Income</t>
  </si>
  <si>
    <t>Other Expenses</t>
  </si>
  <si>
    <t xml:space="preserve">   90000 Other Miscellaneous Expense</t>
  </si>
  <si>
    <t xml:space="preserve">   Depreciation</t>
  </si>
  <si>
    <t xml:space="preserve">   Reconciliation Discrepancies</t>
  </si>
  <si>
    <t>Total Other Expenses</t>
  </si>
  <si>
    <t>Net Other Income</t>
  </si>
  <si>
    <t>Net Income</t>
  </si>
  <si>
    <t>Saturday, Nov 26, 2022 09:28:41 AM GMT-8 - Accrual Basis</t>
  </si>
  <si>
    <t>Bravado Spice</t>
  </si>
  <si>
    <t>Profit and Loss</t>
  </si>
  <si>
    <t>January 2019 - September 2022</t>
  </si>
  <si>
    <t>Sales</t>
  </si>
  <si>
    <t xml:space="preserve">  Distributor</t>
  </si>
  <si>
    <t xml:space="preserve">  Franchise</t>
  </si>
  <si>
    <t xml:space="preserve">  Online</t>
  </si>
  <si>
    <t xml:space="preserve">  Retail</t>
  </si>
  <si>
    <t>Other</t>
  </si>
  <si>
    <t>Cost of Sales</t>
  </si>
  <si>
    <t xml:space="preserve">  </t>
  </si>
  <si>
    <t>Selling, General &amp; Administrative</t>
  </si>
  <si>
    <t>Compensation</t>
  </si>
  <si>
    <t xml:space="preserve">  Salaries &amp; wages</t>
  </si>
  <si>
    <t xml:space="preserve">  Contract labor</t>
  </si>
  <si>
    <t xml:space="preserve">  Payroll taxes</t>
  </si>
  <si>
    <t xml:space="preserve">  Employee benefits</t>
  </si>
  <si>
    <t xml:space="preserve">     Total compensation</t>
  </si>
  <si>
    <t>Marketing &amp; advertising</t>
  </si>
  <si>
    <t>Rent</t>
  </si>
  <si>
    <t>Office expenses</t>
  </si>
  <si>
    <t>Travel</t>
  </si>
  <si>
    <t>Dues &amp; subscriptions</t>
  </si>
  <si>
    <t>Insurance</t>
  </si>
  <si>
    <t>Utilities</t>
  </si>
  <si>
    <t>Professional fees</t>
  </si>
  <si>
    <t>Repairs &amp; maintenance</t>
  </si>
  <si>
    <t>Taxes &amp; licenses</t>
  </si>
  <si>
    <t>Reimbursements</t>
  </si>
  <si>
    <t>Bad debts</t>
  </si>
  <si>
    <t>Miscellaneous</t>
  </si>
  <si>
    <t xml:space="preserve">     Total SG&amp;A</t>
  </si>
  <si>
    <t>EBITDA</t>
  </si>
  <si>
    <t>Other Income/Expenses</t>
  </si>
  <si>
    <t>Nonoperating income/expenses</t>
  </si>
  <si>
    <t>Interest &amp; CC fees</t>
  </si>
  <si>
    <t>Depreciation</t>
  </si>
  <si>
    <t>Shipping &amp; delivery</t>
  </si>
  <si>
    <t>Co-Packer &amp; ingredients</t>
  </si>
  <si>
    <t>Materials</t>
  </si>
  <si>
    <t xml:space="preserve">     Total hot sauce</t>
  </si>
  <si>
    <t>Q1</t>
  </si>
  <si>
    <t>Q2</t>
  </si>
  <si>
    <t>Q3</t>
  </si>
  <si>
    <t>Q4</t>
  </si>
  <si>
    <t>Gross Margin</t>
  </si>
  <si>
    <t>Mixers &amp; seasonings</t>
  </si>
  <si>
    <t>Notes</t>
  </si>
  <si>
    <t>PRICING/COST GRID</t>
  </si>
  <si>
    <t>Color</t>
  </si>
  <si>
    <t>Black</t>
  </si>
  <si>
    <t>Menuka</t>
  </si>
  <si>
    <t>Marg-35</t>
  </si>
  <si>
    <t xml:space="preserve">  Cost</t>
  </si>
  <si>
    <t>ASSUMPTIONS</t>
  </si>
  <si>
    <t>Growth</t>
  </si>
  <si>
    <t>Cost of co-packer/ingredients</t>
  </si>
  <si>
    <t xml:space="preserve">  Marg/spices</t>
  </si>
  <si>
    <t>Nov 15</t>
  </si>
  <si>
    <t>Oct 31</t>
  </si>
  <si>
    <t>Oct 14</t>
  </si>
  <si>
    <t>Sept 30</t>
  </si>
  <si>
    <t>Sept 15</t>
  </si>
  <si>
    <t>Aug  31</t>
  </si>
  <si>
    <t>Aug 15</t>
  </si>
  <si>
    <t>July 29</t>
  </si>
  <si>
    <t>July 15</t>
  </si>
  <si>
    <t>10/25-11/8</t>
  </si>
  <si>
    <t>10/9-10/24</t>
  </si>
  <si>
    <t>9/24-10/8</t>
  </si>
  <si>
    <t>9/9-9/23</t>
  </si>
  <si>
    <t>8/25-9/8</t>
  </si>
  <si>
    <t>8/9-8/24</t>
  </si>
  <si>
    <t>7/25-8/8</t>
  </si>
  <si>
    <t>7/9-7/24</t>
  </si>
  <si>
    <t>6/24-7/8</t>
  </si>
  <si>
    <t>Employees</t>
  </si>
  <si>
    <t>Vicente Blasco</t>
  </si>
  <si>
    <t>Spencer Gamache</t>
  </si>
  <si>
    <t>Ryan Harcourt</t>
  </si>
  <si>
    <t>Levi Hardeman</t>
  </si>
  <si>
    <t>James Nelson</t>
  </si>
  <si>
    <t>Jeremiah Tallerine</t>
  </si>
  <si>
    <t>Justin Terrell</t>
  </si>
  <si>
    <t>Miguel Vaquero</t>
  </si>
  <si>
    <t>Kiley Volpe</t>
  </si>
  <si>
    <t xml:space="preserve">   Gross payroll</t>
  </si>
  <si>
    <t>Payroll taxes</t>
  </si>
  <si>
    <t>Benefits</t>
  </si>
  <si>
    <t xml:space="preserve">   Total payroll</t>
  </si>
  <si>
    <t>Contractors</t>
  </si>
  <si>
    <t>October</t>
  </si>
  <si>
    <t>September</t>
  </si>
  <si>
    <t>August</t>
  </si>
  <si>
    <t>July</t>
  </si>
  <si>
    <t>Jason Cowan</t>
  </si>
  <si>
    <t>Raquel Farias</t>
  </si>
  <si>
    <t>McKenna Marmolejo</t>
  </si>
  <si>
    <t>Isabel Venancin</t>
  </si>
  <si>
    <t>Qtr Run Rate</t>
  </si>
  <si>
    <t>Revenue split by qtr</t>
  </si>
  <si>
    <t>In-store marketing,event coord</t>
  </si>
  <si>
    <t>Sales manager</t>
  </si>
  <si>
    <t>VP Sales</t>
  </si>
  <si>
    <t>Amazon</t>
  </si>
  <si>
    <t>Sales/Product development</t>
  </si>
  <si>
    <t>Operations</t>
  </si>
  <si>
    <t>e-com fulfillment</t>
  </si>
  <si>
    <t>Kitting &amp; fulfillment</t>
  </si>
  <si>
    <t>creative director/designer</t>
  </si>
  <si>
    <t>contract labor fulfillment</t>
  </si>
  <si>
    <t>social media mgr</t>
  </si>
  <si>
    <t>Distributor</t>
  </si>
  <si>
    <t>Franchise</t>
  </si>
  <si>
    <t>Sales by Segment</t>
  </si>
  <si>
    <t>Academy</t>
  </si>
  <si>
    <t>Uline</t>
  </si>
  <si>
    <t>Jungle Jim's</t>
  </si>
  <si>
    <t>Spec's</t>
  </si>
  <si>
    <t>UNFI</t>
  </si>
  <si>
    <t>KeHe</t>
  </si>
  <si>
    <t>Hot Shots</t>
  </si>
  <si>
    <t>Hotheads (intl)</t>
  </si>
  <si>
    <t>Buc-ee's</t>
  </si>
  <si>
    <t>Cost Plus/World Market</t>
  </si>
  <si>
    <t>Per QB sales by customer</t>
  </si>
  <si>
    <t>TJ Maxx</t>
  </si>
  <si>
    <t xml:space="preserve">     Total distributor</t>
  </si>
  <si>
    <t xml:space="preserve">     Total franchise</t>
  </si>
  <si>
    <t>Per GL</t>
  </si>
  <si>
    <t>Marshalls</t>
  </si>
  <si>
    <t>Heatsupply</t>
  </si>
  <si>
    <t>Online/Amazon</t>
  </si>
  <si>
    <t>Retail (implied via SbC report)</t>
  </si>
  <si>
    <t>Retail (implied via GL)</t>
  </si>
  <si>
    <t>Oct</t>
  </si>
  <si>
    <t>Nov</t>
  </si>
  <si>
    <t>Dec</t>
  </si>
  <si>
    <t>Per QB</t>
  </si>
  <si>
    <t>Oct - Dec Proj</t>
  </si>
  <si>
    <t>Adjust</t>
  </si>
  <si>
    <t>Q4 Proj</t>
  </si>
  <si>
    <t xml:space="preserve">  Online/Amazon</t>
  </si>
  <si>
    <t>Q4 To Date</t>
  </si>
  <si>
    <t xml:space="preserve">     Total sales</t>
  </si>
  <si>
    <t xml:space="preserve">     Total CGS</t>
  </si>
  <si>
    <t xml:space="preserve">   Total Wine</t>
  </si>
  <si>
    <t xml:space="preserve">   Target</t>
  </si>
  <si>
    <t xml:space="preserve">   Kroger</t>
  </si>
  <si>
    <t>Door Dash</t>
  </si>
  <si>
    <t>margin assumptions below</t>
  </si>
  <si>
    <t>9% of sales</t>
  </si>
  <si>
    <t>2023</t>
  </si>
  <si>
    <t>New</t>
  </si>
  <si>
    <t>payroll sheet</t>
  </si>
  <si>
    <t>3% of sales</t>
  </si>
  <si>
    <t>$9500/month</t>
  </si>
  <si>
    <t>$5000/month</t>
  </si>
  <si>
    <t>see show schedule + 10% increase in other</t>
  </si>
  <si>
    <t>mostly gas, PY average</t>
  </si>
  <si>
    <t>software, PY average</t>
  </si>
  <si>
    <t>5% increase</t>
  </si>
  <si>
    <t>PY average</t>
  </si>
  <si>
    <t>PY + contract CFO</t>
  </si>
  <si>
    <t>PY average + 10% franchise tax (3Q?)</t>
  </si>
  <si>
    <t>guess</t>
  </si>
  <si>
    <t>$2500/month</t>
  </si>
  <si>
    <t>TBD</t>
  </si>
  <si>
    <t>Nov 30</t>
  </si>
  <si>
    <t>11/9-11/23</t>
  </si>
  <si>
    <t>Dec 15</t>
  </si>
  <si>
    <t>11/24-12/8</t>
  </si>
  <si>
    <t>12/9-12/24</t>
  </si>
  <si>
    <t>November</t>
  </si>
  <si>
    <t>December</t>
  </si>
  <si>
    <t>Balance Sheet</t>
  </si>
  <si>
    <t>As of December 31, 2022</t>
  </si>
  <si>
    <t>As of Dec 31, 2022</t>
  </si>
  <si>
    <t>As of Dec 31, 2021 (PY)</t>
  </si>
  <si>
    <t>ASSETS</t>
  </si>
  <si>
    <t xml:space="preserve">   Current Assets</t>
  </si>
  <si>
    <t xml:space="preserve">      Bank Accounts</t>
  </si>
  <si>
    <t xml:space="preserve">         1071 Bill.com Money In Clearing</t>
  </si>
  <si>
    <t xml:space="preserve">         1072 Bill.com Money Out Clearing</t>
  </si>
  <si>
    <t xml:space="preserve">         11100 Chase Savings 3580</t>
  </si>
  <si>
    <t xml:space="preserve">         11200 Chase Checking 5189</t>
  </si>
  <si>
    <t xml:space="preserve">         11500 Cash on hand</t>
  </si>
  <si>
    <t xml:space="preserve">      Total Bank Accounts</t>
  </si>
  <si>
    <t xml:space="preserve">      Accounts Receivable</t>
  </si>
  <si>
    <t xml:space="preserve">         12000 Accounts Receivable</t>
  </si>
  <si>
    <t xml:space="preserve">      Total Accounts Receivable</t>
  </si>
  <si>
    <t xml:space="preserve">      Other Current Assets</t>
  </si>
  <si>
    <t xml:space="preserve">         13000 Prepaid Expenses</t>
  </si>
  <si>
    <t xml:space="preserve">         14000 Uncategorized Asset</t>
  </si>
  <si>
    <t xml:space="preserve">         15000 Undeposited Funds</t>
  </si>
  <si>
    <t xml:space="preserve">         20000 Inventory Asset</t>
  </si>
  <si>
    <t xml:space="preserve">            Amazon Inventory</t>
  </si>
  <si>
    <t xml:space="preserve">            Finished Goods Inventory</t>
  </si>
  <si>
    <t xml:space="preserve">            Shopify Inventory</t>
  </si>
  <si>
    <t xml:space="preserve">         Total 20000 Inventory Asset</t>
  </si>
  <si>
    <t xml:space="preserve">         BlockFi Investment</t>
  </si>
  <si>
    <t xml:space="preserve">         Due from James</t>
  </si>
  <si>
    <t xml:space="preserve">         Due from Jer</t>
  </si>
  <si>
    <t xml:space="preserve">         Loan Receivable - Specialty Bottling Group</t>
  </si>
  <si>
    <t xml:space="preserve">      Total Other Current Assets</t>
  </si>
  <si>
    <t xml:space="preserve">   Total Current Assets</t>
  </si>
  <si>
    <t xml:space="preserve">   Fixed Assets</t>
  </si>
  <si>
    <t xml:space="preserve">      27000 Machinery &amp; Equipment</t>
  </si>
  <si>
    <t xml:space="preserve">      28000 Company Vehicle - Chevrolet</t>
  </si>
  <si>
    <t xml:space="preserve">      28500 Company Vehicle - Ford Explorer</t>
  </si>
  <si>
    <t xml:space="preserve">      29000 Company Vehicle - Box Truck</t>
  </si>
  <si>
    <t xml:space="preserve">      Accumulated Depreciation</t>
  </si>
  <si>
    <t xml:space="preserve">   Total Fixed Assets</t>
  </si>
  <si>
    <t xml:space="preserve">   Other Assets</t>
  </si>
  <si>
    <t xml:space="preserve">      Security Deposits</t>
  </si>
  <si>
    <t xml:space="preserve">   Total Other Assets</t>
  </si>
  <si>
    <t>TOTAL ASSETS</t>
  </si>
  <si>
    <t>LIABILITIES AND EQUITY</t>
  </si>
  <si>
    <t xml:space="preserve">   Liabilities</t>
  </si>
  <si>
    <t xml:space="preserve">      Current Liabilities</t>
  </si>
  <si>
    <t xml:space="preserve">         Accounts Payable</t>
  </si>
  <si>
    <t xml:space="preserve">            31000 Accounts Payable</t>
  </si>
  <si>
    <t xml:space="preserve">         Total Accounts Payable</t>
  </si>
  <si>
    <t xml:space="preserve">         Credit Cards</t>
  </si>
  <si>
    <t xml:space="preserve">            32000 Credit Cards</t>
  </si>
  <si>
    <t xml:space="preserve">               32700 Vince's Southwest Airlines Rapid Rewards 7528</t>
  </si>
  <si>
    <t xml:space="preserve">            Total 32000 Credit Cards</t>
  </si>
  <si>
    <t xml:space="preserve">            32400 Spark Business Credit Card - 4964</t>
  </si>
  <si>
    <t xml:space="preserve">            32600 Southwest Airlines Rapid Rewards Credit Card 7510</t>
  </si>
  <si>
    <t xml:space="preserve">            32800 James's Chase Ink Card</t>
  </si>
  <si>
    <t xml:space="preserve">            Business AMEX Card</t>
  </si>
  <si>
    <t xml:space="preserve">            Chase 0423</t>
  </si>
  <si>
    <t xml:space="preserve">            Chase 2639</t>
  </si>
  <si>
    <t xml:space="preserve">            Credit card (9532)</t>
  </si>
  <si>
    <t xml:space="preserve">         Total Credit Cards</t>
  </si>
  <si>
    <t xml:space="preserve">         Other Current Liabilities</t>
  </si>
  <si>
    <t xml:space="preserve">            33000 Lines of Credit</t>
  </si>
  <si>
    <t xml:space="preserve">               33100 Anthony Tallerine LOC</t>
  </si>
  <si>
    <t xml:space="preserve">               33200 BlueVine LOC</t>
  </si>
  <si>
    <t xml:space="preserve">               33300 Fundbox Invoice Advances</t>
  </si>
  <si>
    <t xml:space="preserve">               33400 Amazon LOC</t>
  </si>
  <si>
    <t xml:space="preserve">            Total 33000 Lines of Credit</t>
  </si>
  <si>
    <t xml:space="preserve">            33500 Due to Jeremiah</t>
  </si>
  <si>
    <t xml:space="preserve">            34100 Employer Benefit Liabilities</t>
  </si>
  <si>
    <t xml:space="preserve">            34300 Tax Deferral</t>
  </si>
  <si>
    <t xml:space="preserve">               34310 Social Security</t>
  </si>
  <si>
    <t xml:space="preserve">            Total 34300 Tax Deferral</t>
  </si>
  <si>
    <t xml:space="preserve">         Total Other Current Liabilities</t>
  </si>
  <si>
    <t xml:space="preserve">      Total Current Liabilities</t>
  </si>
  <si>
    <t xml:space="preserve">      Long-Term Liabilities</t>
  </si>
  <si>
    <t xml:space="preserve">         35000 Loan Payable - Chevrolet</t>
  </si>
  <si>
    <t xml:space="preserve">         Amazon Loan</t>
  </si>
  <si>
    <t xml:space="preserve">         Funding Circle Loan</t>
  </si>
  <si>
    <t xml:space="preserve">         Loan - Intuit Financing</t>
  </si>
  <si>
    <t xml:space="preserve">         Loan from Shopify</t>
  </si>
  <si>
    <t xml:space="preserve">         PPP Loan</t>
  </si>
  <si>
    <t xml:space="preserve">         Quickbooks Capital Loan</t>
  </si>
  <si>
    <t xml:space="preserve">      Total Long-Term Liabilities</t>
  </si>
  <si>
    <t xml:space="preserve">   Total Liabilities</t>
  </si>
  <si>
    <t xml:space="preserve">   Equity</t>
  </si>
  <si>
    <t xml:space="preserve">      51000 Opening Balance Equity</t>
  </si>
  <si>
    <t xml:space="preserve">      52000 Retained Earnings</t>
  </si>
  <si>
    <t xml:space="preserve">      53000 Jer's Draw</t>
  </si>
  <si>
    <t xml:space="preserve">      54000 James' Draw</t>
  </si>
  <si>
    <t xml:space="preserve">      Net Income</t>
  </si>
  <si>
    <t xml:space="preserve">   Total Equity</t>
  </si>
  <si>
    <t>TOTAL LIABILITIES AND EQUITY</t>
  </si>
  <si>
    <t>Tuesday, Jan 24, 2023 09:04:38 AM GMT-8 - Accrual Basis</t>
  </si>
  <si>
    <t>Comparative Balance Sheets</t>
  </si>
  <si>
    <t>Assets</t>
  </si>
  <si>
    <t>Current Assets</t>
  </si>
  <si>
    <t>Cash</t>
  </si>
  <si>
    <t xml:space="preserve">December 31, </t>
  </si>
  <si>
    <t>Accounts receivable</t>
  </si>
  <si>
    <t>Inventory</t>
  </si>
  <si>
    <t xml:space="preserve">     Total current assets</t>
  </si>
  <si>
    <t>Property &amp; Equipment</t>
  </si>
  <si>
    <t>Machinery</t>
  </si>
  <si>
    <t>Vehicles</t>
  </si>
  <si>
    <t>Accumulated depreciation</t>
  </si>
  <si>
    <t>Other Assets</t>
  </si>
  <si>
    <t xml:space="preserve">     Total property &amp; equipment</t>
  </si>
  <si>
    <t xml:space="preserve">          Total assets</t>
  </si>
  <si>
    <t>Liabilities and Equity</t>
  </si>
  <si>
    <t>Current Liabilities</t>
  </si>
  <si>
    <t>Accounts payable</t>
  </si>
  <si>
    <t>Credit cards</t>
  </si>
  <si>
    <t>LOC</t>
  </si>
  <si>
    <t>Long-Term Debt</t>
  </si>
  <si>
    <t>Bravado Spice LLC</t>
  </si>
  <si>
    <t>Equity</t>
  </si>
  <si>
    <t>Members interests</t>
  </si>
  <si>
    <t>Retained earnings</t>
  </si>
  <si>
    <t xml:space="preserve">     Total current liabilities</t>
  </si>
  <si>
    <t xml:space="preserve">     Total equity</t>
  </si>
  <si>
    <t xml:space="preserve">          Total liabilities and equity</t>
  </si>
  <si>
    <t>Year Ended December 31,</t>
  </si>
  <si>
    <t>Selling, General &amp; Administrative Expenses</t>
  </si>
  <si>
    <t>Software dues &amp; subscriptions</t>
  </si>
  <si>
    <t xml:space="preserve">     Total S, G &amp; A expenses</t>
  </si>
  <si>
    <t>Non-operating</t>
  </si>
  <si>
    <t>Net Income(Loss)</t>
  </si>
  <si>
    <t>ACTUAL</t>
  </si>
  <si>
    <t>PRE_CLOSING</t>
  </si>
  <si>
    <t>FORECAST</t>
  </si>
  <si>
    <t>Interest &amp; fees</t>
  </si>
  <si>
    <t>HomeGoods</t>
  </si>
  <si>
    <t>Sarl Sauce (France)</t>
  </si>
  <si>
    <t>On target</t>
  </si>
  <si>
    <t>Includes $45 to Meijer 1Q, on target</t>
  </si>
  <si>
    <t>Will know more after 5/18, uncertain at present</t>
  </si>
  <si>
    <t>TBD, send Spencer a summary</t>
  </si>
  <si>
    <t>Reduce rest of year by 10%</t>
  </si>
  <si>
    <t>Reduce rest of year by 15%</t>
  </si>
  <si>
    <t>Zero rest of year</t>
  </si>
  <si>
    <t>Check with Jeremiah</t>
  </si>
  <si>
    <t>Major demos May 12-13 expected to drive growth</t>
  </si>
  <si>
    <t>Q1 Actual</t>
  </si>
  <si>
    <t xml:space="preserve">Four Months Ended April 30, </t>
  </si>
  <si>
    <t>Bank fees</t>
  </si>
  <si>
    <t>Income Statement</t>
  </si>
  <si>
    <t>Other G&amp;A</t>
  </si>
  <si>
    <t>Notes 3/27</t>
  </si>
  <si>
    <t>Heatonist</t>
  </si>
  <si>
    <t>Increase to $30K/month by 4Q for Faire plus small amount of other</t>
  </si>
  <si>
    <t>Year</t>
  </si>
  <si>
    <t xml:space="preserve">   Walmart</t>
  </si>
  <si>
    <t xml:space="preserve">   Albertsons</t>
  </si>
  <si>
    <t>Peppers.com</t>
  </si>
  <si>
    <t>Food Movers</t>
  </si>
  <si>
    <t>American Heritage</t>
  </si>
  <si>
    <t>2023 Forecast (Original)</t>
  </si>
  <si>
    <t xml:space="preserve"> 2Q Est 6/20</t>
  </si>
  <si>
    <t>Q2 Actual</t>
  </si>
  <si>
    <t>YTD 2022</t>
  </si>
  <si>
    <t>YTD 2023</t>
  </si>
  <si>
    <t>Forecast 2023</t>
  </si>
  <si>
    <t>Bluevine</t>
  </si>
  <si>
    <t>QB</t>
  </si>
  <si>
    <t>Shopify</t>
  </si>
  <si>
    <t xml:space="preserve">   Meijer (incl in KeHe)</t>
  </si>
  <si>
    <t xml:space="preserve">   DPI</t>
  </si>
  <si>
    <t>2024 Forecast</t>
  </si>
  <si>
    <t>2023 (Updated 9/1/23)</t>
  </si>
  <si>
    <t>Original Notes</t>
  </si>
  <si>
    <t xml:space="preserve"> </t>
  </si>
  <si>
    <t>Budget Worksheet</t>
  </si>
  <si>
    <t>Q3 Actual</t>
  </si>
  <si>
    <t>Jan</t>
  </si>
  <si>
    <t>Feb</t>
  </si>
  <si>
    <t>Mar</t>
  </si>
  <si>
    <t>Apr</t>
  </si>
  <si>
    <t>May</t>
  </si>
  <si>
    <t>June</t>
  </si>
  <si>
    <t>Assumptions</t>
  </si>
  <si>
    <t xml:space="preserve">  Less Amazon netting</t>
  </si>
  <si>
    <t xml:space="preserve">     Spencer</t>
  </si>
  <si>
    <t xml:space="preserve">     Levi</t>
  </si>
  <si>
    <t xml:space="preserve">     McKenna</t>
  </si>
  <si>
    <t xml:space="preserve">     Marisa</t>
  </si>
  <si>
    <t xml:space="preserve">     Jeremiah</t>
  </si>
  <si>
    <t xml:space="preserve">     Miguel</t>
  </si>
  <si>
    <t xml:space="preserve">     Robert</t>
  </si>
  <si>
    <t>8% of payroll</t>
  </si>
  <si>
    <t>Interest</t>
  </si>
  <si>
    <t>Bank/Faire/CC charges</t>
  </si>
  <si>
    <t>Debt Service</t>
  </si>
  <si>
    <t>Anthony Tallerine</t>
  </si>
  <si>
    <t>Funding Circle</t>
  </si>
  <si>
    <t>Parafin</t>
  </si>
  <si>
    <t>Investment/Borrowing</t>
  </si>
  <si>
    <t>Cash from Operations</t>
  </si>
  <si>
    <t>Net Cash Flow</t>
  </si>
  <si>
    <t>Working Capital Fluctuation</t>
  </si>
  <si>
    <t>Cash, Beginning of Month</t>
  </si>
  <si>
    <t>Cash, End of Month</t>
  </si>
  <si>
    <t>Debt Balances, end of month</t>
  </si>
  <si>
    <t>Credit Cards</t>
  </si>
  <si>
    <t xml:space="preserve">  Bus AMEX</t>
  </si>
  <si>
    <t xml:space="preserve">  Chase 0423</t>
  </si>
  <si>
    <t xml:space="preserve">  Chase 2639</t>
  </si>
  <si>
    <t xml:space="preserve">     Total CC</t>
  </si>
  <si>
    <t xml:space="preserve">      Total</t>
  </si>
  <si>
    <t>Payrolls</t>
  </si>
  <si>
    <t>Trend</t>
  </si>
  <si>
    <t>15% Amazon sales</t>
  </si>
  <si>
    <t>2023 Forecast</t>
  </si>
  <si>
    <t>Revised Based on Meeting 6/20/23</t>
  </si>
  <si>
    <t xml:space="preserve">   Meijer</t>
  </si>
  <si>
    <t>DPI</t>
  </si>
  <si>
    <t xml:space="preserve">Retail </t>
  </si>
  <si>
    <t>Faire</t>
  </si>
  <si>
    <t>7% of sales</t>
  </si>
  <si>
    <t>Swell/other discounts</t>
  </si>
  <si>
    <t>$9500/mo, reduce to $5000 in Jan</t>
  </si>
  <si>
    <t>Per discussion 11/20</t>
  </si>
  <si>
    <t>Average</t>
  </si>
  <si>
    <t>Franchise tax in April</t>
  </si>
  <si>
    <t xml:space="preserve">     Events &amp; shows</t>
  </si>
  <si>
    <t xml:space="preserve">     In store</t>
  </si>
  <si>
    <t xml:space="preserve">     Website</t>
  </si>
  <si>
    <t xml:space="preserve">     Other</t>
  </si>
  <si>
    <t>Transaction Report</t>
  </si>
  <si>
    <t>January - October, 2023</t>
  </si>
  <si>
    <t>Date</t>
  </si>
  <si>
    <t>Transaction Type</t>
  </si>
  <si>
    <t>Num</t>
  </si>
  <si>
    <t>Adj</t>
  </si>
  <si>
    <t>Name</t>
  </si>
  <si>
    <t>Memo/Description</t>
  </si>
  <si>
    <t>Account</t>
  </si>
  <si>
    <t>Split</t>
  </si>
  <si>
    <t>Amount</t>
  </si>
  <si>
    <t>Balance</t>
  </si>
  <si>
    <t>Google</t>
  </si>
  <si>
    <t>Events/Shows</t>
  </si>
  <si>
    <t>In Store</t>
  </si>
  <si>
    <t>Website</t>
  </si>
  <si>
    <t>Advantage</t>
  </si>
  <si>
    <t>MailChimp</t>
  </si>
  <si>
    <t>MooPrint</t>
  </si>
  <si>
    <t>Apdat</t>
  </si>
  <si>
    <t>HEB</t>
  </si>
  <si>
    <t>SpecFoods</t>
  </si>
  <si>
    <t>Specs</t>
  </si>
  <si>
    <t>Marketing/Advertising</t>
  </si>
  <si>
    <t>01/01/2023</t>
  </si>
  <si>
    <t>Expense</t>
  </si>
  <si>
    <t>No</t>
  </si>
  <si>
    <t>GOOGLE *ADS9428905993</t>
  </si>
  <si>
    <t>72000 Marketing/Advertising</t>
  </si>
  <si>
    <t>Chase 0423</t>
  </si>
  <si>
    <t>01/09/2023</t>
  </si>
  <si>
    <t>Cloud Chaserz</t>
  </si>
  <si>
    <t>CLOUD CHASERZ</t>
  </si>
  <si>
    <t>Chase 2639</t>
  </si>
  <si>
    <t>01/17/2023</t>
  </si>
  <si>
    <t>01/23/2023</t>
  </si>
  <si>
    <t>cost plus world</t>
  </si>
  <si>
    <t>11200 Chase Checking 5189</t>
  </si>
  <si>
    <t>01/29/2023</t>
  </si>
  <si>
    <t>Liquor Lounge</t>
  </si>
  <si>
    <t>TST* EZ' LIQUOR LOUNGE</t>
  </si>
  <si>
    <t>02/01/2023</t>
  </si>
  <si>
    <t>02/05/2023</t>
  </si>
  <si>
    <t>Manready Mercantile</t>
  </si>
  <si>
    <t>SP MANREADY MERCANTI</t>
  </si>
  <si>
    <t>02/11/2023</t>
  </si>
  <si>
    <t>02/25/2023</t>
  </si>
  <si>
    <t>02/26/2023</t>
  </si>
  <si>
    <t>Tiktok</t>
  </si>
  <si>
    <t>TIKTOK ADS  *TIKTOK</t>
  </si>
  <si>
    <t>03/01/2023</t>
  </si>
  <si>
    <t>03/05/2023</t>
  </si>
  <si>
    <t>TIKTOK ADS</t>
  </si>
  <si>
    <t>03/07/2023</t>
  </si>
  <si>
    <t>32400 Spark Business Credit Card - 4964</t>
  </si>
  <si>
    <t>03/17/2023</t>
  </si>
  <si>
    <t>ATM Withdrawal</t>
  </si>
  <si>
    <t>ATM WITHDRAWAL 006340  03/1712017 NOR</t>
  </si>
  <si>
    <t>03/18/2023</t>
  </si>
  <si>
    <t>03/22/2023</t>
  </si>
  <si>
    <t>04/01/2023</t>
  </si>
  <si>
    <t>04/02/2023</t>
  </si>
  <si>
    <t>Valencia Exotic Cigars</t>
  </si>
  <si>
    <t>VALENCIA EXOTIC CIGARS .</t>
  </si>
  <si>
    <t>Zeitgeist</t>
  </si>
  <si>
    <t>SQ *ZEITGEIST</t>
  </si>
  <si>
    <t>04/19/2023</t>
  </si>
  <si>
    <t>05/01/2023</t>
  </si>
  <si>
    <t>05/12/2023</t>
  </si>
  <si>
    <t>05/16/2023</t>
  </si>
  <si>
    <t>05/19/2023</t>
  </si>
  <si>
    <t>05/23/2023</t>
  </si>
  <si>
    <t>&amp; GOOGLE *ADS9428905993 cc@google.com CA</t>
  </si>
  <si>
    <t>05/24/2023</t>
  </si>
  <si>
    <t>KeHE Distributors LLC</t>
  </si>
  <si>
    <t>MSF83618	Promotion</t>
  </si>
  <si>
    <t>05/27/2023</t>
  </si>
  <si>
    <t>06/01/2023</t>
  </si>
  <si>
    <t>06/05/2023</t>
  </si>
  <si>
    <t>06/11/2023</t>
  </si>
  <si>
    <t>06/14/2023</t>
  </si>
  <si>
    <t>07/19/2023</t>
  </si>
  <si>
    <t>Advertising</t>
  </si>
  <si>
    <t>07/28/2023</t>
  </si>
  <si>
    <t>GOOGLE *ADSXXXXXXXXX cc@google.com CA 07/28</t>
  </si>
  <si>
    <t>07/30/2023</t>
  </si>
  <si>
    <t>GOOGLE *ADSXXXXXXXXX cc@google.com CA 07/30</t>
  </si>
  <si>
    <t>08/01/2023</t>
  </si>
  <si>
    <t>GOOGLE *ADSXXXXXXXXX cc@google.com CA 08/01</t>
  </si>
  <si>
    <t>08/04/2023</t>
  </si>
  <si>
    <t>Credit Memo</t>
  </si>
  <si>
    <t>Promotion / Meijer Promo/ Chargeback</t>
  </si>
  <si>
    <t>12000 Accounts Receivable</t>
  </si>
  <si>
    <t>WRDC0723A042034 - Quarterly Ad agrement West Region Basic - July, Aug, Sept 2023</t>
  </si>
  <si>
    <t>GOOGLE *ADSXXXXXXXXX cc@google.com CA 08/04</t>
  </si>
  <si>
    <t>08/07/2023</t>
  </si>
  <si>
    <t>Bill</t>
  </si>
  <si>
    <t>SINV10-006757167</t>
  </si>
  <si>
    <t>Advantage Sales &amp; Marketing</t>
  </si>
  <si>
    <t>COLLATERAL 1.00 $950.24 950.24</t>
  </si>
  <si>
    <t>31000 Accounts Payable</t>
  </si>
  <si>
    <t>Product Cost 1.00 $122.98 122.98</t>
  </si>
  <si>
    <t>MEIJER EXPLORE MORE
 2023 7/1/2023
 P6 W2 FD - Bravado Spice JOB # 29707
6 STORES EXECUTED
 Buyer# 15
 BRAVADO CREAMY HERB &amp; JALAPENO SAUCE 5 OZ
 L5-000059 UPC 85077100520
PROGRAM COST 6.00 $199.00 1,194.00</t>
  </si>
  <si>
    <t>GOOGLE *ADSXXXXXXXXX cc@google.com CA 08/07</t>
  </si>
  <si>
    <t>08/10/2023</t>
  </si>
  <si>
    <t>GOOGLE *ADSXXXXXXXXX cc@google.com CA 08/10</t>
  </si>
  <si>
    <t>08/13/2023</t>
  </si>
  <si>
    <t>GOOGLE *ADSXXXXXXXXX cc@google.com CA 08/13</t>
  </si>
  <si>
    <t>08/16/2023</t>
  </si>
  <si>
    <t>BGM82819_Scan / 97Advertising/ Brookshire Brothers MCB Invoice</t>
  </si>
  <si>
    <t>08/21/2023</t>
  </si>
  <si>
    <t>GOOGLE *ADSXXXXXXXXX cc@google.com CA 08/21</t>
  </si>
  <si>
    <t>08/29/2023</t>
  </si>
  <si>
    <t>GOOGLE *ADSXXXXXXXXX cc@google.com CA 08/29</t>
  </si>
  <si>
    <t>08/31/2023</t>
  </si>
  <si>
    <t>Invoice# ERDC0723A042034_Quarterly Ad Agreements East Region Basic - JULY, AUG, SEPT 2023_Annual Advertising ; EInvoice#RNACVTN0623B042034_June 2023 New Activation/ Reactivation SAR Item#162139 and #162141</t>
  </si>
  <si>
    <t>09/01/2023</t>
  </si>
  <si>
    <t>SUMSHOW2</t>
  </si>
  <si>
    <t>SUMSHOW2/</t>
  </si>
  <si>
    <t>GOOGLE *ADSXXXXXXXXX cc@google.com CA 09/01</t>
  </si>
  <si>
    <t>09/05/2023</t>
  </si>
  <si>
    <t>MSF296018</t>
  </si>
  <si>
    <t>MSF296018/ Promotion/ Meijer Promo</t>
  </si>
  <si>
    <t>Global Experience</t>
  </si>
  <si>
    <t>GLOBAL EXPERIENCE SPE XXX-XXX-XXXX NV 09/06</t>
  </si>
  <si>
    <t>09/08/2023</t>
  </si>
  <si>
    <t>GOOGLE *ADSXXXXXXXXX cc@google.com CA 09/08</t>
  </si>
  <si>
    <t>09/11/2023</t>
  </si>
  <si>
    <t>Journal Entry</t>
  </si>
  <si>
    <t>AJE-42</t>
  </si>
  <si>
    <t>Invoice#RPSUMSHOW2 / bal due ck  # 2366842</t>
  </si>
  <si>
    <t>-Split-</t>
  </si>
  <si>
    <t>09/12/2023</t>
  </si>
  <si>
    <t>Deposit</t>
  </si>
  <si>
    <t>Reversal: GOOGLE *ADSXXXXXXXXX cc@google.com CA XX/XX ClaimId: XXXXXXXXXXX0001</t>
  </si>
  <si>
    <t>09/14/2023</t>
  </si>
  <si>
    <t>ORIG CO NAME:GOOGLE ORIG ID:FXXXXXXXXX DESC DATE: CO ENTRY DESCR:ACCTVERIFYSEC:PPD TRACE#:XXXXXXXXXXXXXXX EED:XXXXXX IND ID: IND NAME:Chase TRN: XXXXXX6092TC</t>
  </si>
  <si>
    <t>09/17/2023</t>
  </si>
  <si>
    <t>GLOBAL EXPERIENCE SPE XXX-XXX-XXXX NV 09/18</t>
  </si>
  <si>
    <t>09/18/2023</t>
  </si>
  <si>
    <t>I2220341	NewItem Setup FeeSEP 23</t>
  </si>
  <si>
    <t>09/20/2023</t>
  </si>
  <si>
    <t>GLOBAL EXPERIENCE SPE XXX-XXX-XXXX NV 09/21</t>
  </si>
  <si>
    <t>09/26/2023</t>
  </si>
  <si>
    <t>H0267801725</t>
  </si>
  <si>
    <t>DOT25</t>
  </si>
  <si>
    <t>MSF376218</t>
  </si>
  <si>
    <t>Promotion</t>
  </si>
  <si>
    <t>10/12/2023</t>
  </si>
  <si>
    <t>Invoice</t>
  </si>
  <si>
    <t>Wonders &amp; Worries, Inc.</t>
  </si>
  <si>
    <t>Donation</t>
  </si>
  <si>
    <t>10/31/2023</t>
  </si>
  <si>
    <t>0017180-IN</t>
  </si>
  <si>
    <t>Mustard Seed Health Food Market, Inc.</t>
  </si>
  <si>
    <t>October 2023 CO-OP Mailer Advertising</t>
  </si>
  <si>
    <t>0017176-IN</t>
  </si>
  <si>
    <t xml:space="preserve">   Total for Marketing/Advertising</t>
  </si>
  <si>
    <t xml:space="preserve">   Freight &amp; Delivery - Marketing</t>
  </si>
  <si>
    <t>02/23/2023</t>
  </si>
  <si>
    <t>America Tent Rentals</t>
  </si>
  <si>
    <t>AMERICA TENT RENTALS</t>
  </si>
  <si>
    <t>72100 Marketing/Advertising:Freight &amp; Delivery - Marketing</t>
  </si>
  <si>
    <t>04/08/2023</t>
  </si>
  <si>
    <t>Xposolutions Transportation LLC</t>
  </si>
  <si>
    <t>XPOSOLUTIONS TRANSPORTAT</t>
  </si>
  <si>
    <t>05/31/2023</t>
  </si>
  <si>
    <t>&amp; XPOSOLUTIONS TRANSPORTAT 866-371-0007 IL</t>
  </si>
  <si>
    <t>Check</t>
  </si>
  <si>
    <t>Vashon Burcell</t>
  </si>
  <si>
    <t>20 Pallets</t>
  </si>
  <si>
    <t xml:space="preserve">   Total for Freight &amp; Delivery - Marketing</t>
  </si>
  <si>
    <t xml:space="preserve">   Social Media Marketing</t>
  </si>
  <si>
    <t>01/19/2023</t>
  </si>
  <si>
    <t>Kroger</t>
  </si>
  <si>
    <t>KROGER 312 HOUSTON TX</t>
  </si>
  <si>
    <t>72200 Marketing/Advertising:Social Media Marketing</t>
  </si>
  <si>
    <t>paper source</t>
  </si>
  <si>
    <t>arne's</t>
  </si>
  <si>
    <t>any occasion tents events</t>
  </si>
  <si>
    <t>01/30/2023</t>
  </si>
  <si>
    <t>01/31/2023</t>
  </si>
  <si>
    <t>KROGER 309 HOUSTON TX</t>
  </si>
  <si>
    <t>02/19/2023</t>
  </si>
  <si>
    <t>KROGER 740</t>
  </si>
  <si>
    <t>03/08/2023</t>
  </si>
  <si>
    <t>Facebook</t>
  </si>
  <si>
    <t>FACEBK HFZRLK3Z72</t>
  </si>
  <si>
    <t>KROGER #600</t>
  </si>
  <si>
    <t>04/11/2023</t>
  </si>
  <si>
    <t>" ULTNICE 4pcs Artificial Pepper Bouquet Durable Fake Chili Bouquet Simulation Fruits Pepper Bunch Plastic Fake Plant for Home Party Office Decor
Sold by: Panyuan001
Return window closed on May 12, 2023
$16.49"//Uncat//props for marketing</t>
  </si>
  <si>
    <t>Business AMEX Card</t>
  </si>
  <si>
    <t>05/05/2023</t>
  </si>
  <si>
    <t>FACEBK *YBQZVNP6B2 fb.me/ads CA</t>
  </si>
  <si>
    <t>Credit card (9532)</t>
  </si>
  <si>
    <t>FACEBK ZXBDXMT7B2 650-5434800 CA</t>
  </si>
  <si>
    <t>"Fringe Studio Squeaker Pet Toy Set, Set of 3, Hot &amp; Spicy (289435)
$9.59 | Qty: 1"//Uncat//Social media props</t>
  </si>
  <si>
    <t xml:space="preserve">   Total for Social Media Marketing</t>
  </si>
  <si>
    <t xml:space="preserve">   Promotional</t>
  </si>
  <si>
    <t>01/05/2023</t>
  </si>
  <si>
    <t>Moo Print</t>
  </si>
  <si>
    <t>72300 Marketing/Advertising:Promotional</t>
  </si>
  <si>
    <t>01/10/2023</t>
  </si>
  <si>
    <t>Mailchimp</t>
  </si>
  <si>
    <t>Mixam.com</t>
  </si>
  <si>
    <t>01/13/2023</t>
  </si>
  <si>
    <t>Apdat Print Co</t>
  </si>
  <si>
    <t>SQ *APDAT PRINT CO. gosq.com TX</t>
  </si>
  <si>
    <t>costco</t>
  </si>
  <si>
    <t>01/26/2023</t>
  </si>
  <si>
    <t>H-E-B #737 HOUSTON TX</t>
  </si>
  <si>
    <t>02/10/2023</t>
  </si>
  <si>
    <t>02/13/2023</t>
  </si>
  <si>
    <t>SQ *APDAT PRINT CO.</t>
  </si>
  <si>
    <t>02/16/2023</t>
  </si>
  <si>
    <t>H-E-B #577</t>
  </si>
  <si>
    <t>02/27/2023</t>
  </si>
  <si>
    <t>03/06/2023</t>
  </si>
  <si>
    <t>MIXAM.COM</t>
  </si>
  <si>
    <t>03/10/2023</t>
  </si>
  <si>
    <t>03/24/2023</t>
  </si>
  <si>
    <t>Specialty Food Association</t>
  </si>
  <si>
    <t>SpecialtyFood.com</t>
  </si>
  <si>
    <t>03/31/2023</t>
  </si>
  <si>
    <t>SPECIALTYFOOD.COM</t>
  </si>
  <si>
    <t>04/09/2023</t>
  </si>
  <si>
    <t>H-E-B #630</t>
  </si>
  <si>
    <t>04/10/2023</t>
  </si>
  <si>
    <t>04/12/2023</t>
  </si>
  <si>
    <t>Totally Promotional</t>
  </si>
  <si>
    <t>TOTALLY PROMOTIONAL 866-795-4657 OH</t>
  </si>
  <si>
    <t>Moo Print 857-2657230 DE</t>
  </si>
  <si>
    <t>04/20/2023</t>
  </si>
  <si>
    <t>INC. AND FAST COMPANY</t>
  </si>
  <si>
    <t>INC. AND FAST COMPANNEW YORK CITY NY XXXX-XXXXXX-X2009</t>
  </si>
  <si>
    <t>05/10/2023</t>
  </si>
  <si>
    <t>Spec's Liquor Stores</t>
  </si>
  <si>
    <t>220 Demos Tasting Program</t>
  </si>
  <si>
    <t>05/17/2023</t>
  </si>
  <si>
    <t>&amp; TOTALLY PROMOTIONAL 866-795-4657 OH</t>
  </si>
  <si>
    <t>05/26/2023</t>
  </si>
  <si>
    <t>H-E-B #744</t>
  </si>
  <si>
    <t>SO01052023042034TXHO UNFI Events MCB</t>
  </si>
  <si>
    <t>&amp; MIXAM.COM HTTPSMIXAM.CO MA</t>
  </si>
  <si>
    <t>06/10/2023</t>
  </si>
  <si>
    <t>Mailchimp 678-9990141 GA</t>
  </si>
  <si>
    <t>06/26/2023</t>
  </si>
  <si>
    <t>Moo Print XXX-XXXXXXX DE 06/26</t>
  </si>
  <si>
    <t>07/10/2023</t>
  </si>
  <si>
    <t>Mailchimp XXX-XXXXXXX GA 07/10</t>
  </si>
  <si>
    <t>H-E-B #XXX HOUSTON TX XXXXXX 08/04</t>
  </si>
  <si>
    <t>08/08/2023</t>
  </si>
  <si>
    <t>TOTALLY PROMOTIONAL XXX-XXX-XXXX OH 08/09</t>
  </si>
  <si>
    <t>Mailchimp XXX-XXXXXXX GA 08/10</t>
  </si>
  <si>
    <t>09/10/2023</t>
  </si>
  <si>
    <t>Mailchimp XXX-XXXXXXX GA 09/10</t>
  </si>
  <si>
    <t>H-E-B #XXX HOUSTON TX XXXXXX 10/12</t>
  </si>
  <si>
    <t>SPECIALTYFOOD.COM XXX-XXX-0100 NY 10/31</t>
  </si>
  <si>
    <t xml:space="preserve">   Total for Promotional</t>
  </si>
  <si>
    <t xml:space="preserve">   Travel</t>
  </si>
  <si>
    <t>marshalls</t>
  </si>
  <si>
    <t>72400 Marketing/Advertising:Travel</t>
  </si>
  <si>
    <t>03/27/2023</t>
  </si>
  <si>
    <t>WITHDRAWAL 03/27</t>
  </si>
  <si>
    <t>04/05/2023</t>
  </si>
  <si>
    <t>Chilantro BBQ</t>
  </si>
  <si>
    <t>CHILANTROBBQ WWW.CHILANTRO TX</t>
  </si>
  <si>
    <t xml:space="preserve">   Total for Travel</t>
  </si>
  <si>
    <t xml:space="preserve">   Events/Shows</t>
  </si>
  <si>
    <t>01/03/2023</t>
  </si>
  <si>
    <t>Hotels.com</t>
  </si>
  <si>
    <t>HOTELSCOM7246292263346</t>
  </si>
  <si>
    <t>72500 Marketing/Advertising:Events/Shows</t>
  </si>
  <si>
    <t>SP+AFF * TRADESHOWPLU 855-423-37 29 CA        01/09</t>
  </si>
  <si>
    <t>01/12/2023</t>
  </si>
  <si>
    <t>Markets for Makers LLC</t>
  </si>
  <si>
    <t>MARKETS FOR MAKERS LLC</t>
  </si>
  <si>
    <t>NIC NAT PROMOTIONS</t>
  </si>
  <si>
    <t>SQ *NIC NAT PROMOTIONS gosq.com TX</t>
  </si>
  <si>
    <t>INFORMA TRADESHOW</t>
  </si>
  <si>
    <t>IMI*INFORMATRADESHOW</t>
  </si>
  <si>
    <t>01/14/2023</t>
  </si>
  <si>
    <t>Sunbelt Shows Inc</t>
  </si>
  <si>
    <t>SUNBELT SHOWS INC. ALBUQUERQUE NM</t>
  </si>
  <si>
    <t>TradeshowPlus.com</t>
  </si>
  <si>
    <t>SP TRADESHOWPLUS</t>
  </si>
  <si>
    <t>01/16/2023</t>
  </si>
  <si>
    <t>HOTELSCOM7247228945447 HOTELS.COM WA</t>
  </si>
  <si>
    <t>Freeman</t>
  </si>
  <si>
    <t>FREEMAN 214-445-1480 TX</t>
  </si>
  <si>
    <t>Target</t>
  </si>
  <si>
    <t>TARGET 00008581 HOUSTON TX</t>
  </si>
  <si>
    <t>Wal-Mart</t>
  </si>
  <si>
    <t>WALMART.COM</t>
  </si>
  <si>
    <t>HOTELSCOM7247300787225 HOTELS.COM WA</t>
  </si>
  <si>
    <t>01/18/2023</t>
  </si>
  <si>
    <t>WAL-MART #2257 HOUSTON TX</t>
  </si>
  <si>
    <t>The Expo Group</t>
  </si>
  <si>
    <t>THE EXPO GROUP LP 972-5809000 TX</t>
  </si>
  <si>
    <t>"DEX FIT Nitrile Work Gloves FN330, 3D-Comfort Stretchy Fit, Firm Grip, Thin &amp; Lightweight, Touch-Screen Compatible, Durable, Breathable &amp; Cool, Machine Washable; Grey M (8) 3 Pairs
Sold by: MUVEEN
Return window closed on Feb 18, 2023
$13.69
Business Price
Original HP 30A Black Toner Cartridge | Works with HP LaserJet Pro M203 Series, HP LaserJet Pro MFP M227 Series | CF230A
Sold by: Amazon.com Services LLC
Return window closed on Feb 18, 2023
$72.89"//Uncat//event sampling materials</t>
  </si>
  <si>
    <t>01/22/2023</t>
  </si>
  <si>
    <t>Goldblatt 2 Piece Glass Tile Nippers Set - Heavy Duty Wheeled Glass Mosaic Nipper &amp; Hd Ceramic Tile Nipper, Tile Cutter Pliers Soft-grip Handle - Shapping Plier, Nipper Cutting Tools, Stone, Metal
Sold by: UE Direct
$23.00
Business Price"//Uncat//event supplies</t>
  </si>
  <si>
    <t>hobby lobby</t>
  </si>
  <si>
    <t>SP NEEWER.COM</t>
  </si>
  <si>
    <t>target</t>
  </si>
  <si>
    <t>01/24/2023</t>
  </si>
  <si>
    <t>01/27/2023</t>
  </si>
  <si>
    <t>SUMMER23REFUND</t>
  </si>
  <si>
    <t>01/28/2023</t>
  </si>
  <si>
    <t>Renegade Craft Fair</t>
  </si>
  <si>
    <t>WWW.RENEGADECRAFT.COM 773-727-8149 IL</t>
  </si>
  <si>
    <t>CAPITAL CONVENTION</t>
  </si>
  <si>
    <t>CAPITAL CONVENTION CONTRA 877-335-3700 MA</t>
  </si>
  <si>
    <t>02/02/2023</t>
  </si>
  <si>
    <t>02/04/2023</t>
  </si>
  <si>
    <t>Credit Card Credit</t>
  </si>
  <si>
    <t>02/06/2023</t>
  </si>
  <si>
    <t>High River Entertainment LLC</t>
  </si>
  <si>
    <t>PDX Hot Sauce Expo</t>
  </si>
  <si>
    <t>IL Hot sauce expo</t>
  </si>
  <si>
    <t>02/07/2023</t>
  </si>
  <si>
    <t>WM SUPERCENTER #2257 HOUSTON TX</t>
  </si>
  <si>
    <t>02/09/2023</t>
  </si>
  <si>
    <t>Hobby Lobby</t>
  </si>
  <si>
    <t>HOBBY-LOBBY #0115</t>
  </si>
  <si>
    <t>2023 Holiday Show Booth Fee</t>
  </si>
  <si>
    <t>02/14/2023</t>
  </si>
  <si>
    <t>TARGET        00008581</t>
  </si>
  <si>
    <t>Sunbelt Builders Show</t>
  </si>
  <si>
    <t>SUNBELT SHOWS INC.</t>
  </si>
  <si>
    <t>02/15/2023</t>
  </si>
  <si>
    <t>WWW.RENEGADECRAFT.COM</t>
  </si>
  <si>
    <t>02/20/2023</t>
  </si>
  <si>
    <t>02/24/2023</t>
  </si>
  <si>
    <t>02/28/2023</t>
  </si>
  <si>
    <t>2022-11-27R</t>
  </si>
  <si>
    <t>To reverse unreconciling items Bill#111</t>
  </si>
  <si>
    <t>2022-11-19</t>
  </si>
  <si>
    <t>WAL-MART #5959</t>
  </si>
  <si>
    <t>WM SUPERCENTER #2257</t>
  </si>
  <si>
    <t>ERTTORL0223042034</t>
  </si>
  <si>
    <t>03/02/2023</t>
  </si>
  <si>
    <t>TARGET        00020313</t>
  </si>
  <si>
    <t>WAL-MART #2257</t>
  </si>
  <si>
    <t>SEE TICKETS *Bazaar On th</t>
  </si>
  <si>
    <t>03/14/2023</t>
  </si>
  <si>
    <t>"8 Drawstring Backpack Bulk, 60 Pcs Draw String Bags Cinch Bag Drawstring Gym Bag Sackpack Drawstring Bags for Kids Women Men, Black
Sold by: GuiLan
Return window closed on Apr 13, 2023
$40.87"//Uncat//bags for retail shows</t>
  </si>
  <si>
    <t>03/16/2023</t>
  </si>
  <si>
    <t>SQ *SUNBELT SHOWS INC0</t>
  </si>
  <si>
    <t>03/23/2023</t>
  </si>
  <si>
    <t>03/29/2023</t>
  </si>
  <si>
    <t>TARGET        00020933</t>
  </si>
  <si>
    <t>04/03/2023</t>
  </si>
  <si>
    <t>04/04/2023</t>
  </si>
  <si>
    <t>04/07/2023</t>
  </si>
  <si>
    <t>MARKET AT HEIGHTS</t>
  </si>
  <si>
    <t>American Field</t>
  </si>
  <si>
    <t>AMERICANFIELD.US AMERICANFIELD GA</t>
  </si>
  <si>
    <t>SQ *SUNBELT SHOWS INC0 877-417-4551 WV</t>
  </si>
  <si>
    <t>04/13/2023</t>
  </si>
  <si>
    <t>04/15/2023</t>
  </si>
  <si>
    <t>04/17/2023</t>
  </si>
  <si>
    <t>04/26/2023</t>
  </si>
  <si>
    <t>WAL-MART #5959 HOUSTON TX</t>
  </si>
  <si>
    <t>04/27/2023</t>
  </si>
  <si>
    <t>&amp; SQ *SUNBELT SHOWS INC0 gosq.com WV</t>
  </si>
  <si>
    <t>05/14/2023</t>
  </si>
  <si>
    <t>"Bekith 30 Pack Small Plastic Squeeze Condiment Bottles with Red Tip Cap, 4 Ounce Squirt Bottle For Ketchup, BBQ, Sauces, Syrup, Condiments, Dressings, Arts and Crafts
Sold by: bekith
Return window closed on Jun 14, 2023
$17.98"//Uncat//events</t>
  </si>
  <si>
    <t>TARGET 00033712 LOS ANGELES CA</t>
  </si>
  <si>
    <t>&amp; TARGET 00008581 HOUSTON TX</t>
  </si>
  <si>
    <t>05/25/2023</t>
  </si>
  <si>
    <t>&amp; CAPITAL CONVENTION CONTRA 877-335-3700 MA</t>
  </si>
  <si>
    <t>05/29/2023</t>
  </si>
  <si>
    <t>&amp; Fancy Food Show 224-5633141 NY</t>
  </si>
  <si>
    <t>ERNACVTN0423042034</t>
  </si>
  <si>
    <t>ERTTS0523042034 Mohegan sun Table Top Show</t>
  </si>
  <si>
    <t>06/02/2023</t>
  </si>
  <si>
    <t>AMERICAN FIELD LLC</t>
  </si>
  <si>
    <t>&amp; SP AMERICAN FIELD LLC. AMERICANFIELD GA</t>
  </si>
  <si>
    <t>06/07/2023</t>
  </si>
  <si>
    <t>Fox Farm Brewery</t>
  </si>
  <si>
    <t>SQ *FOX FARM BREWERY</t>
  </si>
  <si>
    <t>06/08/2023</t>
  </si>
  <si>
    <t>APG Media LLC</t>
  </si>
  <si>
    <t>&amp; APG MEDIA LLC PROGROCERY.NE TX</t>
  </si>
  <si>
    <t>06/12/2023</t>
  </si>
  <si>
    <t>Zelle payment to VICENTE F BLASCO XXXXXXX2581</t>
  </si>
  <si>
    <t>06/27/2023</t>
  </si>
  <si>
    <t>XXTH STREET WINE &amp; SPIRITS</t>
  </si>
  <si>
    <t>XXTH STREET WINE &amp; SPI NEW YORK NY 06/27</t>
  </si>
  <si>
    <t>FREEMAN XXX-XXX-XXXX TX 06/28</t>
  </si>
  <si>
    <t>06/29/2023</t>
  </si>
  <si>
    <t>540-177752</t>
  </si>
  <si>
    <t>Expo Solutions Transportation</t>
  </si>
  <si>
    <t>07/05/2023</t>
  </si>
  <si>
    <t>WWW.RENEGADECRAFT.COM XXX-XXX-XXXX IL 07/06</t>
  </si>
  <si>
    <t>07/13/2023</t>
  </si>
  <si>
    <t>Oscar Event Center Fairfield</t>
  </si>
  <si>
    <t>OSCAR EVENT CENTER FAIRFIELD OH 07/13</t>
  </si>
  <si>
    <t>WWW.RENEGADECRAFT.COM XXX-XXX-XXXX IL 07/14</t>
  </si>
  <si>
    <t>07/18/2023</t>
  </si>
  <si>
    <t>Pro#540-177756</t>
  </si>
  <si>
    <t>1 1,004 Trade Show
Material $3,223.12
76.0% Discount -$2,449.57
14% Fuel
Surcharge $108.30
Liftgate @
Delivery $50.00
Total $931.85</t>
  </si>
  <si>
    <t>07/26/2023</t>
  </si>
  <si>
    <t>Chase</t>
  </si>
  <si>
    <t>3360//Uncat//reimburstment to jeremiah for purchasing event/shows materials on his personal card.</t>
  </si>
  <si>
    <t>WWW.RENEGADECRAFT.COM XXX-XXX-XXXX IL 07/27</t>
  </si>
  <si>
    <t>07/29/2023</t>
  </si>
  <si>
    <t>WWW.RENEGADECRAFT.COM XXX-XXX-XXXX IL 07/30</t>
  </si>
  <si>
    <t>TARGET T- XXXXX Northw Houston TX 08/01</t>
  </si>
  <si>
    <t>High River Sauces</t>
  </si>
  <si>
    <t>Booth fee for NYC Hot Sauce Expo</t>
  </si>
  <si>
    <t>08/02/2023</t>
  </si>
  <si>
    <t>WWW.RENEGADECRAFT.COM XXX-XXX-XXXX IL 08/03</t>
  </si>
  <si>
    <t>08/03/2023</t>
  </si>
  <si>
    <t>Club backdrops</t>
  </si>
  <si>
    <t>SP CLUBBACKDROPS EDINBURGH 08/03</t>
  </si>
  <si>
    <t>TARGET XXXXXXXX HOUSTON TX 08/03</t>
  </si>
  <si>
    <t>WAL-MART #XXXX HOUSTON TX 08/04</t>
  </si>
  <si>
    <t>MARKETS FOR MAKERS LLC XXX-XXXXXXX FL 08/07</t>
  </si>
  <si>
    <t>XPOSOLUTIONS TRANSPOR XXX-XXX-XXXX IL 08/07</t>
  </si>
  <si>
    <t>TARGET XXXXXXXX HOUSTON TX 08/08</t>
  </si>
  <si>
    <t>"Solo 050-2050 0.5 oz Treated Paper Portion Cup (Case of 5000)
$66.15 | Qty: 1"//Uncat//Event Supplies</t>
  </si>
  <si>
    <t>08/09/2023</t>
  </si>
  <si>
    <t>WM SUPERC Wal-Mart Sup HOUSTON TX 08/09</t>
  </si>
  <si>
    <t>"Bekith 30 Pack Small Plastic Squeeze Condiment Bottles with Red Tip Cap, 4 Ounce Squirt Bottle For Ketchup, BBQ, Sauces, Syrup, Condiments, Dressings, Arts and Crafts
$16.98 | Qty: 1"//Uncat//Event expense</t>
  </si>
  <si>
    <t>"Luston Insulated Beverage Server/Dispenser, 5 Gallon Beverage Carrier, Black,w/Spring Action Faucet, for Restaurant, and Drink Shop
$106.00 | Qty: 1"//Uncat//Event Materials</t>
  </si>
  <si>
    <t>08/14/2023</t>
  </si>
  <si>
    <t>MARKETS FOR MAKERS LLC XXX-XXXXXXX FL 08/14</t>
  </si>
  <si>
    <t>08/17/2023</t>
  </si>
  <si>
    <t>WITHDRAWAL 08/17//Uncat//cash for till at retail event</t>
  </si>
  <si>
    <t>08/18/2023</t>
  </si>
  <si>
    <t>MARKETS FOR MAKERS LLC XXX-XXXXXXX FL 08/18</t>
  </si>
  <si>
    <t>SQ *SUNBELT SHOWS INC gosq.com WV 08/21</t>
  </si>
  <si>
    <t>08/22/2023</t>
  </si>
  <si>
    <t>XPOSOLUTIONS TRANSPOR XXX-XXX-XXXX IL 08/22</t>
  </si>
  <si>
    <t>08/23/2023</t>
  </si>
  <si>
    <t>The Limited Edition</t>
  </si>
  <si>
    <t>Booth Fee for 9/16/23 Market</t>
  </si>
  <si>
    <t>08/25/2023</t>
  </si>
  <si>
    <t>CHECK # 1040</t>
  </si>
  <si>
    <t>08/30/2023</t>
  </si>
  <si>
    <t>MARKETS FOR MAKERS LLC XXX-XXXXXXX FL 08/30</t>
  </si>
  <si>
    <t>XPOSOLUTIONS TRANSPOR XXX-XXX-XXXX IL 08/31</t>
  </si>
  <si>
    <t>WITHDRAWAL 09/08//Uncat//cash for till at retail event</t>
  </si>
  <si>
    <t>09/13/2023</t>
  </si>
  <si>
    <t>Discovery Green C</t>
  </si>
  <si>
    <t>WPY*Discovery Green C XXX-XXX-XXXX TX 09/13//Uncat//Discovery Green Flea 2 x Booth Fee</t>
  </si>
  <si>
    <t>GoodtoU Drawstring Backpack Bulk, 60 Pcs Draw String Bags Cinch Bag Drawstring Gym Bag Sackpack Drawstring Bags for Women Men, Black//Uncat//Bags for retail shows</t>
  </si>
  <si>
    <t>XPOSOLUTIONS TRANSPOR XXX-XXX-XXXX IL 09/20</t>
  </si>
  <si>
    <t>09/22/2023</t>
  </si>
  <si>
    <t>XPOSOLUTIONS TRANSPOR XXX-XXX-XXXX IL 09/22</t>
  </si>
  <si>
    <t>10/06/2023</t>
  </si>
  <si>
    <t>Booth Fee for 10/21/23 Market</t>
  </si>
  <si>
    <t>Ticketmaster</t>
  </si>
  <si>
    <t>TM *BAZAAR ON THE BAY XXX-XXX-XXXX CA 10/07</t>
  </si>
  <si>
    <t>10/10/2023</t>
  </si>
  <si>
    <t>XPOSOLUTIONS TRANSPOR XXX-XXX-XXXX IL 10/10</t>
  </si>
  <si>
    <t>10/11/2023</t>
  </si>
  <si>
    <t>XPOSOLUTIONS TRANSPOR XXX-XXX-XXXX IL 10/11</t>
  </si>
  <si>
    <t>10/13/2023</t>
  </si>
  <si>
    <t>Reversal: XPOSOLUTIONS TRANSPOR XXX-XXX-XXXX IL XX/XX ClaimId: XXXXXXXXXXX0001</t>
  </si>
  <si>
    <t xml:space="preserve">   Total for Events/Shows</t>
  </si>
  <si>
    <t xml:space="preserve">   In Store Marketing</t>
  </si>
  <si>
    <t>Interactions Consumer Experience Marketing Inc.</t>
  </si>
  <si>
    <t>IN STORE DEMO FEES FOR 12/01/22 to 12/04/22</t>
  </si>
  <si>
    <t>72600 Marketing/Advertising:In Store Marketing</t>
  </si>
  <si>
    <t>Star Fariabi</t>
  </si>
  <si>
    <t>Hot Sauce
Promotions</t>
  </si>
  <si>
    <t>Keli Jasso</t>
  </si>
  <si>
    <t>Margarita Mix Promotions</t>
  </si>
  <si>
    <t>Margarita Mix
Promotions</t>
  </si>
  <si>
    <t>Carol Cabrero</t>
  </si>
  <si>
    <t>marg mix promotion</t>
  </si>
  <si>
    <t>Hot Sauce Promotions</t>
  </si>
  <si>
    <t>Mris MFG Conctr</t>
  </si>
  <si>
    <t>ORIG CO NAME:MRIS_MFG_CONCTR ORIG ID:2383673290 DESC DATE:       CO ENTRY DESCR:PAYMENTS  SEC:CCD    TRACE#:028000089885484 EED:230109   IND ID:BRA                          IND NAME:BRAVADO SPICE LLC          AUTHORIZED COUPON PAYMENT ACH DEBIT  F</t>
  </si>
  <si>
    <t>ORIG CO NAME:MRIS_MFG_CONCTR ORIG ID:2383673290 DESC DATE:       CO ENTRY DESCR:PAYMENTS  SEC:CCD    TRACE#:028000083324254 EED:230110   IND ID:BRA                          IND NAME:BRAVADO SPICE LLC          AUTHORIZED COUPON PAYMENT ACH DEBIT  F</t>
  </si>
  <si>
    <t>ORIG CO NAME:MRIS_MFG_CONCTR ORIG ID:2383673290 DESC DATE:       CO ENTRY DESCR:PAYMENTS  SEC:CCD    TRACE#:028000086534405 EED:230118   IND ID:BRA                          IND NAME:BRAVADO SPICE LLC          AUTHORIZED COUPON PAYMENT ACH DEBIT  F</t>
  </si>
  <si>
    <t>ORIG CO NAME:MRIS_MFG_CONCTR ORIG ID:2383673290 DESC DATE:       CO ENTRY DESCR:PAYMENTS  SEC:CCD    TRACE#:028000084136888 EED:230124   IND ID:BRA                          IND NAME:BRAVADO SPICE LLC          AUTHORIZED COUPON PAYMENT ACH DEBIT  F</t>
  </si>
  <si>
    <t>SPECS #53 HOUSTON TX</t>
  </si>
  <si>
    <t>Bravado Spice Co, Ghost Pepper &amp;
Blueberry Hot Sauce
Bravado Spice Co, Pineapple &amp; Habanero
Hot Sauce
Event Dates: 01/26/23 to 01/28/23</t>
  </si>
  <si>
    <t>Promomash</t>
  </si>
  <si>
    <t>PROMOMASH</t>
  </si>
  <si>
    <t>ORIG CO NAME:MRIS_MFG_CONCTR ORIG ID:2383673290 DESC DATE:       CO ENTRY DESCR:PAYMENTS  SEC:CCD    TRACE#:028000081839743 EED:230206   IND ID:BRA                          IND NAME:BRAVADO SPICE LLC          AUTHORIZED COUPON PAYMENT ACH DEBIT  F</t>
  </si>
  <si>
    <t>ORIG CO NAME:MRIS_MFG_CONCTR ORIG ID:2383673290 DESC DATE:       CO ENTRY DESCR:PAYMENTS  SEC:CCD    TRACE#:028000081231757 EED:230207   IND ID:BRA                          IND NAME:BRAVADO SPICE LLC          AUTHORIZED COUPON PAYMENT ACH DEBIT  F</t>
  </si>
  <si>
    <t>ORIG CO NAME:MRIS_MFG_CONCTR ORIG ID:2383673290 DESC DATE:       CO ENTRY DESCR:PAYMENTS  SEC:CCD    TRACE#:028000081494154 EED:230214   IND ID:BRA                          IND NAME:BRAVADO SPICE LLC          AUTHORIZED COUPON PAYMENT ACH DEBIT  F</t>
  </si>
  <si>
    <t>02/21/2023</t>
  </si>
  <si>
    <t>ORIG CO NAME:MRIS_MFG_CONCTR ORIG ID:2383673290 DESC DATE:       CO ENTRY DESCR:PAYMENTS  SEC:CCD    TRACE#:028000081035702 EED:230221   IND ID:BRA                          IND NAME:BRAVADO SPICE LLC          AUTHORIZED COUPON PAYMENT ACH DEBIT  F</t>
  </si>
  <si>
    <t>ORIG CO NAME:MRIS_MFG_CONCTR ORIG ID:2383673290 DESC DATE:       CO ENTRY DESCR:PAYMENTS  SEC:CCD    TRACE#:028000080554186 EED:230228   IND ID:BRA                          IND NAME:BRAVADO SPICE LLC          AUTHORIZED COUPON PAYMENT ACH DEBIT  F</t>
  </si>
  <si>
    <t>Bravado Spice Co, Ghost Pepper &amp;
Blueberry Hot Sauce
Bravado Spice Co, Pineapple &amp; Habanero
Hot Sauce</t>
  </si>
  <si>
    <t>ORIG CO NAME:MRIS_MFG_CONCTR ORIG ID:2383673290 DESC DATE:       CO ENTRY DESCR:PAYMENTS  SEC:CCD    TRACE#:028000081474030 EED:230306   IND ID:BRA                          IND NAME:BRAVADO SPICE LLC          AUTHORIZED COUPON PAYMENT ACH DEBIT  F</t>
  </si>
  <si>
    <t>ORIG CO NAME:MRIS_MFG_CONCTR ORIG ID:2383673290 DESC DATE:       CO ENTRY DESCR:PAYMENTS  SEC:CCD    TRACE#:028000082663586 EED:230307   IND ID:BRA                          IND NAME:BRAVADO SPICE LLC          AUTHORIZED COUPON PAYMENT ACH DEBIT  F</t>
  </si>
  <si>
    <t>03/09/2023</t>
  </si>
  <si>
    <t>SPECS #2410</t>
  </si>
  <si>
    <t>ORIG CO NAME:MRIS_MFG_CONCTR ORIG ID:2383673290 DESC DATE:       CO ENTRY DESCR:PAYMENTS  SEC:CCD    TRACE#:028000080418894 EED:230314   IND ID:BRA                          IND NAME:BRAVADO SPICE LLC          AUTHORIZED COUPON PAYMENT ACH DEBIT  F</t>
  </si>
  <si>
    <t>THE EXPO GROUP LP</t>
  </si>
  <si>
    <t>03/21/2023</t>
  </si>
  <si>
    <t>ORIG CO NAME:MRIS_MFG_CONCTR ORIG ID:2383673290 DESC DATE:       CO ENTRY DESCR:PAYMENTS  SEC:CCD    TRACE#:028000087658458 EED:230321   IND ID:BRA                          IND NAME:BRAVADO SPICE LLC          AUTHORIZED COUPON PAYMENT ACH DEBIT  F</t>
  </si>
  <si>
    <t>Johnny Cupcakes</t>
  </si>
  <si>
    <t>SP JOHNNY CUPCAKES</t>
  </si>
  <si>
    <t>03/28/2023</t>
  </si>
  <si>
    <t>ORIG CO NAME:MRIS_MFG_CONCTR ORIG ID:2383673290 DESC DATE:       CO ENTRY DESCR:PAYMENTS  SEC:CCD    TRACE#:028000084089887 EED:230328   IND ID:BRA                          IND NAME:BRAVADO SPICE LLC          AUTHORIZED COUPON PAYMENT ACH DEBIT  F</t>
  </si>
  <si>
    <t>Bravado Spice Co, Ghost Pepper &amp;
Blueberry Hot Sauce
Bravado Spice Co, Pineapple &amp; Habanero
Hot Sauce
Grand Total: 3 $30.00 $0.00 $30.00</t>
  </si>
  <si>
    <t>ORIG CO NAME:MRIS_MFG_CONCTR ORIG ID:2383673290 DESC DATE:       CO ENTRY DESCR:PAYMENTS  SEC:CCD    TRACE#:028000086136444 EED:230404   IND ID:BRA                          IND NAME:BRAVADO SPICE LLC          AUTHORIZED COUPON PAYMENT ACH DEBIT  F</t>
  </si>
  <si>
    <t>ORIG CO NAME:MRIS_MFG_CONCTR ORIG ID:2383673290 DESC DATE:       CO ENTRY DESCR:PAYMENTS  SEC:CCD    TRACE#:028000085238590 EED:230410   IND ID:BRA                          IND NAME:BRAVADO SPICE LLC          AUTHORIZED COUPON PAYMENT ACH DEBIT  F</t>
  </si>
  <si>
    <t>ORIG CO NAME:MRIS_MFG_CONCTR ORIG ID:2383673290 DESC DATE:       CO ENTRY DESCR:PAYMENTS  SEC:CCD    TRACE#:028000086725162 EED:230411   IND ID:BRA                          IND NAME:BRAVADO SPICE LLC          AUTHORIZED COUPON PAYMENT ACH DEBIT  F</t>
  </si>
  <si>
    <t>04/18/2023</t>
  </si>
  <si>
    <t>ORIG CO NAME:MRIS_MFG_CONCTR ORIG ID:2383673290 DESC DATE:       CO ENTRY DESCR:PAYMENTS  SEC:CCD    TRACE#:028000086768557 EED:230418   IND ID:BRA                          IND NAME:BRAVADO SPICE LLC          AUTHORIZED COUPON PAYMENT ACH DEBIT  F</t>
  </si>
  <si>
    <t>04/25/2023</t>
  </si>
  <si>
    <t>ORIG CO NAME:MRIS_MFG_CONCTR ORIG ID:2383673290 DESC DATE:       CO ENTRY DESCR:PAYMENTS  SEC:CCD    TRACE#:028000085962881 EED:230425   IND ID:BRA                          IND NAME:BRAVADO SPICE LLC          AUTHORIZED COUPON PAYMENT ACH DEBIT  F</t>
  </si>
  <si>
    <t>Four Star Demos</t>
  </si>
  <si>
    <t>18 in store demos for United Supermarkets ($160 ea.)</t>
  </si>
  <si>
    <t>05/08/2023</t>
  </si>
  <si>
    <t>ORIG CO NAME:MRIS_MFG_CONCTR ORIG ID:2383673290 DESC DATE:       CO ENTRY DESCR:PAYMENTS  SEC:CCD    TRACE#:028000083293147 EED:230508   IND ID:BRA                          IND NAME:BRAVADO SPICE LLC          AUTHORIZED COUPON PAYMENT ACH DEBIT  F</t>
  </si>
  <si>
    <t>ORIG CO NAME:MRIS_MFG_CONCTR ORIG ID:2383673290 DESC DATE:       CO ENTRY DESCR:PAYMENTS  SEC:CCD    TRACE#:028000088160414 EED:230523   IND ID:BRA                          IND NAME:BRAVADO SPICE LLC          AUTHORIZED COUPON PAYMENT ACH DEBIT  F</t>
  </si>
  <si>
    <t>ORIG CO NAME:MRIS_MFG_CONCTR ORIG ID:XXXXXXXXXX DESC DATE: CO ENTRY DESCR:PAYMENTS SEC:CCD TRACE#:XXXXXXXXXXXXXXX EED:XX0530 IND ID:BRA IND NAME:BRAVADO SPICE L LC AUTHORIZED COUPON PAYMENT ACH DEBIT FROM MANDLIK AND RHODES\ XXXXXXX TRN: XXXXXX2159TC</t>
  </si>
  <si>
    <t>06/03/2023</t>
  </si>
  <si>
    <t>ORIG CO NAME:MRIS_MFG_CONCTR ORIG ID:XXXXXXXXXX DESC DATE: CO ENTRY DESCR:PAYMENTS SEC:CCD TRACE#:XXXXXXXXXXXXXXX EED:XX0605 IND ID:BRA IND NAME:BRAVADO SPICE L LC AUTHORIZED COUPON PAYMENT ACH DEBIT FROM MANDLIK AND RHODES\ XXXXXXX TRN: XXXXXX7067TC</t>
  </si>
  <si>
    <t>06/06/2023</t>
  </si>
  <si>
    <t>ORIG CO NAME:MRIS_MFG_CONCTR ORIG ID:XXXXXXXXXX DESC DATE: CO ENTRY DESCR:PAYMENTS SEC:CCD TRACE#:XXXXXXXXXXXXXXX EED:XX0606 IND ID:BRA IND NAME:BRAVADO SPICE L LC AUTHORIZED COUPON PAYMENT ACH DEBIT FROM MANDLIK AND RHODES\ XXXXXXX TRN: XXXXXX6653TC</t>
  </si>
  <si>
    <t>07/03/2023</t>
  </si>
  <si>
    <t>ORIG CO NAME:MRIS_MFG_CONCTR ORIG ID:XXXXXXXXXX DESC DATE: CO ENTRY DESCR:PAYMENTS SEC:CCD TRACE#:XXXXXXXXXXXXXXX EED:XX0703 IND ID:BRA IND NAME:BRAVADO SPICE L LC AUTHORIZED COUPON PAYMENT ACH DEBIT FROM MANDLIK AND RHODES\ XXXXXXX TRN: XXXXXX7197TC</t>
  </si>
  <si>
    <t>07/08/2023</t>
  </si>
  <si>
    <t>ORIG CO NAME:MRIS_MFG_CONCTR ORIG ID:XXXXXXXXXX DESC DATE: CO ENTRY DESCR:PAYMENTS SEC:CCD TRACE#:XXXXXXXXXXXXXXX EED:XX0710 IND ID:BRA IND NAME:BRAVADO SPICE L LC AUTHORIZED COUPON PAYMENT ACH DEBIT FROM MANDLIK AND RHODES\ XXXXXXX TRN: XXXXXX6800TC</t>
  </si>
  <si>
    <t>ORIG CO NAME:MRIS_MFG_CONCTR ORIG ID:XXXXXXXXXX DESC DATE: CO ENTRY DESCR:PAYMENTS SEC:CCD TRACE#:XXXXXXXXXXXXXXX EED:XX1011 IND ID:BRA IND NAME:BRAVADO SPICE L LC AUTHORIZED COUPON PAYMENT ACH DEBIT FROM MANDLIK AND RHODES\ XXXXXXX TRN: XXXXXX5385TC</t>
  </si>
  <si>
    <t xml:space="preserve">      Total for In Store Marketing</t>
  </si>
  <si>
    <t xml:space="preserve">      Marketing Scanbacks</t>
  </si>
  <si>
    <t>02/03/2023</t>
  </si>
  <si>
    <t>Whole Foods Market Demo Program</t>
  </si>
  <si>
    <t>WHOLEFDS IDH#10652 HOUSTON TX 02/02</t>
  </si>
  <si>
    <t>72601 Marketing/Advertising:In Store Marketing:Marketing Scanbacks</t>
  </si>
  <si>
    <t>03/26/2023</t>
  </si>
  <si>
    <t>WHOLEFDS KIR 10115</t>
  </si>
  <si>
    <t>03/30/2023</t>
  </si>
  <si>
    <t>WHOLEFDS IDH#10652</t>
  </si>
  <si>
    <t>WHOLEFDS IDH#10652 HOUSTON TX</t>
  </si>
  <si>
    <t>&amp; WHOLEFDS IDH#10652 HOUSTON TX</t>
  </si>
  <si>
    <t xml:space="preserve">      Total for Marketing Scanbacks</t>
  </si>
  <si>
    <t xml:space="preserve">   Total for In Store Marketing with subs</t>
  </si>
  <si>
    <t xml:space="preserve">   Website/Design</t>
  </si>
  <si>
    <t>01/08/2023</t>
  </si>
  <si>
    <t>Prolo Finder Prolo</t>
  </si>
  <si>
    <t>PROLOFINDER</t>
  </si>
  <si>
    <t>72700 Marketing/Advertising:Website/Design</t>
  </si>
  <si>
    <t>Anyumocz 50 Pcs 20mm Clear Fake Ice Acrylic Decorative Ice Cubes Display for Home Decoration Wedding Centerpiece Vase Fillers,Photography Props&amp;Kitchen Decoration
Sold by: Anyumocz
Return window closed on Mar 1, 2023
$11.95"//Uncat//cc fees</t>
  </si>
  <si>
    <t>"120 Pack Irregular Clear Fake Ice Cubes Lemon Slice Set- 100pcs Artificial Acrylic Ice Rocks+ 20pcs Simulation Lemon Lime Chips Lifelike Photography Prop Vase Filler for Home Decor Wedding Centerpiece
Sold by: Biubee
Return window closed on Mar 8, 2023
$9.99"//Uncat//props for photos</t>
  </si>
  <si>
    <t>02/08/2023</t>
  </si>
  <si>
    <t>Befunky.com</t>
  </si>
  <si>
    <t>BEFUNKY.COM HTTPSBEFUNKY. OR</t>
  </si>
  <si>
    <t>&amp; PROLOFINDER ABBOTSFORD BC</t>
  </si>
  <si>
    <t>It is a Reimburtment. for Web Dev. 
Online Transfer to CHK ...XXXX transaction#: XXXXXXXXXXX 08/01</t>
  </si>
  <si>
    <t>0002 - Reimbursement</t>
  </si>
  <si>
    <t xml:space="preserve">   Total for Website/Design</t>
  </si>
  <si>
    <t>Total for Marketing/Advertising with subs</t>
  </si>
  <si>
    <t>TOTAL</t>
  </si>
  <si>
    <t>Tuesday, Nov 21, 2023 11:54:19 AM GMT-8 - Accrual Basis</t>
  </si>
  <si>
    <t>Lyft</t>
  </si>
  <si>
    <t>LYFT   *2 RIDES 12-29</t>
  </si>
  <si>
    <t>75000 Travel</t>
  </si>
  <si>
    <t>Exxon</t>
  </si>
  <si>
    <t>EXXONMOBIL    47942933</t>
  </si>
  <si>
    <t>01/02/2023</t>
  </si>
  <si>
    <t>EXXONMOBIL    47938998</t>
  </si>
  <si>
    <t>EXXONMOBIL 47942933</t>
  </si>
  <si>
    <t>01/04/2023</t>
  </si>
  <si>
    <t>Ekko Fuels</t>
  </si>
  <si>
    <t>EKKO FUELS</t>
  </si>
  <si>
    <t>LYFT   *RIDE TUE 7AM</t>
  </si>
  <si>
    <t>EXXONMOBIL    48295521</t>
  </si>
  <si>
    <t>LYFT   *1 RIDE 01-06</t>
  </si>
  <si>
    <t>LYFT   *1 RIDE 01-05</t>
  </si>
  <si>
    <t>EXXONMOBIL 47939723</t>
  </si>
  <si>
    <t>01/11/2023</t>
  </si>
  <si>
    <t>Southwest Airlines</t>
  </si>
  <si>
    <t>SOUTHWES 5262408156387 800-435-9792 TX</t>
  </si>
  <si>
    <t>SOUTHWES 5262408156389 800-435-9792 TX</t>
  </si>
  <si>
    <t>SOUTHWES 5262408156390 800-435-9792 TX</t>
  </si>
  <si>
    <t>SOUTHWES XXXXXXXXXXXXX 800-435-9792 TX</t>
  </si>
  <si>
    <t>01/15/2023</t>
  </si>
  <si>
    <t>United</t>
  </si>
  <si>
    <t>UNITED      0162458775039</t>
  </si>
  <si>
    <t>UNITED      0162458775038</t>
  </si>
  <si>
    <t>Chevron</t>
  </si>
  <si>
    <t>CHEVRON 0381907</t>
  </si>
  <si>
    <t>Westgate</t>
  </si>
  <si>
    <t>WESTGATE LV RESORTCASINO</t>
  </si>
  <si>
    <t>LYFT   *1 RIDE 01-15 855-865-955 3 CA         01/17</t>
  </si>
  <si>
    <t>LYFT   *6 RIDES 01-14 855-865-95 53 CA        01/16</t>
  </si>
  <si>
    <t>Shell</t>
  </si>
  <si>
    <t>SHELL OIL 12597740005 SPRING TX</t>
  </si>
  <si>
    <t>HOU PARKING GARAGE</t>
  </si>
  <si>
    <t>HOU PARKING GARAGE HOUSTON TX</t>
  </si>
  <si>
    <t>LYFT   *2 RIDES 01-16 855-865-95 53 CA        01/19</t>
  </si>
  <si>
    <t>01/21/2023</t>
  </si>
  <si>
    <t>Circle K</t>
  </si>
  <si>
    <t>CIRCLE K # 03308 HUMBLE TX</t>
  </si>
  <si>
    <t>exxon</t>
  </si>
  <si>
    <t>LYFT   *2 RIDES 01-18 855-865-95 53 CA        01/21</t>
  </si>
  <si>
    <t>LYFT   *2 RIDES 01-21</t>
  </si>
  <si>
    <t>LYFT   *1 RIDE 01-22</t>
  </si>
  <si>
    <t>01/25/2023</t>
  </si>
  <si>
    <t>LYFT   *RIDE WED 4PM</t>
  </si>
  <si>
    <t>LYFT   *2 RIDES 01-24</t>
  </si>
  <si>
    <t>LYFT   *1 RIDE 01-25</t>
  </si>
  <si>
    <t>CHEVRON 0108129 HOUSTON TX</t>
  </si>
  <si>
    <t>SHELL OIL12979923013 SPRING TX</t>
  </si>
  <si>
    <t>LYFT   *1 RIDE 01-30</t>
  </si>
  <si>
    <t>Iah Parking Area</t>
  </si>
  <si>
    <t>IAH PARKING AREA C HOUSTON TX</t>
  </si>
  <si>
    <t>IDEMIA TSA PRECHECK</t>
  </si>
  <si>
    <t>IDEMIA TSA PRECHECK HOUSTON TX</t>
  </si>
  <si>
    <t>The Parking Spot</t>
  </si>
  <si>
    <t>THEPARKINGSPOT-ECW209</t>
  </si>
  <si>
    <t>LYFT   *1 RIDE 02-04</t>
  </si>
  <si>
    <t>CNBC SMARTSHOP</t>
  </si>
  <si>
    <t>Uber</t>
  </si>
  <si>
    <t>UBER TRIP HELP.UBER.COM CA</t>
  </si>
  <si>
    <t>LYFT   *5 RIDES 02-06 855-865-95 53 CA        02/09</t>
  </si>
  <si>
    <t>United Hotels</t>
  </si>
  <si>
    <t>LOEWS HOTELS ORLANDO FL 02/09</t>
  </si>
  <si>
    <t>02/12/2023</t>
  </si>
  <si>
    <t>SHELL OIL 57543424600</t>
  </si>
  <si>
    <t>LYFT   *1 RIDE 02-10</t>
  </si>
  <si>
    <t>Hyatt Place</t>
  </si>
  <si>
    <t>HYATT CENTRIC NASHVILLE</t>
  </si>
  <si>
    <t>NASHVILLE AIRPORT</t>
  </si>
  <si>
    <t>LYFT   *2 RIDES 02-09 855-865-95 53 CA        02/11</t>
  </si>
  <si>
    <t>LYFT   *1 RIDE 02-13</t>
  </si>
  <si>
    <t>CHEVRON 0377996</t>
  </si>
  <si>
    <t>SHELL OIL 57543434500</t>
  </si>
  <si>
    <t>CHEVRON 0381225</t>
  </si>
  <si>
    <t>CIRCLE K # 42345</t>
  </si>
  <si>
    <t>02/22/2023</t>
  </si>
  <si>
    <t>Time Wise</t>
  </si>
  <si>
    <t>TIME WISE # 849</t>
  </si>
  <si>
    <t>UBER   TRIP</t>
  </si>
  <si>
    <t>West Alabama Ice House, Inc.</t>
  </si>
  <si>
    <t>WEST ALABAMA ICE HOUSE</t>
  </si>
  <si>
    <t>SHELL OIL 57543435804</t>
  </si>
  <si>
    <t>SANDIA RESORT FOOD &amp; BEV</t>
  </si>
  <si>
    <t>Houston Airport System</t>
  </si>
  <si>
    <t>HOUSTON AIRPORTS RESER</t>
  </si>
  <si>
    <t>03/03/2023</t>
  </si>
  <si>
    <t>Nativo Lodge</t>
  </si>
  <si>
    <t>NATIVO LODGE</t>
  </si>
  <si>
    <t>03/04/2023</t>
  </si>
  <si>
    <t>NEW MEXICO RENTAL CAR</t>
  </si>
  <si>
    <t>Texaco</t>
  </si>
  <si>
    <t>TEXACO 0201863</t>
  </si>
  <si>
    <t>CHEVRON 0384802</t>
  </si>
  <si>
    <t>Kroger Fuel</t>
  </si>
  <si>
    <t>KROGER FUEL CTR 7017</t>
  </si>
  <si>
    <t>HOU PARKING ECOPARK</t>
  </si>
  <si>
    <t>RT 66 LOUNGE</t>
  </si>
  <si>
    <t>Tiger Mart</t>
  </si>
  <si>
    <t>TIGER MART #61 FORT WORTH TX 03/09</t>
  </si>
  <si>
    <t>HCTRA</t>
  </si>
  <si>
    <t>HCTRA EZ TAG Rebill</t>
  </si>
  <si>
    <t>03/11/2023</t>
  </si>
  <si>
    <t>UBER* TRIP</t>
  </si>
  <si>
    <t>03/13/2023</t>
  </si>
  <si>
    <t>UBER *TRIP HELP.UBER.COM</t>
  </si>
  <si>
    <t>03/15/2023</t>
  </si>
  <si>
    <t>Timewise</t>
  </si>
  <si>
    <t>TIMEWISE #822</t>
  </si>
  <si>
    <t>HIGHWAY 21 AND HIGHWAY 2</t>
  </si>
  <si>
    <t>03/20/2023</t>
  </si>
  <si>
    <t>CHEVRON 0302355</t>
  </si>
  <si>
    <t>KEBABALICIOUS STORE</t>
  </si>
  <si>
    <t>SQ *KEBABALICIOUS STOREFR</t>
  </si>
  <si>
    <t>East Austin Hotel</t>
  </si>
  <si>
    <t>AUSTIN MARRIOTT DOWNTO</t>
  </si>
  <si>
    <t>SOUTHWES    5262433655815</t>
  </si>
  <si>
    <t>SOUTHWES    5262433662102</t>
  </si>
  <si>
    <t>HYATT HOUSE AUSTIN</t>
  </si>
  <si>
    <t>SOUTHWES    5262433655814</t>
  </si>
  <si>
    <t>SOUTHWES    5262433662101</t>
  </si>
  <si>
    <t>HOTELSCOM7251671671204</t>
  </si>
  <si>
    <t>SOUTHWES    5262434875618</t>
  </si>
  <si>
    <t>SOUTHWES    5262434875617</t>
  </si>
  <si>
    <t>SHELL OIL12979909012</t>
  </si>
  <si>
    <t>HOTELSCOM7251814673645</t>
  </si>
  <si>
    <t>03/25/2023</t>
  </si>
  <si>
    <t>SOUTHERN UNITED STATES</t>
  </si>
  <si>
    <t>SOUTHERN UNITED STATES TR</t>
  </si>
  <si>
    <t>UA Inflight</t>
  </si>
  <si>
    <t>UA INFLIGHT/INCLUB CREDIT</t>
  </si>
  <si>
    <t>UA INFLT    0169842795570</t>
  </si>
  <si>
    <t>&amp; UBER TRIP HELP.UBER.COMCA</t>
  </si>
  <si>
    <t>UA INFLT    0169843836765</t>
  </si>
  <si>
    <t>Hotel Tonight</t>
  </si>
  <si>
    <t>COMFORT INN BY THE BAY</t>
  </si>
  <si>
    <t>Iah Parking Ecopark</t>
  </si>
  <si>
    <t>IAH PARKING ECOPARK1</t>
  </si>
  <si>
    <t>MOHEGAN SUN HOTEL</t>
  </si>
  <si>
    <t>SOUTHWES 5262441568674 800-435-9792 TX</t>
  </si>
  <si>
    <t>SOUTHWES 5262441579342 800-435-9792 TX</t>
  </si>
  <si>
    <t>SOUTHWES 5262441579343 800-435-9792 TX</t>
  </si>
  <si>
    <t>SOUTHWES 5262441568673 800-435-9792 TX</t>
  </si>
  <si>
    <t>&amp; LYFT *2 RIDES 02-14 LYFT.COM CA</t>
  </si>
  <si>
    <t>LYFT   *2 RIDES 02-14</t>
  </si>
  <si>
    <t>04/16/2023</t>
  </si>
  <si>
    <t>UA INFLT    0169846643276</t>
  </si>
  <si>
    <t>UA INFLT    0169846643277</t>
  </si>
  <si>
    <t>UNITED      0162479464858</t>
  </si>
  <si>
    <t>04/22/2023</t>
  </si>
  <si>
    <t>UBER   EATS</t>
  </si>
  <si>
    <t>&amp; UBER EATS HELP.UBER.COMCA</t>
  </si>
  <si>
    <t>LYFT   *1 RIDE 04-23</t>
  </si>
  <si>
    <t>&amp; LYFT *1 RIDE 04-23 855-865-9553 CA</t>
  </si>
  <si>
    <t>04/28/2023</t>
  </si>
  <si>
    <t>&amp; LYFT *1 RIDE 04-26 855-865-9553 CA</t>
  </si>
  <si>
    <t>LYFT   *1 RIDE 04-26</t>
  </si>
  <si>
    <t>05/02/2023</t>
  </si>
  <si>
    <t>LIM*Ride</t>
  </si>
  <si>
    <t>Austin Marriott</t>
  </si>
  <si>
    <t>City of Austin, TX 128 S Tryon</t>
  </si>
  <si>
    <t>05/03/2023</t>
  </si>
  <si>
    <t>CITGO</t>
  </si>
  <si>
    <t>SHELL OIL</t>
  </si>
  <si>
    <t>SOUTHWES 5262450304084 800-435-9792 TX</t>
  </si>
  <si>
    <t>SOUTHWES 5262450304085 800-435-9792 TX</t>
  </si>
  <si>
    <t>05/04/2023</t>
  </si>
  <si>
    <t>SOUTHWES 5262450593957 800-435-9792 TX</t>
  </si>
  <si>
    <t>SOUTHWES 5262450593956 800-435-9792 TX</t>
  </si>
  <si>
    <t>HOTELSCOM7254916100746 HOTELS.COM WA</t>
  </si>
  <si>
    <t>&amp; LYFT *1 RIDE 05-02 855-865-9553 CA</t>
  </si>
  <si>
    <t>HOTELSCOM7254929493141 HOTELS.COM WA</t>
  </si>
  <si>
    <t>LYFT   *1 RIDE 05-02</t>
  </si>
  <si>
    <t>SOUTHWES 5262450635121 800-435-9792 TX</t>
  </si>
  <si>
    <t>Spirit Airlines</t>
  </si>
  <si>
    <t>SPIRIT AIRL 4870347098182 800-7727117 FL</t>
  </si>
  <si>
    <t>UNITED      0162484237259</t>
  </si>
  <si>
    <t>UNITED      0162484237257</t>
  </si>
  <si>
    <t>UNITED      0162484237258</t>
  </si>
  <si>
    <t>05/09/2023</t>
  </si>
  <si>
    <t>Thrifty Car</t>
  </si>
  <si>
    <t>PRICELN*THRIFTY CAR R 203-299-80 00 CT        05/08</t>
  </si>
  <si>
    <t>05/11/2023</t>
  </si>
  <si>
    <t>UNITED      0162485617853</t>
  </si>
  <si>
    <t>THEPARKINGSPOT-ECW209 312-453-1700 TX</t>
  </si>
  <si>
    <t>SWA*_OVSZBAG5269961661913 800-435-9792 TX</t>
  </si>
  <si>
    <t>Hertz</t>
  </si>
  <si>
    <t>PRICELN*HERTZ CORPORAT</t>
  </si>
  <si>
    <t>UBER   TRIP HELP.UBER.COM CA 05/17</t>
  </si>
  <si>
    <t>05/18/2023</t>
  </si>
  <si>
    <t>&amp; LYFT *1 RIDE 05-16 855-865-9553 CA</t>
  </si>
  <si>
    <t>Ventra Vending</t>
  </si>
  <si>
    <t>&amp; VENTRA VENDING 12103 CHICAGO IL</t>
  </si>
  <si>
    <t>G&amp;M Oil</t>
  </si>
  <si>
    <t>G&amp;M OIL #194 LOS ANGELES CA 05/19</t>
  </si>
  <si>
    <t>&amp; UBER TRIP HELP.UBER.COM CA</t>
  </si>
  <si>
    <t>05/20/2023</t>
  </si>
  <si>
    <t>Spin Mobility</t>
  </si>
  <si>
    <t>&amp; Spin Mobility 888-2625189 CA</t>
  </si>
  <si>
    <t>05/21/2023</t>
  </si>
  <si>
    <t>&amp; LYFT *1 RIDE 05-19 855-865-9553 CA</t>
  </si>
  <si>
    <t>05/22/2023</t>
  </si>
  <si>
    <t>CHEVRON 0099917 TEMECULA CA 05/19</t>
  </si>
  <si>
    <t>UBER   TRIP HELP.UBER.COM CA 05/20</t>
  </si>
  <si>
    <t>THRIFTY #0071018 LOS ANGELES CA 05/19</t>
  </si>
  <si>
    <t>NON-CHASE ATM WITHDRAW 464504  05/23270 HANOV</t>
  </si>
  <si>
    <t>NON-CHASE ATM WITHDRAW 323357  05/243 CENTER</t>
  </si>
  <si>
    <t>&amp; LYFT *1 RIDE 05-22 855-865-9553 CA</t>
  </si>
  <si>
    <t>SHELL OIL XXXXXXX3826</t>
  </si>
  <si>
    <t>SHELL OIL XXXXXXX5804</t>
  </si>
  <si>
    <t>UNITED      XXXXXXXXX8327</t>
  </si>
  <si>
    <t>&amp; HOTELSCOM7257102250683 HOTELS.COM WA</t>
  </si>
  <si>
    <t>&amp; TIME WISE # 849 HOUSTON TX</t>
  </si>
  <si>
    <t>&amp; THEPARKINGSPOT-ECW242 312-453-1700 TX</t>
  </si>
  <si>
    <t>06/09/2023</t>
  </si>
  <si>
    <t>Holiday Inn</t>
  </si>
  <si>
    <t>HOLIDAY INN EXPRESS &amp; SU WARWICK RI</t>
  </si>
  <si>
    <t>HERTZ #0171011 WARWICK RI</t>
  </si>
  <si>
    <t>MOHEGAN SUN HOTEL UNCASVILLE CT</t>
  </si>
  <si>
    <t>SWA*_OVSZBAG5264200044363 800-435-9792 TX</t>
  </si>
  <si>
    <t>06/13/2023</t>
  </si>
  <si>
    <t>HOMES TO SUITES BY HILTON</t>
  </si>
  <si>
    <t>HOMEX SUITES MCCORMACK CHICAGO IL 06/16</t>
  </si>
  <si>
    <t>Citgo</t>
  </si>
  <si>
    <t>TIDWELL CITGO HOUSTON TX</t>
  </si>
  <si>
    <t>UBER TRIP HELP.UBER.COM CA 06/13</t>
  </si>
  <si>
    <t>SWA*_HVY_BAGXXXXXXXXX XXX-XXX-XXXX TX 06/13</t>
  </si>
  <si>
    <t>UBER TRIP HELP.UBER.COM CA 06/14</t>
  </si>
  <si>
    <t>UBER TRIP HELP.UBER.COM CA 06/15</t>
  </si>
  <si>
    <t>06/15/2023</t>
  </si>
  <si>
    <t>EXXON STAR STOP #61 HOUSTON TX</t>
  </si>
  <si>
    <t>UBER TRIP HELP.UBER.COM CA 06/16</t>
  </si>
  <si>
    <t>06/16/2023</t>
  </si>
  <si>
    <t>UBER TRIP HELP.UBER.COM CA 06/17</t>
  </si>
  <si>
    <t>THEPARKINGSPOT-274RC HUMBLE TX</t>
  </si>
  <si>
    <t>06/19/2023</t>
  </si>
  <si>
    <t>HOTELSCOMXXXXXXXXXXXXX HOTELS.COM NV 06/19</t>
  </si>
  <si>
    <t>06/20/2023</t>
  </si>
  <si>
    <t>PRICELN*HERTZ CORPORAT 203-299-8000 CT</t>
  </si>
  <si>
    <t>06/21/2023</t>
  </si>
  <si>
    <t>SOUTHERN UNITED STATES TR 504-568-6010 LA</t>
  </si>
  <si>
    <t>06/24/2023</t>
  </si>
  <si>
    <t>Delta</t>
  </si>
  <si>
    <t>DELTA AIR Baggage Fee HOUSTON TX 06/24</t>
  </si>
  <si>
    <t>Doxie Hotel</t>
  </si>
  <si>
    <t>DOXIE HOTEL NEW YORK NY 06/24</t>
  </si>
  <si>
    <t>06/25/2023</t>
  </si>
  <si>
    <t>Chase card ending in 3360</t>
  </si>
  <si>
    <t>LYFT *X RIDE XX-XX XXX-XXX-XXXX CA 06/26</t>
  </si>
  <si>
    <t>LYFT *X RIDE XX-XX XXX-XXX-XXXX CA 06/28</t>
  </si>
  <si>
    <t>06/28/2023</t>
  </si>
  <si>
    <t>LYFT *X RIDES XX-XX XXX-XXX-XXXX CA 06/30</t>
  </si>
  <si>
    <t>SPIRIT AIRL XXXXXXXXXX XXX-XXXXXXX FL 06/28</t>
  </si>
  <si>
    <t>Amtrak</t>
  </si>
  <si>
    <t>AMTRAK NRTHEAST CAFE QX WASHINGTON DC 06/28</t>
  </si>
  <si>
    <t>HOTELSCOMXXXXXXXXXXXXX HOTELS.COM WA 06/28</t>
  </si>
  <si>
    <t>AMTRAK .COM XXXXXXXXXXX WASHINGTON DC 06/28</t>
  </si>
  <si>
    <t>Phillips 66</t>
  </si>
  <si>
    <t>PHILLIPS SEAFOOD XXX-XXXXXXX MD 06/29</t>
  </si>
  <si>
    <t>LYFT *X RIDE XX-XX XXX-XXX-XXXX CA 06/29</t>
  </si>
  <si>
    <t>LYFT *X RIDE XX-XX XXX-XXX-XXXX CA 07/01</t>
  </si>
  <si>
    <t>06/30/2023</t>
  </si>
  <si>
    <t>LYFT *X RIDE XX-XX XXX-XXX-XXXX CA 06/30</t>
  </si>
  <si>
    <t>Chase 3360 - personal account</t>
  </si>
  <si>
    <t>07/17/2023</t>
  </si>
  <si>
    <t>SOUTHWES XXXXXXXXX XXX-XXX-XXXX TX 07/17</t>
  </si>
  <si>
    <t>SOUTHERN UNITED STATE XXX-XXX-XXXX LA 07/17</t>
  </si>
  <si>
    <t>07/22/2023</t>
  </si>
  <si>
    <t>LYFT *X RIDE XX-XX XXX-XXX-XXXX CA 07/22</t>
  </si>
  <si>
    <t>07/27/2023</t>
  </si>
  <si>
    <t>SOUTHWES XXXXXXXXX XXX-XXX-XXXX TX 07/27</t>
  </si>
  <si>
    <t>SOUTHWES XXXXXXXXX XXX-XXX-XXXX TX 07/28</t>
  </si>
  <si>
    <t>HOTELSCOMXXXXXXXXXXXXX HOTELS.COM WA 08/02</t>
  </si>
  <si>
    <t>CHEVRON XXXXXXX HOUSTON TX 08/02</t>
  </si>
  <si>
    <t>UBER TRIP HELP.UBER.COM CA 08/11</t>
  </si>
  <si>
    <t>08/11/2023</t>
  </si>
  <si>
    <t>Spin XXX-XXXXXXX CA 08/12</t>
  </si>
  <si>
    <t>LYFT *X RIDE XX-XX XXX-XXX-XXXX CA 08/13</t>
  </si>
  <si>
    <t>HOTEL ROSE PORTLAND OR 08/14</t>
  </si>
  <si>
    <t>08/15/2023</t>
  </si>
  <si>
    <t>LYFT *X RIDE XX-XX XXX-XXX-XXXX CA 08/17</t>
  </si>
  <si>
    <t>American Airlines</t>
  </si>
  <si>
    <t>ORIG CO NAME:CITI CARD ONLINE ORIG ID:CITICTP DESC DATE:XXXXXX CO ENTRY DESCR:PAYMENT SEC:WEB TRACE#:XXXXXXXXXXXXXXX EED:XXXXXX IND ID:XXXXXXXXXXX6131 IND NAME: JEREMIAH TALLERINE TRN: XXXXXX2440TC//Uncat//American Ailines Citi CC, travel expenses.</t>
  </si>
  <si>
    <t>EXXON STAR STOP #XX HOUSTON TX 08/16</t>
  </si>
  <si>
    <t>SOUTHWES XXXXXXXXX XXX-XXX-XXXX TX 08/16</t>
  </si>
  <si>
    <t>ORIG CO NAME:CITI AUTOPAY ORIG ID:CITICARDAP DESC DATE:XXXXXX CO ENTRY DESCR:PAYMENT SEC:WEB TRACE#:XXXXXXXXXXXXXXX EED:XXXXXX IND ID:XXXXXXXXXXX5128 IND NAME:B RAVADO SPICE LLC TRN: XXXXXX2836TC//Uncat//American Airlines CC minimum payment.</t>
  </si>
  <si>
    <t>09/06/2023</t>
  </si>
  <si>
    <t>EXXON STAR STOP #XX HOUSTON TX 09/06</t>
  </si>
  <si>
    <t>The Chicago Hotel</t>
  </si>
  <si>
    <t>FSP*THE CHICAGO HOTEL C CHICAGO IL 09/11</t>
  </si>
  <si>
    <t>LYFT *X RIDE XX-XX XXX-XXX-XXXX CA 09/11</t>
  </si>
  <si>
    <t>IAH PARKING ECOPARKX HOUSTON TX 09/12</t>
  </si>
  <si>
    <t>UNITED      XXXXXXXXX7257</t>
  </si>
  <si>
    <t>UNITED XXXXXXXXX XXX-XXX-XXXX TX 09/13</t>
  </si>
  <si>
    <t>09/15/2023</t>
  </si>
  <si>
    <t>UNITED      XXXXXXXXX7908</t>
  </si>
  <si>
    <t>09/16/2023</t>
  </si>
  <si>
    <t>XXXX-XXXXXX-X2009</t>
  </si>
  <si>
    <t>SOUTHWES XXXXXXXXX XXX-XXX-XXXX TX 09/16</t>
  </si>
  <si>
    <t>HAMMERLY BLVD HOUSTON</t>
  </si>
  <si>
    <t>XXXX-XXXXXX-X2009//Uncat//Water</t>
  </si>
  <si>
    <t>AMAZON PAY YOUR CHARGES CREDIT XXXX-XXXXXX-X2009</t>
  </si>
  <si>
    <t>09/27/2023</t>
  </si>
  <si>
    <t>SOUTHERN UNITED STATE XXX-XXX-XXXX LA 09/27</t>
  </si>
  <si>
    <t>10/03/2023</t>
  </si>
  <si>
    <t>UBER *TRIP San Francisco CA XXXXXX 10/02</t>
  </si>
  <si>
    <t>HCTRA EZ TAG ONLINE XXX-XXXXXXX TX 10/06</t>
  </si>
  <si>
    <t>10/08/2023</t>
  </si>
  <si>
    <t>3360//Uncat//travel expenses purchased on jer's cc, reimbursment</t>
  </si>
  <si>
    <t>10/17/2023</t>
  </si>
  <si>
    <t>Life Time Athletic</t>
  </si>
  <si>
    <t>LIFE TIME ATHLETIC #27//Uncat//travel</t>
  </si>
  <si>
    <t>10/19/2023</t>
  </si>
  <si>
    <t>SPIRIT AIRLINES SOUTH FLORIDA FL XXXX-XXXXXX-X2009</t>
  </si>
  <si>
    <t>10/30/2023</t>
  </si>
  <si>
    <t>UNITED XXXXX3845 XXX-XXX-2732 TX 10/30</t>
  </si>
  <si>
    <t>SPIRIT AIRL XXXXXX8802 XXX-XXX7117 FL 10/30</t>
  </si>
  <si>
    <t>HOTELSCOMXXXXXXXXX0797 HOTELS.COM WA 10/30</t>
  </si>
  <si>
    <t>AMERICANFIELD.US AMERICANFIELD GA 10/30</t>
  </si>
  <si>
    <t xml:space="preserve">   Gas</t>
  </si>
  <si>
    <t>Star Stop#53</t>
  </si>
  <si>
    <t>STAR STOP #61</t>
  </si>
  <si>
    <t>Travel:Gas</t>
  </si>
  <si>
    <t>STAR STOP # 53 HOUSTON TX 03/09</t>
  </si>
  <si>
    <t>STAR STOP # 53</t>
  </si>
  <si>
    <t>04/06/2023</t>
  </si>
  <si>
    <t>08/20/2023</t>
  </si>
  <si>
    <t>STAR STOP # XX HOUSTON TX 08/20</t>
  </si>
  <si>
    <t xml:space="preserve">   Total for Gas</t>
  </si>
  <si>
    <t>Total for Travel with subs</t>
  </si>
  <si>
    <t>Tuesday, Nov 21, 2023 12:59:44 PM GMT-8 - Accrual Basis</t>
  </si>
  <si>
    <t>Office/food expenses</t>
  </si>
  <si>
    <t xml:space="preserve"> - Phone</t>
  </si>
  <si>
    <t xml:space="preserve"> - Electric</t>
  </si>
  <si>
    <t>Overhead Expenses (G&amp;A)</t>
  </si>
  <si>
    <t xml:space="preserve">   Financial Fees</t>
  </si>
  <si>
    <t xml:space="preserve">      Bank Fees</t>
  </si>
  <si>
    <t>ANNUAL MEMBERSHIP FEE</t>
  </si>
  <si>
    <t>73410 Overhead Expenses (G&amp;A):Financial Fees:Bank Fees</t>
  </si>
  <si>
    <t>SERVICE CHARGES FOR THE MONTH OF DECEMBER</t>
  </si>
  <si>
    <t>PSVJ</t>
  </si>
  <si>
    <t>ORIG CO NAME:PSVJ ORIG ID:0000408976 DESC DATE:230112 CO ENTRY DESCR:JPMC FEE  SEC:WEB    TRACE#:021000023424116 EED:230112   IND ID:2851036                      IND NAME:BRAVADO SPICE *LLC</t>
  </si>
  <si>
    <t>PAST DUE FEE</t>
  </si>
  <si>
    <t>SERVICE CHARGES FOR THE MONTH OF JANUARY</t>
  </si>
  <si>
    <t>Cost of Funds</t>
  </si>
  <si>
    <t>ORIG CO NAME:PAYPAL ORIG ID:PAYPALSD11 DESC DATE:230303 CO ENTRY DESCR:TRANSFER  SEC:PPD    TRACE#:021000029582744 EED:230303   IND ID:                             IND NAME:BRAVADO SPICE LLC TRN: 0629582744TC</t>
  </si>
  <si>
    <t>SERVICE CHARGES FOR THE MONTH OF FEBRUARY</t>
  </si>
  <si>
    <t>2022-11-36</t>
  </si>
  <si>
    <t>Yes</t>
  </si>
  <si>
    <t>To record fees in Faire</t>
  </si>
  <si>
    <t>SERVICE CHARGES FOR THE MONTH OF MARCH</t>
  </si>
  <si>
    <t>Private Payment Servicing</t>
  </si>
  <si>
    <t>04/30/2023</t>
  </si>
  <si>
    <t>2022-11-37</t>
  </si>
  <si>
    <t>SERVICE CHARGES FOR THE MONTH OF APRIL</t>
  </si>
  <si>
    <t>05/07/2023</t>
  </si>
  <si>
    <t>AJE-1</t>
  </si>
  <si>
    <t>To record Faire fees ftm of May 01 to 07, 2023</t>
  </si>
  <si>
    <t>AJE-2</t>
  </si>
  <si>
    <t>To record Faire Fees ftm of May 08 to 14, 2023</t>
  </si>
  <si>
    <t>AJE-3</t>
  </si>
  <si>
    <t>To record Faire Fees ftm of May 15 to 21, 2023</t>
  </si>
  <si>
    <t>Past Due Fee</t>
  </si>
  <si>
    <t>05/30/2023</t>
  </si>
  <si>
    <t>AJE-4</t>
  </si>
  <si>
    <t>To record Faire Sales ftm of May 22 to 28, 2023</t>
  </si>
  <si>
    <t>SERVICE CHARGES FOR THE MONTH OF MAY</t>
  </si>
  <si>
    <t>PURCHASE INTEREST CHARGE</t>
  </si>
  <si>
    <t>Parafin Capital</t>
  </si>
  <si>
    <t>ORIG CO NAME:Parafin Capital ORIG ID:XXXXXXXXXX DESC DATE:XXXXXX CO ENTRY DESCR:ACCTVERIFYSEC:CCD TRACE#:XXXXXXXXXXXXXXX EED:XXXXXX IND ID:aXfecfXd692e4fc IND N AME:Bravado Spice LLC XXadXcXXXXXd-XXXXXXX TRN: XXXXXX3477TC</t>
  </si>
  <si>
    <t>ORIG CO NAME:Parafin Capital ORIG ID:XXXXXXXXXX DESC DATE:XXXXXX CO ENTRY DESCR:ACCTVERIFYSEC:CCD TRACE#:XXXXXXXXXXXXXXX EED:XXXXXX IND ID:XddXaXdXXe964f4 IND N AME:Bravado Spice LLC XXadXcXXXXXd-XXXXXXX TRN: XXXXXX0077TC</t>
  </si>
  <si>
    <t>Uncommon Goods</t>
  </si>
  <si>
    <t>Wire Transfer Fee</t>
  </si>
  <si>
    <t>07/06/2023</t>
  </si>
  <si>
    <t>SERVICE CHARGES FOR THE MONTH OF JUNE</t>
  </si>
  <si>
    <t>Capital One</t>
  </si>
  <si>
    <t>Taste of America, S.L.</t>
  </si>
  <si>
    <t>SERVICE CHARGES FOR THE MONTH OF JULY</t>
  </si>
  <si>
    <t>Bank of America</t>
  </si>
  <si>
    <t>ORIG CO NAME:BANK OF AMERICA ORIG ID:XXXXXXXXXX DESC DATE:XXXXXX CO ENTRY DESCR:ACCTVERIFYSEC:CTX TRACE#:XXXXXXXXXXXXXXX EED:XXXXXX IND ID:XXXXXXX58 IND NAME:00 XXJEREMIAH TALLERI TRN: XXXXXX6746TC</t>
  </si>
  <si>
    <t>ORIG CO NAME:BANK OF AMERICA ORIG ID:XXXXXXXXXX DESC DATE:XXXXXX CO ENTRY DESCR:ACCTVERIFYSEC:CTX TRACE#:XXXXXXXXXXXXXXX EED:XXXXXX IND ID:XXXXXXX56 IND NAME:00 XXJEREMIAH TALLERI TRN: XXXXXX6745TC</t>
  </si>
  <si>
    <t>ORIG CO NAME:BANK OF AMERICA ORIG ID:XXXXXXXXXX DESC DATE:XXXXXX CO ENTRY DESCR:ACCTVERIFYSEC:CTX TRACE#:XXXXXXXXXXXXXXX EED:XXXXXX IND ID:XXXXXXX60 IND NAME:00 XXJEREMIAH TALLERI TRN: XXXXXX6716TC</t>
  </si>
  <si>
    <t>08/26/2023</t>
  </si>
  <si>
    <t>SERVICE CHARGES FOR THE MONTH OF AUGUST</t>
  </si>
  <si>
    <t>AJE-43</t>
  </si>
  <si>
    <t>09/21/2023</t>
  </si>
  <si>
    <t>variance of payment vs bills -- charges</t>
  </si>
  <si>
    <t>10/04/2023</t>
  </si>
  <si>
    <t>SERVICE CHARGES FOR THE MONTH OF SEPTEMBER</t>
  </si>
  <si>
    <t xml:space="preserve">      Total for Bank Fees</t>
  </si>
  <si>
    <t xml:space="preserve">      Credit Card Fees</t>
  </si>
  <si>
    <t>DomeStar Clear Fake Ice Cubes, 20 PCS 0.8"" Plastic Ice Cubes Acrylic Clear Ice Rock Diamond Crystals Square Fake Ice Cubes Display for Home Decoration Wedding Centerpiece Vase Fillers
Sold by: Rainbow Town
Return window closed on Mar 1, 2023
$6.98"//Uncat//cc payment</t>
  </si>
  <si>
    <t>73420 Overhead Expenses (G&amp;A):Financial Fees:Credit Card Fees</t>
  </si>
  <si>
    <t>"2
Black Disposable Vinyl Gloves Large Powder Free Vinyl Gloves 3 Mil Exam Disposable Gloves for Home Use, 100 Count (Pack of 1)
Sold by: Wostar
Return window closed on Apr 15, 2023
$10.20"//Uncat//cc payment</t>
  </si>
  <si>
    <t>ORIG CO NAME:CITI AUTOPAY ORIG ID:CITICARDAP DESC DATE:XXXXXX CO ENTRY DESCR:PAYMENT SEC:WEB TRACE#:XXXXXXXXXXXXXXX EED:XXXXXX IND ID:XXXXXXXXXXX1851 IND NAME:B RAVADO SPICE LLC TRN: XXXXXX3159TC//Uncat//cc payment</t>
  </si>
  <si>
    <t xml:space="preserve">      Total for Credit Card Fees</t>
  </si>
  <si>
    <t xml:space="preserve">      PayPal Fees</t>
  </si>
  <si>
    <t>07/24/2023</t>
  </si>
  <si>
    <t>Paypal</t>
  </si>
  <si>
    <t>ORIG CO NAME:PAYPAL ORIG ID:PAYPALECXX DESC DATE:XXXXXX CO ENTRY DESCR:ECHECK SEC:WEB TRACE#:XXXXXXXXXXXXXXX EED:XXXXXX IND ID: IND NAME:BRAVADO SPICE LLC X3072 XPPZXSX TRN: XXXXXX9378TC</t>
  </si>
  <si>
    <t>73430 Overhead Expenses (G&amp;A):Financial Fees:PayPal Fees</t>
  </si>
  <si>
    <t>ORIG CO NAME:PAYPAL ORIG ID:PAYPALSIXX DESC DATE:XXXXXX CO ENTRY DESCR:INST XFER SEC:WEB TRACE#:XXXXXXXXXXXXXXX EED:XX0913 IND ID:GOOGLE LLC GOOG IND NAME:BRAVA DO SPICE LLC XXXXXXPPZXXN TRN: XXXXXX7997TC</t>
  </si>
  <si>
    <t>10/02/2023</t>
  </si>
  <si>
    <t>ORIG CO NAME:PAYPAL ORIG ID:PAYPALSIXX DESC DATE:XXXXXX CO ENTRY DESCR:INST XFER SEC:WEB TRACE#:XXXXXXXXXXXXXXX EED:XX1002 IND ID:GOOGLE LLC GOOG IND NAME:BRAVA DO SPICE LLC XXXXXXPPZAFD TRN: XXXXXX8452TC</t>
  </si>
  <si>
    <t xml:space="preserve">      Total for PayPal Fees</t>
  </si>
  <si>
    <t xml:space="preserve">      Interest Expense</t>
  </si>
  <si>
    <t>Purchase Interest charge</t>
  </si>
  <si>
    <t>73450 Overhead Expenses (G&amp;A):Financial Fees:Interest Expense</t>
  </si>
  <si>
    <t>QuickBooks Payments</t>
  </si>
  <si>
    <t>ORIG CO NAME:INTUIT FINANCIN ORIG ID:1832266158 DESC DATE:230114 CO ENTRY DESCR:PAYMENT   SEC:CCD    TRACE#:111000027509459 EED:230117   IND ID:001000050734022              IND NAME:BRAVADO SPICE LLC TRN: 0177509459TC</t>
  </si>
  <si>
    <t>ORIG CO NAME:PRIVATEPMTSVCNG ORIG ID:2842924157 DESC DATE:       CO ENTRY DESCR:PPDPAYMENTSEC:PPD    TRACE#:091000016140708 EED:230118   IND ID:                             IND NAME:BRAVADO SPICE LLC TRN: 0186140708TC</t>
  </si>
  <si>
    <t>2022-11-10</t>
  </si>
  <si>
    <t>To record Interest Fees in Draw 0004</t>
  </si>
  <si>
    <t>To record Interest Fees in Draw 0003</t>
  </si>
  <si>
    <t>To record Interest Fees in Draw 0005</t>
  </si>
  <si>
    <t>To record Interest Fees in Draw 0002</t>
  </si>
  <si>
    <t>To record Interest Fees in Draw 0001</t>
  </si>
  <si>
    <t>To record Interest Fees in Draw 0006</t>
  </si>
  <si>
    <t>ORIG CO NAME:INTUIT FINANCIN ORIG ID:1832266158 DESC DATE:230214 CO ENTRY DESCR:PAYMENT   SEC:CCD    TRACE#:111000027302177 EED:230215   IND ID:001000051475079              IND NAME:BRAVADO SPICE LLC TRN: 0467302177TC</t>
  </si>
  <si>
    <t>02/17/2023</t>
  </si>
  <si>
    <t>ORIG CO NAME:PRIVATEPMTSVCNG ORIG ID:2842924157 DESC DATE:       CO ENTRY DESCR:PPDPAYMENTSEC:PPD    TRACE#:091000012278213 EED:230217   IND ID:                             IND NAME:BRAVADO SPICE LLC TRN: 0482278213TC</t>
  </si>
  <si>
    <t>2022-11-17</t>
  </si>
  <si>
    <t>To record Interest Fees in Draw 0007</t>
  </si>
  <si>
    <t>ORIG CO NAME:INTUIT FINANCIN ORIG ID:1832266158 DESC DATE:230314 CO ENTRY DESCR:PAYMENT   SEC:CCD    TRACE#:111000029879199 EED:230315   IND ID:001000052155170              IND NAME:BRAVADO SPICE LLC TRN: 0749879199TC</t>
  </si>
  <si>
    <t>ORIG CO NAME:AMAZON.CU4BZGCXR ORIG ID:3215240102 DESC DATE:230315 CO ENTRY DESCR:PAYMENTS  SEC:CCD    TRACE#:021000028599456 EED:230315   IND ID:2XPN0H5J4WSW13J              IND NAME:Bravado Spice LLC TRN: 0748599456TC</t>
  </si>
  <si>
    <t>ORIG CO NAME:PRIVATEPMTSVCNG ORIG ID:2842924157 DESC DATE:       CO ENTRY DESCR:PPDPAYMENTSEC:PPD    TRACE#:091000019462883 EED:230317   IND ID:                             IND NAME:BRAVADO SPICE LLC TRN: 0769462883TC</t>
  </si>
  <si>
    <t>2022-11-24</t>
  </si>
  <si>
    <t>To record Interest Fees in Draw 0008</t>
  </si>
  <si>
    <t>auto-payment</t>
  </si>
  <si>
    <t>ORIG CO NAME:INTUIT FINANCIN ORIG ID:1832266158 DESC DATE:230414 CO ENTRY DESCR:PAYMENT   SEC:CCD    TRACE#:111000025488304 EED:230417   IND ID:001000052850032              IND NAME:BRAVADO SPICE LLC TRN: 1075488304TC</t>
  </si>
  <si>
    <t>2022-11-33</t>
  </si>
  <si>
    <t>To record Interest Fees in Draw 0010</t>
  </si>
  <si>
    <t>To record Interest Fees in Draw 0009</t>
  </si>
  <si>
    <t>&amp; PURCH INTEREST CREDIT ADJUST</t>
  </si>
  <si>
    <t>AJE-9</t>
  </si>
  <si>
    <t>ORIG CO NAME:INTUIT FINANCIN ORIG ID:XXXXXXXXXX DESC DATE:XXXXXX CO ENTRY DESCR:PAYMENT SEC:CCD TRACE#:XXXXXXXXXXXXXXX EED:XXXXXX IND ID:XXXXXXXXXXX6038 IND NAM E:BRAVADO SPICE LLC TRN: XXXXXX1081TC</t>
  </si>
  <si>
    <t>ORIG CO NAME:PRIVATEPMTSVCNG ORIG ID:XXXXXXXXXX DESC DATE: CO ENTRY DESCR:PPDPAYMENTSEC:PPD TRACE#:XXXXXXXXXXXXXXX EED:XX0620 IND ID: IND NAME:BRAVADO SPICE LLC TRN: XXXXXX8948TC</t>
  </si>
  <si>
    <t>Capital Fee for Cash Advance #001</t>
  </si>
  <si>
    <t>AJE-22</t>
  </si>
  <si>
    <t>To record Interest Fees in Draw 0011</t>
  </si>
  <si>
    <t>To record Interest Fees in Draw 0012</t>
  </si>
  <si>
    <t>07/11/2023</t>
  </si>
  <si>
    <t>07/15/2023</t>
  </si>
  <si>
    <t>ORIG CO NAME:INTUIT FINANCIN ORIG ID:XXXXXXXXXX DESC DATE:XXXXXX CO ENTRY DESCR:PAYMENT SEC:CCD TRACE#:XXXXXXXXXXXXXXX EED:XXXXXX IND ID:XXXXXXXXXXX4941 IND NAM E:BRAVADO SPICE LLC TRN: XXXXXX9205TC</t>
  </si>
  <si>
    <t>ORIG CO NAME:PRIVATEPMTSVCNG ORIG ID:XXXXXXXXXX DESC DATE: CO ENTRY DESCR:PPDPAYMENTSEC:PPD TRACE#:XXXXXXXXXXXXXXX EED:XX0718 IND ID: IND NAME:BRAVADO SPICE LLC TRN: XXXXXX3811TC</t>
  </si>
  <si>
    <t>07/31/2023</t>
  </si>
  <si>
    <t>AJE-27</t>
  </si>
  <si>
    <t>To record Interest Fees in Draw 0013</t>
  </si>
  <si>
    <t>AJE-33</t>
  </si>
  <si>
    <t>To record Interest in Amazon Loan</t>
  </si>
  <si>
    <t>AJE-34</t>
  </si>
  <si>
    <t>ORIG CO NAME:INTUIT FINANCIN ORIG ID:XXXXXXXXXX DESC DATE:XXXXXX CO ENTRY DESCR:PAYMENT SEC:CCD TRACE#:XXXXXXXXXXXXXXX EED:XXXXXX IND ID:XXXXXXXXXXX2267 IND NAM E:BRAVADO SPICE LLC TRN: XXXXXX1256TC</t>
  </si>
  <si>
    <t>AJE-36</t>
  </si>
  <si>
    <t>To record Interest Fees in Draw 0015</t>
  </si>
  <si>
    <t>AJE-34R</t>
  </si>
  <si>
    <t>Purchase Interest Charge</t>
  </si>
  <si>
    <t>E:BRAVADO SPICE LLC TRN: XXXXXX2114TC</t>
  </si>
  <si>
    <t>09/19/2023</t>
  </si>
  <si>
    <t>AJE-50</t>
  </si>
  <si>
    <t>09/30/2023</t>
  </si>
  <si>
    <t>AJE-45</t>
  </si>
  <si>
    <t>AJE-51</t>
  </si>
  <si>
    <t>To record Interest in Amazon Loan 10.10.23</t>
  </si>
  <si>
    <t>10/26/2023</t>
  </si>
  <si>
    <t xml:space="preserve">      Total for Interest Expense</t>
  </si>
  <si>
    <t xml:space="preserve">   Total for Financial Fees</t>
  </si>
  <si>
    <t>Total for Overhead Expenses (G&amp;A)</t>
  </si>
  <si>
    <t>Tuesday, Nov 21, 2023 01:20:02 PM GMT-8 - Accrual Basis</t>
  </si>
  <si>
    <t xml:space="preserve">   Dues &amp; Subscriptions</t>
  </si>
  <si>
    <t>GOOGLE *GSUITE_bravado</t>
  </si>
  <si>
    <t>1Password</t>
  </si>
  <si>
    <t>1PASSWORD</t>
  </si>
  <si>
    <t>FIGMA</t>
  </si>
  <si>
    <t>FIGMA MONTHLY RENEWAL</t>
  </si>
  <si>
    <t>SHOPIFY* 163552033</t>
  </si>
  <si>
    <t>Later.com</t>
  </si>
  <si>
    <t>LATER.COM INSTAGRAM</t>
  </si>
  <si>
    <t>Ship Station</t>
  </si>
  <si>
    <t>SHIPSTATION 512-485-4282 TX 127.18
KRISTOPHER RYAN 
TRANSACTIONS THIS CYCLE (CARD 7789) $7127.18</t>
  </si>
  <si>
    <t>Gusto</t>
  </si>
  <si>
    <t>ORIG CO NAME:GUSTO ORIG ID:2453942850 DESC DATE:230104 CO ENTRY DESCR:FEE 317831SEC:CCD    TRACE#:121140396451554 EED:230104   IND ID:6semjt9ea3e                  IND NAME:Bravado Spice LLC</t>
  </si>
  <si>
    <t>01/06/2023</t>
  </si>
  <si>
    <t>FormSwift.com</t>
  </si>
  <si>
    <t>FORMSWIFT.COM/CHARGE</t>
  </si>
  <si>
    <t>Adobe(V)</t>
  </si>
  <si>
    <t>ADOBE *800-833-6687</t>
  </si>
  <si>
    <t>Zendesk Sell</t>
  </si>
  <si>
    <t>ZENDESK - US</t>
  </si>
  <si>
    <t>Slack</t>
  </si>
  <si>
    <t>SLACK TQCC8KSP6</t>
  </si>
  <si>
    <t>Stripo Email</t>
  </si>
  <si>
    <t>STRIPO.EMAIL</t>
  </si>
  <si>
    <t>SELLICS</t>
  </si>
  <si>
    <t>SELLICS             BERLIN              BE</t>
  </si>
  <si>
    <t>ADOBE  *PHOTOGPHY PLAN</t>
  </si>
  <si>
    <t>Spotify USA</t>
  </si>
  <si>
    <t>ADOBE  *STOCK</t>
  </si>
  <si>
    <t>SPS Commerce</t>
  </si>
  <si>
    <t>SPS COMMERCE</t>
  </si>
  <si>
    <t>1WorldSync</t>
  </si>
  <si>
    <t>Kroger Vendor Item Portal (VIP) Only</t>
  </si>
  <si>
    <t>2022-11-14</t>
  </si>
  <si>
    <t>To record Katana fees for the month</t>
  </si>
  <si>
    <t>SHOPIFY* 167225869</t>
  </si>
  <si>
    <t>SHIPSTATION 512-485-4282 TX</t>
  </si>
  <si>
    <t>ORIG CO NAME:GUSTO ORIG ID:2453942850 DESC DATE:230203 CO ENTRY DESCR:FEE 953600SEC:CCD    TRACE#:121140391657224 EED:230206   IND ID:6semjtgr6j6                  IND NAME:Bravado Spice LLC</t>
  </si>
  <si>
    <t>ADOBE INC.</t>
  </si>
  <si>
    <t>ADOBE  *800-833-6687</t>
  </si>
  <si>
    <t>2022-11-15</t>
  </si>
  <si>
    <t>ORIG CO NAME:GUSTO ORIG ID:2453942850 DESC DATE:230302 CO ENTRY DESCR:FEE 460563SEC:CCD    TRACE#:121140399417036 EED:230302   IND ID:6semjtmo6jd                  IND NAME:Bravado Spice LLC</t>
  </si>
  <si>
    <t>SHOPIFY* 170917211</t>
  </si>
  <si>
    <t>SHOPIFY* 171022708</t>
  </si>
  <si>
    <t>SHIPSTATION</t>
  </si>
  <si>
    <t>03/12/2023</t>
  </si>
  <si>
    <t>Webflow.com</t>
  </si>
  <si>
    <t>WEBFLOW.COM</t>
  </si>
  <si>
    <t>2022-11-22</t>
  </si>
  <si>
    <t>SHOPIFY* 174622385</t>
  </si>
  <si>
    <t>KAPWING PRO PLAN</t>
  </si>
  <si>
    <t>1WORLDSYNC 866-280-4013 OH</t>
  </si>
  <si>
    <t>ZENDESK - US ZENDESK.COM CA</t>
  </si>
  <si>
    <t>ORIG CO NAME:GUSTO ORIG ID:2453942850 DESC DATE:230413 CO ENTRY DESCR:FEE 350973SEC:CCD    TRACE#:121140399189558 EED:230413   IND ID:6semju00gp0                  IND NAME:Bravado Spice LLC</t>
  </si>
  <si>
    <t>Business Forms</t>
  </si>
  <si>
    <t>BUSINESS FORMS LAWDIST</t>
  </si>
  <si>
    <t>04/21/2023</t>
  </si>
  <si>
    <t>ORIG CO NAME:1WORLDSYNC INC ORIG ID:9328204001 DESC DATE:230421 CO ENTRY DESCR:CORP PAY  SEC:CCD    TRACE#:021000027414185 EED:230421   IND ID:                             IND NAME:BRAVADO SPICE LLC TRN: 1117414185TC</t>
  </si>
  <si>
    <t>SELLICS BERLIN BE XXXX-XXXXXX-X2009</t>
  </si>
  <si>
    <t>04/24/2023</t>
  </si>
  <si>
    <t>2022-11-31</t>
  </si>
  <si>
    <t>LATER.COM</t>
  </si>
  <si>
    <t>SHOPIFY* 178357077</t>
  </si>
  <si>
    <t>ORIG CO NAME:GUSTO ORIG ID:9138864007 DESC DATE:230503 CO ENTRY DESCR:FEE 833409SEC:CCD    TRACE#:021000026789635 EED:230503   IND ID:6semju5bs3s                  IND NAME:Bravado Spice LLC</t>
  </si>
  <si>
    <t>Zapier</t>
  </si>
  <si>
    <t>ZAPIER.COM/CHARGE</t>
  </si>
  <si>
    <t>SPS COMMERCE 866-999-8729 MN</t>
  </si>
  <si>
    <t>Storepoint</t>
  </si>
  <si>
    <t>STOREPOINT* TRIAL OVER</t>
  </si>
  <si>
    <t>ADOBE  *XXX-XXX-6687</t>
  </si>
  <si>
    <t>AJE-6</t>
  </si>
  <si>
    <t>&amp; GOOGLE *GSUITE_bravado cc@google.com CA</t>
  </si>
  <si>
    <t>Groove</t>
  </si>
  <si>
    <t>GROOVEHQ.COM</t>
  </si>
  <si>
    <t>&amp; LATER.COM VANCOUVER BC</t>
  </si>
  <si>
    <t>&amp; SHOPIFY* 182181497 HTTPSSHOPIFY. IL</t>
  </si>
  <si>
    <t>&amp; 1PASSWORD TORONTO ON</t>
  </si>
  <si>
    <t>&amp; FIGMA ANNUAL RENEWAL HTTPSWWW.FIGM CA</t>
  </si>
  <si>
    <t>&amp; FIGMA MONTHLY RENEWAL HTTPSWWW.FIGM CA</t>
  </si>
  <si>
    <t>ORIG CO NAME:GUSTO ORIG ID:XXXXXXXXXX DESC DATE:XXXXXX CO ENTRY DESCR:FEE XXXXXXSEC:CCD TRACE#:XXXXXXXXXXXXXXX EED:XXX606 IND ID:6semjucudsg IND NAME:Bravado Sp ice LLC Xqhk TRN: XXXXXX1968TC</t>
  </si>
  <si>
    <t>&amp; SPS COMMERCE 866-999-8729 MN</t>
  </si>
  <si>
    <t>&amp; ADOBE *800-833-6687 ADOBE.LY/ENUS CA</t>
  </si>
  <si>
    <t>SLACK TQCC8KSP6 HTTPSSLACK.CO CA</t>
  </si>
  <si>
    <t>WWW.STOREPOINT.CO APP TORONTO ON</t>
  </si>
  <si>
    <t>AUTOMATION ZEN</t>
  </si>
  <si>
    <t>AUTOMATION ZEN#1138 WWW.AUTOMATIO TX</t>
  </si>
  <si>
    <t>STRIPO.EMAIL HTTPSSTRIPO.E DE</t>
  </si>
  <si>
    <t>GS1 US (barcodes)</t>
  </si>
  <si>
    <t>GS1 US 937-435-3870 NJ</t>
  </si>
  <si>
    <t>06/22/2023</t>
  </si>
  <si>
    <t>06/23/2023</t>
  </si>
  <si>
    <t>AJE-18</t>
  </si>
  <si>
    <t>07/02/2023</t>
  </si>
  <si>
    <t>1PASSWORD TORONTO ON</t>
  </si>
  <si>
    <t>SHOPIFY* 185916663 HTTPSSHOPIFY. IL</t>
  </si>
  <si>
    <t>LATER.COM VANCOUVER BC</t>
  </si>
  <si>
    <t>AUTOMATION ZEN#XXXX WWW.AUTOMATIO TX 07/05</t>
  </si>
  <si>
    <t>ORIG CO NAME:GUSTO ORIG ID:XXXXXXXXXX DESC DATE:XXXXXX CO ENTRY DESCR:FEE XXXXXXSEC:CCD TRACE#:XXXXXXXXXXXXXXX EED:XXXX06 IND ID:6semjuk4hsk IND NAME:Bravado Sp ice LLC Xqhk TRN: XXXXXX9681TC</t>
  </si>
  <si>
    <t>07/07/2023</t>
  </si>
  <si>
    <t>FIGMA MONTHLY RENEWA HTTPSWWW.FIGM CA 07/07</t>
  </si>
  <si>
    <t>WWW.STOREPOINT.CO APP TORONTO ON 07/10</t>
  </si>
  <si>
    <t>SLACK TQCCXKSPX HTTPSSLACK.CO CA 07/10</t>
  </si>
  <si>
    <t>ZENDESK - US ZENDESK.COM CA 07/11</t>
  </si>
  <si>
    <t>Spotify USA XXX-XXXXXXX NY 07/11</t>
  </si>
  <si>
    <t>07/14/2023</t>
  </si>
  <si>
    <t>YIN &amp; YANG, INC</t>
  </si>
  <si>
    <t>Monthly Retainer - July 15th to 31st</t>
  </si>
  <si>
    <t>Spotify USA XXX-XXXXXXX NY 07/24</t>
  </si>
  <si>
    <t>07/25/2023</t>
  </si>
  <si>
    <t>SHIPSTATION XXX-XXX-XXXX TX 07/26</t>
  </si>
  <si>
    <t>ADOBE INC. XXX-XXX-XXXX CA 08/01</t>
  </si>
  <si>
    <t>PSI-115569477</t>
  </si>
  <si>
    <t>Assortment Subscription Fees
For the Period of 07/01/23-07/31/23</t>
  </si>
  <si>
    <t>AJE-25</t>
  </si>
  <si>
    <t>Monthly Retainer/Commission MA
August 2023 Retainer Fee</t>
  </si>
  <si>
    <t>GOOGLE *GSUITE_bravado cc@google.com</t>
  </si>
  <si>
    <t>ADOBE INC. XXX-XXX-XXXX CA 08/04</t>
  </si>
  <si>
    <t>ORIG CO NAME:GUSTO ORIG ID:XXXXXXXXXX DESC DATE:XXXXXX CO ENTRY DESCR:FEE XXXXXXSEC:CCD TRACE#:XXXXXXXXXXXXXXX EED:XXXX04 IND ID:6semjurhr9n IND NAME:Bravado Sp ice LLC Xqhk TRN: XXXXXX6499TC</t>
  </si>
  <si>
    <t>PSI-115588342</t>
  </si>
  <si>
    <t>1 Fulfillment Network Subscription 1.00 97.52
2 Shipping Documentation 2.00 50.00
Customer Connections
3 Fulfillment Trading Partner Support 5.00 118.15
Trading Partner
Academy Sports
Ace Hardware
Buc-ee's
DoorDash, Inc.
KEHE FOODS
Extended Services
4 User Seat Monthly Fee 1.00 59.00
System Connection Services
5 Fulfillment System Automation Network Subscription 1.00 50.00
6 System Automation Trading Partner Support 4.00 40.00
Trading Partner
Academy Sports
Ace Hardware
Buc-ee's
KEHE FOODS
Document Fees
7 Document plan to support transaction volume. 1.00 337.50
Documents for the period 07/06/23..08/05/23
Academy Sports 5
Ace Hardware 10
KEHE FOODS 119
Buc-ee's 880</t>
  </si>
  <si>
    <t>ZENDESK - US ZENDESK.COM CA 08/09</t>
  </si>
  <si>
    <t>WWW.STOREPOINT.CO APP TORONTO ON 08/10</t>
  </si>
  <si>
    <t>SLACK TQCCXKSPX HTTPSSLACK.CO CA 08/10</t>
  </si>
  <si>
    <t>ADOBE *XXX-XXX-XXXX XXX-XXX-XXXX CA 08/16</t>
  </si>
  <si>
    <t>Monthly Retainer/Commission SO
The Fresh Market Presentation Fee
1 500.00 500.00</t>
  </si>
  <si>
    <t>Rangeme.com</t>
  </si>
  <si>
    <t>ORIG CO NAME:rangeme.com XXXX ORIG ID:XXXXXXXXXX DESC DATE: CO ENTRY DESCR:rangeme.coSEC:CCD TRACE#:XXXXXXXXXXXXXXX EED:XXXXXX IND ID:ST-GXKXT3J2H6G9 IND NAME:R ANGEME AMERICA LLC TRN: XXXXXX1790TC</t>
  </si>
  <si>
    <t>SHIPSTATION XXX-XXX-XXXX TX 08/19</t>
  </si>
  <si>
    <t>PSI-115601459</t>
  </si>
  <si>
    <t>Testing and Certification
KEHE FOODS
$600.00 1.0 $600.00</t>
  </si>
  <si>
    <t>ADOBE *XXX-XXX-XXXX XXX-XXX-XXXX CA 08/23</t>
  </si>
  <si>
    <t>08/24/2023</t>
  </si>
  <si>
    <t>ADOBE *XXX-XXX-XXXX XXX-XXX-XXXX CA 08/24</t>
  </si>
  <si>
    <t>Spotify USA XXX-XXXXXXX NY 08/24</t>
  </si>
  <si>
    <t>SPS COMMERCE XXX-XXX-XXXX MN 08/29</t>
  </si>
  <si>
    <t>eZCom Software Inc.</t>
  </si>
  <si>
    <t>0 0.00 0.00 Transaction Fees Transactions (Transaction Tier #1 - 0 to 50 transactions)
1 Subscription Fee Monthly subscription fee 75.00 75.00T
1 300.00 300.00 Trading Partner ... KEHE added to Lingo
1 Trading Partner ... ACADEMY added to Lingo 300.00 300.00
1 300.00 300.00 Trading Partner ... BUC_EES added to Lingo
1 Trading Partner ... Trading Partner Maintenance: ACADEMY 20.00 20.00T
1 20.00 20.00T Trading Partner ... Trading Partner Maintenance: ACEHARDWARE
1 Trading Partner ... Trading Partner Maintenance: BUC_EES 20.00 20.00T
1 20.00 20.00T</t>
  </si>
  <si>
    <t>AJE-31</t>
  </si>
  <si>
    <t>Monthly Retainer/Commission MA
September 2023 Retainer Fee</t>
  </si>
  <si>
    <t>SPS COMMERCE XXX-XXX-XXXX MN 09/06</t>
  </si>
  <si>
    <t>ORIG CO NAME:GUSTO ORIG ID:XXXXXXXXXX DESC DATE:XXXXXX CO ENTRY DESCR:FEE XXXXXXSEC:CCD TRACE#:XXXXXXXXXXXXXXX EED:XXXXXX IND ID:Xsemjv385h8 IND NAME:Bravado Sp ice LLC Xqhk TRN: XXXXXX3792TC</t>
  </si>
  <si>
    <t>09/07/2023</t>
  </si>
  <si>
    <t>ADOBE *XXX-XXX-XXXX XXX-XXX-XXXX CA 09/07</t>
  </si>
  <si>
    <t>09/09/2023</t>
  </si>
  <si>
    <t>ZENDESK - US ZENDESK.COM CA 09/09</t>
  </si>
  <si>
    <t>SLACK TQCCXKSPX HTTPSSLACK.CO CA 09/10</t>
  </si>
  <si>
    <t>WWW.STOREPOINT.CO APP TORONTO ON 09/10</t>
  </si>
  <si>
    <t>09/23/2023</t>
  </si>
  <si>
    <t>ADOBE *XXX-XXX-XXXX XXX-XXX-XXXX CA 09/23</t>
  </si>
  <si>
    <t>09/24/2023</t>
  </si>
  <si>
    <t>Spotify USA XXX-XXXXXXX NY 09/24</t>
  </si>
  <si>
    <t>ADOBE *XXX-XXX-XXXX XXX-XXX-XXXX CA 09/24</t>
  </si>
  <si>
    <t>50 1.50 75.00 Transaction Fees Transactions (Transaction Tier #1 - 0 to 50 transactions)
42 Transaction Fees Transactions (Transaction Tier #2 - 51 to 100 transactions) 1.25 52.50
1 75.00 75.00T Subscription Fee Monthly subscription fee
1 WebBased Print... Web-Based Label Printing Fee - Up to 400 labels per batch 25.00 25.00T
1 20.00 20.00T Trading Partner ... Trading Partner Maintenance: ACADEMY
1 Trading Partner ... Trading Partner Maintenance: ACEHARDWARE 20.00 20.00T
1 20.00 20.00T Trading Partner ... Trading Partner Maintenance: BUC_EES
1 Trading Partner ... Trading Partner Maintenance: KEHE 20.00 20.00T
Out-of-state sale, exempt from sales tax 0.00% 0.00</t>
  </si>
  <si>
    <t>AJE-44</t>
  </si>
  <si>
    <t>10/01/2023</t>
  </si>
  <si>
    <t>Monthly Retainer/Commission MA
October 2023 Retainer Fee</t>
  </si>
  <si>
    <t>ORIG CO NAME:GUSTO ORIG ID:XXXXXXXXXX DESC DATE:XXXXXX CO ENTRY DESCR:FEE XXXXXXSEC:CCD TRACE#:XXXXXXXXXXXXXXX EED:XXXX03 IND ID:6semjv9vumf IND NAME:Bravado Sp ice LLC XsemjmuuXur TRN: XXXXXX6868TC</t>
  </si>
  <si>
    <t>XPASSWORD TORONTO ON 10/07</t>
  </si>
  <si>
    <t>10/07/2023</t>
  </si>
  <si>
    <t>ADOBE *XXX-XXX-XXXX XXX-XXX-XXXX CA 10/07</t>
  </si>
  <si>
    <t>10/09/2023</t>
  </si>
  <si>
    <t>ZENDESK - US ZENDESK.COM CA 10/09</t>
  </si>
  <si>
    <t>PSI-115702203</t>
  </si>
  <si>
    <t>Line No. Description Quantity Total Price
Product Subscription
1 Fulfillment Network Subscription 1.00 97.52
2 Shipping Documentation 2.00 50.00
Customer Connections
3 Fulfillment Trading Partner Support 5.00 118.15
Trading Partner
Academy Sports
Ace Hardware
Buc-ee's
DoorDash, Inc.
KEHE FOODS
Extended Services
4 User Seat Monthly Fee 1.00 59.00
System Connection Services
5 Fulfillment System Automation Network Subscription 1.00 50.00
6 System Automation Trading Partner Support 4.00 40.00
Trading Partner
Academy Sports
Ace Hardware
Buc-ee's
KEHE FOODS
Document Fees
7 Document plan to support transaction volume. 1.00 337.50
Documents for the period 09/06/23-10/05/23
Academy Sports 5</t>
  </si>
  <si>
    <t>SLACK TQCCXKSPX HTTPSSLACK.CO CA 10/10</t>
  </si>
  <si>
    <t>WWW.STOREPOINT.CO APP TORONTO ON 10/10</t>
  </si>
  <si>
    <t>Monthly Retainer/Commission MA
November 2023 Retainer Fee</t>
  </si>
  <si>
    <t>50 1.50 75.00 Transaction Fees Transactions (Transaction Tier #1 - 0 to 50 transactions)
50 Transaction Fees Transactions (Transaction Tier #2 - 51 to 100 transactions) 1.25 62.50
100 1.00 100.00 Transaction Fees Transactions (Transaction Tier #3 - 101 to 200 transactions)
106 Transaction Fees Transactions (Transaction Tier #4 - 201 to 350 transactions) 0.75 79.50
1 75.00 75.00T Subscription Fee Monthly subscription fee
1 WebBased Print... Web-Based Label Printing Fee - Up to 400 labels per batch 25.00 25.00T
1 20.00 20.00T Trading Partner ... Trading Partner Maintenance: ACADEMY
1 Trading Partner ... Trading Partner Maintenance: ACEHARDWARE 20.00 20.00T
1 20.00 20.00T Trading Partner ... Trading Partner Maintenance: BUC_EES
1 Trading Partner ... Trading Partner Maintenance: KEHE 20.00 20.00T
Out-of-state sale, exempt from sales tax 0.00% 0.00</t>
  </si>
  <si>
    <t xml:space="preserve">   Total for Dues &amp; Subscriptions</t>
  </si>
  <si>
    <t>Tuesday, Nov 21, 2023 01:21:05 PM GMT-8 - Accrual Basis</t>
  </si>
  <si>
    <t>$3000/mo bookies, $2500/mo Mark</t>
  </si>
  <si>
    <t>Cushion</t>
  </si>
  <si>
    <t>Fundbox</t>
  </si>
  <si>
    <t>Instagram</t>
  </si>
  <si>
    <t>Ship St</t>
  </si>
  <si>
    <t>Adobe</t>
  </si>
  <si>
    <t>Zendesk</t>
  </si>
  <si>
    <t>Sellics</t>
  </si>
  <si>
    <t>Spotify</t>
  </si>
  <si>
    <t>SPS</t>
  </si>
  <si>
    <t>Katana</t>
  </si>
  <si>
    <t>YinYang</t>
  </si>
  <si>
    <t>Formswift</t>
  </si>
  <si>
    <t>Stripo</t>
  </si>
  <si>
    <t>World Sync</t>
  </si>
  <si>
    <t>Later</t>
  </si>
  <si>
    <t>Kapwing</t>
  </si>
  <si>
    <t>Automation Zen</t>
  </si>
  <si>
    <t>EZ Com</t>
  </si>
  <si>
    <t>1 Password</t>
  </si>
  <si>
    <t>Jer's Reimburstments</t>
  </si>
  <si>
    <t>Aug</t>
  </si>
  <si>
    <t>Sept</t>
  </si>
  <si>
    <t>2024 Total</t>
  </si>
  <si>
    <t>a</t>
  </si>
  <si>
    <t>November is mostly Albertsons slotting fees. Expect $9500 Mid Atlantic Mar/Apr, $15,000 SoCal 2Q</t>
  </si>
  <si>
    <t xml:space="preserve">     Ryan (Kristopher)</t>
  </si>
  <si>
    <t>starting Feb</t>
  </si>
  <si>
    <t>KeHe slotting fees</t>
  </si>
  <si>
    <t>Per Jer</t>
  </si>
  <si>
    <t xml:space="preserve"> - Faire</t>
  </si>
  <si>
    <t>ecomm store</t>
  </si>
  <si>
    <t>rep by EZ Comm</t>
  </si>
  <si>
    <t>$500/mo</t>
  </si>
  <si>
    <t>gone</t>
  </si>
  <si>
    <t>Sprouts</t>
  </si>
  <si>
    <t>2024 estimate</t>
  </si>
  <si>
    <t>CC fees</t>
  </si>
  <si>
    <t>5400/mo on 20th</t>
  </si>
  <si>
    <t>22nd</t>
  </si>
  <si>
    <t>1732/mo interest</t>
  </si>
  <si>
    <t xml:space="preserve">  C 9532 (ink)</t>
  </si>
  <si>
    <t>1000/mo interest</t>
  </si>
  <si>
    <t>reclass to equity?</t>
  </si>
  <si>
    <t>1136/week</t>
  </si>
  <si>
    <t>2800/week</t>
  </si>
  <si>
    <t>3812/mo 16th</t>
  </si>
  <si>
    <t>15% of Amazon sales</t>
  </si>
  <si>
    <t>Inventory adjustment</t>
  </si>
  <si>
    <t xml:space="preserve">  Spark/Cap One</t>
  </si>
  <si>
    <t xml:space="preserve"> - Bank/cc</t>
  </si>
  <si>
    <t xml:space="preserve">     Slotting fees</t>
  </si>
  <si>
    <t xml:space="preserve">    Travel</t>
  </si>
  <si>
    <t>Auto</t>
  </si>
  <si>
    <t>Accrued salaries-Jer</t>
  </si>
  <si>
    <t>Cash Flow after Debt Service</t>
  </si>
  <si>
    <t xml:space="preserve">     Total debt service</t>
  </si>
  <si>
    <t>CC payments</t>
  </si>
  <si>
    <t xml:space="preserve"> - Interest</t>
  </si>
  <si>
    <t>Jeremiah reimbursements</t>
  </si>
  <si>
    <t>2024 (Updated  3/11/24)</t>
  </si>
  <si>
    <t>40% of sales</t>
  </si>
  <si>
    <t>?</t>
  </si>
  <si>
    <t>Cash, beginning of week</t>
  </si>
  <si>
    <t>Collections</t>
  </si>
  <si>
    <t>KeHe, gross</t>
  </si>
  <si>
    <t>Endorphin</t>
  </si>
  <si>
    <t>Freight</t>
  </si>
  <si>
    <t xml:space="preserve">    Events &amp; shows</t>
  </si>
  <si>
    <t xml:space="preserve"> - Spark</t>
  </si>
  <si>
    <t xml:space="preserve"> - Bus AMEX</t>
  </si>
  <si>
    <t xml:space="preserve"> - Chase 0423</t>
  </si>
  <si>
    <t xml:space="preserve"> - Chase 2639</t>
  </si>
  <si>
    <t>Nothing in Feb?</t>
  </si>
  <si>
    <t xml:space="preserve">    Google</t>
  </si>
  <si>
    <t xml:space="preserve">    In store</t>
  </si>
  <si>
    <t xml:space="preserve">    Slotting fees</t>
  </si>
  <si>
    <t xml:space="preserve">    Other</t>
  </si>
  <si>
    <t>Questions/Major charges</t>
  </si>
  <si>
    <t>Less Swell discounts</t>
  </si>
  <si>
    <t xml:space="preserve">   Sublease</t>
  </si>
  <si>
    <t xml:space="preserve">   Waste Mgmt</t>
  </si>
  <si>
    <t xml:space="preserve">  Health insurance</t>
  </si>
  <si>
    <t>Insurance, liability</t>
  </si>
  <si>
    <t xml:space="preserve">   Electric</t>
  </si>
  <si>
    <t xml:space="preserve">   Bank/CC</t>
  </si>
  <si>
    <t xml:space="preserve">   Faire</t>
  </si>
  <si>
    <t>Salaried</t>
  </si>
  <si>
    <t>Contract labor</t>
  </si>
  <si>
    <t xml:space="preserve">  Cost of Sales:</t>
  </si>
  <si>
    <t xml:space="preserve">  Compensation:</t>
  </si>
  <si>
    <t xml:space="preserve">   Marketing &amp; advertising:</t>
  </si>
  <si>
    <t xml:space="preserve">   General &amp; administraive:</t>
  </si>
  <si>
    <t>Operating Expenditures</t>
  </si>
  <si>
    <t xml:space="preserve">     Total Debt Service</t>
  </si>
  <si>
    <t xml:space="preserve">     Total Operating Expenditures</t>
  </si>
  <si>
    <t xml:space="preserve">     Total Collections</t>
  </si>
  <si>
    <t>New Borrowing</t>
  </si>
  <si>
    <t>BofA, Chase, Paypal - analyze</t>
  </si>
  <si>
    <t xml:space="preserve">   Hartford</t>
  </si>
  <si>
    <t xml:space="preserve">   Strata</t>
  </si>
  <si>
    <t xml:space="preserve">   MAC, Other</t>
  </si>
  <si>
    <t>Buccee's</t>
  </si>
  <si>
    <t>SBG</t>
  </si>
  <si>
    <t>Jer to assess-See D&amp;S sheet</t>
  </si>
  <si>
    <t xml:space="preserve">   Beam (dental)</t>
  </si>
  <si>
    <t>Should be offset by withholdings?</t>
  </si>
  <si>
    <t xml:space="preserve">   State Farm (auto)</t>
  </si>
  <si>
    <t>Incl devices on departed emp, need to cut lines</t>
  </si>
  <si>
    <t xml:space="preserve">   Verizon (phone)</t>
  </si>
  <si>
    <t xml:space="preserve">   AT&amp;T (internet)</t>
  </si>
  <si>
    <t>8% of sales</t>
  </si>
  <si>
    <t>2% of sales</t>
  </si>
  <si>
    <t>1430 fulfillment</t>
  </si>
  <si>
    <t>1430 sales admin</t>
  </si>
  <si>
    <t>Beam(dental), SF(auto), Hartford(liab/WC)</t>
  </si>
  <si>
    <t>Verizon(phone), AT&amp;T (internet)</t>
  </si>
  <si>
    <t>Kyle reconciles at month-end</t>
  </si>
  <si>
    <t xml:space="preserve"> - Chase 9532 (Ink-James)</t>
  </si>
  <si>
    <t>17% of Shopify sales</t>
  </si>
  <si>
    <t>5984/mo (partially covered by discounts)</t>
  </si>
  <si>
    <t>Cash, End of Week</t>
  </si>
  <si>
    <t>Actual</t>
  </si>
  <si>
    <t xml:space="preserve">     Ryan</t>
  </si>
  <si>
    <t xml:space="preserve"> - Chase 3360</t>
  </si>
  <si>
    <t>Forward Financing</t>
  </si>
  <si>
    <t>2,287</t>
  </si>
  <si>
    <t>1,200</t>
  </si>
  <si>
    <t>2,500</t>
  </si>
  <si>
    <t>3,500</t>
  </si>
  <si>
    <t>1,430</t>
  </si>
  <si>
    <t>8%</t>
  </si>
  <si>
    <t>To Aug</t>
  </si>
  <si>
    <t>17th, March pmt?</t>
  </si>
  <si>
    <t>$5 mill umbrella, WC, March pmt?</t>
  </si>
  <si>
    <t>March pmt?</t>
  </si>
  <si>
    <t>When possible</t>
  </si>
  <si>
    <t xml:space="preserve">    Social Media</t>
  </si>
  <si>
    <t>CC payments, net of charges</t>
  </si>
  <si>
    <t xml:space="preserve"> - SW Air 7510</t>
  </si>
  <si>
    <t>Transfer from Chase savings</t>
  </si>
  <si>
    <t>Unidentified $9150?</t>
  </si>
  <si>
    <t>2024 by Month</t>
  </si>
  <si>
    <t>Budget</t>
  </si>
  <si>
    <t>8% of sales, bump in June promo, 6% last few mos</t>
  </si>
  <si>
    <t>Actual - Jer &amp; Mar only</t>
  </si>
  <si>
    <t>In June start $1425 + (pallets x $15)/mo</t>
  </si>
  <si>
    <t>starting Apr</t>
  </si>
  <si>
    <t>Per analysis</t>
  </si>
  <si>
    <t>Beam(dental), SF(auto), SF(liab/WC)</t>
  </si>
  <si>
    <t>$1594/mo bookies, $2500/mo Mark</t>
  </si>
  <si>
    <t>January 1-April 30, 2024</t>
  </si>
  <si>
    <t>Transaction type</t>
  </si>
  <si>
    <t>Account full name</t>
  </si>
  <si>
    <t>73000 Overhead Expenses (G&amp;A)</t>
  </si>
  <si>
    <t>73400 Financial Fees</t>
  </si>
  <si>
    <t>73410 Bank Fees</t>
  </si>
  <si>
    <t>01/01/2024</t>
  </si>
  <si>
    <t>--</t>
  </si>
  <si>
    <t>73000 Overhead Expenses (G&amp;A):73400 Financial Fees:73410 Bank Fees</t>
  </si>
  <si>
    <t>01/04/2024</t>
  </si>
  <si>
    <t>01/19/2024</t>
  </si>
  <si>
    <t>fee or charge back</t>
  </si>
  <si>
    <t>02/05/2024</t>
  </si>
  <si>
    <t>Freescr</t>
  </si>
  <si>
    <t>TLG*FREESCRXXXX8645JAN XXX-XXX9002 CT 02/05</t>
  </si>
  <si>
    <t>02/07/2024</t>
  </si>
  <si>
    <t>Bank charges</t>
  </si>
  <si>
    <t>02/22/2024</t>
  </si>
  <si>
    <t>charges</t>
  </si>
  <si>
    <t>03/05/2024</t>
  </si>
  <si>
    <t>TLG*FREESCRXXXX8645FEB XXX-XXX9002 CT 03/05</t>
  </si>
  <si>
    <t>03/31/2024</t>
  </si>
  <si>
    <t>04/03/2024</t>
  </si>
  <si>
    <t>04/04/2024</t>
  </si>
  <si>
    <t>variance in deposits and payment in Invoice#9823 thru Paypal</t>
  </si>
  <si>
    <t>04/08/2024</t>
  </si>
  <si>
    <t>LATE FEE</t>
  </si>
  <si>
    <t>04/11/2024</t>
  </si>
  <si>
    <t>Total for 73410 Bank Fees</t>
  </si>
  <si>
    <t>73430 PayPal Fees</t>
  </si>
  <si>
    <t>01/02/2024</t>
  </si>
  <si>
    <t>ORIG CO NAME:PAYPAL ORIG ID:PAYPALSI77 DESC DATE:240101 CO ENTRY DESCR:INST XFER SEC:WEB TRACE#:XXXXXXXX4722226 EED:240102 IND ID:GOOGLE LLC GOOG IND NAME:BRAVA DO SPICE LLC XX0101PPZDKI TRN: XXXXXX2226 TC</t>
  </si>
  <si>
    <t>73000 Overhead Expenses (G&amp;A):73400 Financial Fees:73430 PayPal Fees</t>
  </si>
  <si>
    <t>01/22/2024</t>
  </si>
  <si>
    <t>ORIG CO NAME:PAYPAL ORIG ID:PAYPALSI77 DESC DATE:240121 CO ENTRY DESCR:INST XFER SEC:WEB TRACE#:XXXXXXXX4086704 EED:240122 IND ID:UBER IND NAME:BRAVADO SPICE LL C XX0121PPZ4LI TRN: XXXXXX6704 TC</t>
  </si>
  <si>
    <t>ORIG CO NAME:PAYPAL ORIG ID:PAYPALSI77 DESC DATE:240121 CO ENTRY DESCR:INST XFER SEC:WEB TRACE#:XXXXXXXX4096049 EED:240122 IND ID:UBER IND NAME:BRAVADO SPICE LL C XX0121PPZ4LE TRN: XXXXXX6049 TC</t>
  </si>
  <si>
    <t>ORIG CO NAME:PAYPAL ORIG ID:PAYPALSI77 DESC DATE:240121 CO ENTRY DESCR:INST XFER SEC:WEB TRACE#:XXXXXXXX4118148 EED:240122 IND ID:UBER IND NAME:BRAVADO SPICE LL C XX0121PPZ4LE TRN: XXXXXX8148 TC</t>
  </si>
  <si>
    <t>ORIG CO NAME:PAYPAL ORIG ID:PAYPALSI77 DESC DATE:240121 CO ENTRY DESCR:INST XFER SEC:WEB TRACE#:XXXXXXXX4129359 EED:240122 IND ID:UBER IND NAME:BRAVADO SPICE LL C XX0121PPZ4LE TRN: XXXXXX9359 TC</t>
  </si>
  <si>
    <t>ORIG CO NAME:PAYPAL ORIG ID:PAYPALSI77 DESC DATE:240121 CO ENTRY DESCR:INST XFER SEC:WEB TRACE#:XXXXXXXX4456722 EED:240122 IND ID:UBER IND NAME:BRAVADO SPICE LL C XX0121PPZ3TN TRN: XXXXXX6722 TC</t>
  </si>
  <si>
    <t>ORIG CO NAME:PAYPAL ORIG ID:PAYPALSI77 DESC DATE:240121 CO ENTRY DESCR:INST XFER SEC:WEB TRACE#:XXXXXXXX4459167 EED:240122 IND ID:UBER IND NAME:BRAVADO SPICE LL C XX0121PPZ3TO TRN: XXXXXX9167 TC</t>
  </si>
  <si>
    <t>ORIG CO NAME:PAYPAL ORIG ID:PAYPALSI77 DESC DATE:240121 CO ENTRY DESCR:INST XFER SEC:WEB TRACE#:XXXXXXXX4508550 EED:240122 IND ID:UBER IND NAME:BRAVADO SPICE LL C XX0121PPZ3TQ TRN: XXXXXX8550 TC</t>
  </si>
  <si>
    <t>ORIG CO NAME:PAYPAL ORIG ID:PAYPALSI77 DESC DATE:240121 CO ENTRY DESCR:INST XFER SEC:WEB TRACE#:XXXXXXXX4522665 EED:240122 IND ID:UBER IND NAME:BRAVADO SPICE LL C XX0121PPZ3TQ TRN: XXXXXX2665 TC</t>
  </si>
  <si>
    <t>ORIG CO NAME:PAYPAL ORIG ID:PAYPALSI77 DESC DATE:240122 CO ENTRY DESCR:INST XFER SEC:WEB TRACE#:XXXXXXXX9402059 EED:240122 IND ID:UBER IND NAME:BRAVADO SPICE LL C XX0122PPZ576 TRN: XXXXXX2059 TC</t>
  </si>
  <si>
    <t>ORIG CO NAME:PAYPAL ORIG ID:PAYPALSI77 DESC DATE:240122 CO ENTRY DESCR:INST XFER SEC:WEB TRACE#:XXXXXXXX9404919 EED:240122 IND ID:UBER IND NAME:BRAVADO SPICE LL C XX0122PPZ577 TRN: XXXXXX4919 TC</t>
  </si>
  <si>
    <t>ORIG CO NAME:PAYPAL ORIG ID:PAYPALSI77 DESC DATE:240122 CO ENTRY DESCR:INST XFER SEC:WEB TRACE#:XXXXXXXX9411867 EED:240122 IND ID:UBER IND NAME:BRAVADO SPICE LL C XX0122PPZ577 TRN: XXXXXX1867 TC</t>
  </si>
  <si>
    <t>ORIG CO NAME:PAYPAL ORIG ID:PAYPALSI77 DESC DATE:240122 CO ENTRY DESCR:INST XFER SEC:WEB TRACE#:XXXXXXXX9415757 EED:240122 IND ID:UBER IND NAME:BRAVADO SPICE LL C XX0122PPZ577 TRN: XXXXXX5757 TC</t>
  </si>
  <si>
    <t>01/23/2024</t>
  </si>
  <si>
    <t>ORIG CO NAME:PAYPAL ORIG ID:PAYPALSI77 DESC DATE:240123 CO ENTRY DESCR:INST XFER SEC:WEB TRACE#:XXXXXXXX0428668 EED:240123 IND ID:UBER IND NAME:BRAVADO SPICE LL C XX0123PPZ975 TRN: XXXXXX8668 TC</t>
  </si>
  <si>
    <t>ORIG CO NAME:PAYPAL ORIG ID:PAYPALSI77 DESC DATE:240123 CO ENTRY DESCR:INST XFER SEC:WEB TRACE#:XXXXXXXX0431502 EED:240123 IND ID:UBER IND NAME:BRAVADO SPICE LL C XX0123PPZ975 TRN: XXXXXX1502 TC</t>
  </si>
  <si>
    <t>ORIG CO NAME:PAYPAL ORIG ID:PAYPALSI77 DESC DATE:240123 CO ENTRY DESCR:INST XFER SEC:WEB TRACE#:XXXXXXXX0435260 EED:240123 IND ID:UBER IND NAME:BRAVADO SPICE LL C XX0123PPZ975 TRN: XXXXXX5260 TC</t>
  </si>
  <si>
    <t>ORIG CO NAME:PAYPAL ORIG ID:PAYPALSI77 DESC DATE:240123 CO ENTRY DESCR:INST XFER SEC:WEB TRACE#:XXXXXXXX0437348 EED:240123 IND ID:UBER IND NAME:BRAVADO SPICE LL C XX0123PPZ975 TRN: XXXXXX7348 TC</t>
  </si>
  <si>
    <t>ORIG CO NAME:PAYPAL ORIG ID:PAYPALSI77 DESC DATE:240123 CO ENTRY DESCR:INST XFER SEC:WEB TRACE#:XXXXXXXX4255586 EED:240123 IND ID:UBER IND NAME:BRAVADO SPICE LL C XX0123PPZ1NR TRN: XXXXXX5586 TC</t>
  </si>
  <si>
    <t>ORIG CO NAME:PAYPAL ORIG ID:PAYPALSI77 DESC DATE:240123 CO ENTRY DESCR:INST XFER SEC:WEB TRACE#:XXXXXXXX4256212 EED:240123 IND ID:UBER IND NAME:BRAVADO SPICE LL C XX0123PPZ1NR TRN: XXXXXX6212 TC</t>
  </si>
  <si>
    <t>ORIG CO NAME:PAYPAL ORIG ID:PAYPALSI77 DESC DATE:240123 CO ENTRY DESCR:INST XFER SEC:WEB TRACE#:XXXXXXXX4260612 EED:240123 IND ID:UBER IND NAME:BRAVADO SPICE LL C XX0123PPZ1NR TRN: XXXXXX0612 TC</t>
  </si>
  <si>
    <t>ORIG CO NAME:PAYPAL ORIG ID:PAYPALSI77 DESC DATE:240123 CO ENTRY DESCR:INST XFER SEC:WEB TRACE#:XXXXXXXX4261908 EED:240123 IND ID:UBER IND NAME:BRAVADO SPICE LL C XX0123PPZ1NR TRN: XXXXXX1908 TC</t>
  </si>
  <si>
    <t>01/24/2024</t>
  </si>
  <si>
    <t>ORIG CO NAME:PAYPAL ORIG ID:PAYPALSI77 DESC DATE:240124 CO ENTRY DESCR:INST XFER SEC:WEB TRACE#:XXXXXXXX8182328 EED:240124 IND ID:UBER IND NAME:BRAVADO SPICE LL C XX0124PPZ60I TRN: XXXXXX2328 TC</t>
  </si>
  <si>
    <t>02/09/2024</t>
  </si>
  <si>
    <t>ORIG CO NAME:PAYPAL ORIG ID:PAYPALSI77 DESC DATE:240201 CO ENTRY DESCR:RETRY PYMTSEC:WEB TRACE#:XXXXXXXX7777499 EED:240209 IND ID:GOOGLE LLC GOOG IND NAME:BRAVA DO SPICE LLC XX0201PPZ15S TRN: XXXXXX7499 TC</t>
  </si>
  <si>
    <t>02/26/2024</t>
  </si>
  <si>
    <t>ORIG CO NAME:PAYPAL ORIG ID:PAYPALMTCU DESC DATE:240225 CO ENTRY DESCR:TRANSFER SEC:WEB TRACE#:XXXXXXXX6262283 EED:240226 IND ID:WAL-MART.COM US IND NAME:BRAVAD O SPICE CO TRANSFER TRN: XXXXXX2283 TC</t>
  </si>
  <si>
    <t>02/27/2024</t>
  </si>
  <si>
    <t>ORIG CO NAME:PAYPAL ORIG ID:PAYPALSI77 DESC DATE:240227 CO ENTRY DESCR:INST XFER SEC:WEB TRACE#:XXXXXXXX3489229 EED:240227 IND ID:EB STARTUP CPG IND NAME:BRAVAD O SPICE LLC XX0227PPZ0BG TRN: XXXXXX9229 TC</t>
  </si>
  <si>
    <t>03/01/2024</t>
  </si>
  <si>
    <t>ORIG CO NAME:PAYPAL ORIG ID:PAYPALSI77 DESC DATE:240301 CO ENTRY DESCR:INST XFER SEC:WEB TRACE#:XXXXXXXX0408343 EED:240301 IND ID:GOOGLE LLC GOOG IND NAME:BRAVA DO SPICE LLC XX0301PPZ0CU TRN: XXXXXX8343 TC</t>
  </si>
  <si>
    <t>Total for 73430 PayPal Fees</t>
  </si>
  <si>
    <t>Faire Fees</t>
  </si>
  <si>
    <t>01/07/2024</t>
  </si>
  <si>
    <t>AJE-100</t>
  </si>
  <si>
    <t>To record Faire Sales ftm of Jan 01 - 07 2024 Processing Fee</t>
  </si>
  <si>
    <t>73000 Overhead Expenses (G&amp;A):73400 Financial Fees:Faire Fees</t>
  </si>
  <si>
    <t>01/14/2024</t>
  </si>
  <si>
    <t>AJE-104</t>
  </si>
  <si>
    <t>To record Faire Sales ftm of Jan 08 - 14  2024 Processing Fee</t>
  </si>
  <si>
    <t>01/21/2024</t>
  </si>
  <si>
    <t>AJE-116</t>
  </si>
  <si>
    <t>To record Faire Sales ftm of Jan 15 - 21  2024  Processing Fee</t>
  </si>
  <si>
    <t>01/28/2024</t>
  </si>
  <si>
    <t>AJE-117</t>
  </si>
  <si>
    <t>To record Faire Sales ftm of Jan 22 - 28  2024 Processing Fee</t>
  </si>
  <si>
    <t>01/31/2024</t>
  </si>
  <si>
    <t>AJE-118</t>
  </si>
  <si>
    <t>To record Faire Sales ftm of Jan 29 -31  2024 Processing Fee</t>
  </si>
  <si>
    <t>02/04/2024</t>
  </si>
  <si>
    <t>AJE-125</t>
  </si>
  <si>
    <t>To record Faire Sales ftm of Feb 01 - 04  2024 Processing Fee</t>
  </si>
  <si>
    <t>02/11/2024</t>
  </si>
  <si>
    <t>AJE-126</t>
  </si>
  <si>
    <t>To record Faire Sales ftm of Feb 05 -11  2024 Processing Fee</t>
  </si>
  <si>
    <t>02/18/2024</t>
  </si>
  <si>
    <t>AJE-129</t>
  </si>
  <si>
    <t>To record Faire Sales ftm of Feb 12 -18  2024  Processing Fee</t>
  </si>
  <si>
    <t>02/25/2024</t>
  </si>
  <si>
    <t>AJE-130</t>
  </si>
  <si>
    <t>To record Faire Sales ftm of Feb 19-25 2024 Processing Fee</t>
  </si>
  <si>
    <t>02/29/2024</t>
  </si>
  <si>
    <t>AJE-132</t>
  </si>
  <si>
    <t>To record Faire Sales ftm of Feb 26 - 29 2024 Processing Fee</t>
  </si>
  <si>
    <t>03/03/2024</t>
  </si>
  <si>
    <t>AJE-133</t>
  </si>
  <si>
    <t>To record Faire Sales ftm of Mar 01 to 03 Processing Fee</t>
  </si>
  <si>
    <t>03/10/2024</t>
  </si>
  <si>
    <t>AJE-136</t>
  </si>
  <si>
    <t>To record Faire Sales ftm of Mar 04 to 10 Processing Fee</t>
  </si>
  <si>
    <t>03/17/2024</t>
  </si>
  <si>
    <t>AJE-137</t>
  </si>
  <si>
    <t>To record Faire Sales ftm of Mar 11 to 17 Processing Fee</t>
  </si>
  <si>
    <t>03/24/2024</t>
  </si>
  <si>
    <t>AJE-142</t>
  </si>
  <si>
    <t>To record Faire Sales ftm of Mar 18 to 24 Processing Fee</t>
  </si>
  <si>
    <t>AJE-156</t>
  </si>
  <si>
    <t>To record Faire Sales ftm of Mar  25 to 31 Processing Fee</t>
  </si>
  <si>
    <t>04/07/2024</t>
  </si>
  <si>
    <t>AJE-160</t>
  </si>
  <si>
    <t>To record Faire Sales ftm of  Apr 01 to 071 Processing Fee</t>
  </si>
  <si>
    <t>04/14/2024</t>
  </si>
  <si>
    <t>AJE-161</t>
  </si>
  <si>
    <t>To record Faire Sales ftm of  Apr 08 to 14 Processing Fee</t>
  </si>
  <si>
    <t>04/21/2024</t>
  </si>
  <si>
    <t>AJE-176</t>
  </si>
  <si>
    <t>To record Faire Sales ftm of  Apr 15 to 21  Processing Fee</t>
  </si>
  <si>
    <t>04/28/2024</t>
  </si>
  <si>
    <t>AJE-179</t>
  </si>
  <si>
    <t>To record Faire Sales ftm of  Apr 22 to 28  Processing Fee</t>
  </si>
  <si>
    <t>04/30/2024</t>
  </si>
  <si>
    <t>AJE-181</t>
  </si>
  <si>
    <t>To record Faire Sales ftm of  Apr 29 to 30  Processing Fee</t>
  </si>
  <si>
    <t>Total for Faire Fees</t>
  </si>
  <si>
    <t>73450 Interest Expense</t>
  </si>
  <si>
    <t>01/10/2024</t>
  </si>
  <si>
    <t>AJE-112</t>
  </si>
  <si>
    <t>To record Interest in Amazon Loan 01.10.24</t>
  </si>
  <si>
    <t>73000 Overhead Expenses (G&amp;A):73400 Financial Fees:73450 Interest Expense</t>
  </si>
  <si>
    <t>01/11/2024</t>
  </si>
  <si>
    <t>01/16/2024</t>
  </si>
  <si>
    <t>AJE-112R</t>
  </si>
  <si>
    <t>01/17/2024</t>
  </si>
  <si>
    <t>ORIG CO NAME:PRIVATEPMTSVCNG ORIG ID:XXXXXX4157 DESC DATE: CO ENTRY DESCR:PPDPAYMENTSEC:PPD TRACE#:XXXXXXXX8742862 EED:240117 IND ID: IND NAME:BRAVADO SPICE LLC TRN: XXXXXX2862 TC</t>
  </si>
  <si>
    <t>AJE-114</t>
  </si>
  <si>
    <t>To record Fees in FundBox Loan as of Jan 17 2024</t>
  </si>
  <si>
    <t>01/25/2024</t>
  </si>
  <si>
    <t>Interest Charge on Purchases XXXX-XXXXXX-X2009</t>
  </si>
  <si>
    <t>American Express</t>
  </si>
  <si>
    <t>Interest Charge on Promotional Balances XXXX-XXXXXX-X2009</t>
  </si>
  <si>
    <t>AJE-120</t>
  </si>
  <si>
    <t>To record Interest Fees in Draw 0016</t>
  </si>
  <si>
    <t>To record Interest Fees in Draw 0017</t>
  </si>
  <si>
    <t>To record Interest Fees in Draw 0018</t>
  </si>
  <si>
    <t>PURCHASE INTEREST CHARGE 1,120.94
JEREMIAH TALLERINE
TRANSACTIONS THIS CYCLE (CARD 5039) $626.06-</t>
  </si>
  <si>
    <t>02/13/2024</t>
  </si>
  <si>
    <t>AJE-147</t>
  </si>
  <si>
    <t>To record Interest in Amazon Loan 02.13.24</t>
  </si>
  <si>
    <t>AJE-148</t>
  </si>
  <si>
    <t>Recording of Amazon Sales for 02.13.24, which directly auto pay in Amazon loan</t>
  </si>
  <si>
    <t>02/14/2024</t>
  </si>
  <si>
    <t>AJE-127</t>
  </si>
  <si>
    <t>To record Fees in FundBox Loan as of Feb 14 2024</t>
  </si>
  <si>
    <t>02/24/2024</t>
  </si>
  <si>
    <t>ORIG CO NAME:PRIVATEPMTSVCNG ORIG ID:XXXXXX4157 DESC DATE: CO ENTRY DESCR:PPDPAYMENTSEC:PPD TRACE#:XXXXXXXX6588969 EED:240226 IND ID: IND NAME:BRAVADO SPICE LLC TRN: XXXXXX8969 TC</t>
  </si>
  <si>
    <t>ORIG CO NAME:PRIVATEPMTSVCNG ORIG ID:XXXXXX4157 DESC DATE: CO ENTRY DESCR:RETRY PYMTSEC:PPD TRACE#:XXXXXXXX4057222 EED:240227 IND ID: IND NAME:BRAVADO SPICE LLC TRN: XXXXXX7222 TC</t>
  </si>
  <si>
    <t>AJE-149</t>
  </si>
  <si>
    <t>Recording of Amazon Sales for 02.27.24, which directly auto pay in Amazon loan</t>
  </si>
  <si>
    <t>AJE-138</t>
  </si>
  <si>
    <t>03/08/2024</t>
  </si>
  <si>
    <t>Late Fee</t>
  </si>
  <si>
    <t>AJE-151</t>
  </si>
  <si>
    <t>To record Interest in Amazon Loan 03.10.24</t>
  </si>
  <si>
    <t>AJE-155</t>
  </si>
  <si>
    <t>Recording of Amazon Sales for 03.10.24, which directly auto pay in Amazon loan</t>
  </si>
  <si>
    <t>03/11/2024</t>
  </si>
  <si>
    <t>03/12/2024</t>
  </si>
  <si>
    <t>AJE-152</t>
  </si>
  <si>
    <t>Recording of Amazon Sales for 03.12.24, which directly auto pay in Amazon loan</t>
  </si>
  <si>
    <t>03/27/2024</t>
  </si>
  <si>
    <t>AJE-144</t>
  </si>
  <si>
    <t>To record Fees in FundBox Loan as of Mar 27 2024</t>
  </si>
  <si>
    <t>03/28/2024</t>
  </si>
  <si>
    <t>AJE-165</t>
  </si>
  <si>
    <t>AJE-168</t>
  </si>
  <si>
    <t>To record Interest Fees in Forward Financing Loan</t>
  </si>
  <si>
    <t>04/01/2024</t>
  </si>
  <si>
    <t>AJE-155R</t>
  </si>
  <si>
    <t>04/10/2024</t>
  </si>
  <si>
    <t>AJE-166</t>
  </si>
  <si>
    <t>Auto-payment from selling account - interest</t>
  </si>
  <si>
    <t>AJE-167</t>
  </si>
  <si>
    <t>Auto-payment from selling account - interest - accrued</t>
  </si>
  <si>
    <t>AJE-167R</t>
  </si>
  <si>
    <t>AJE-197</t>
  </si>
  <si>
    <t>Recording of Amazon Sales for 04.10.24, which directly auto pay in Amazon loan - accrued</t>
  </si>
  <si>
    <t>04/17/2024</t>
  </si>
  <si>
    <t>04/26/2024</t>
  </si>
  <si>
    <t>AJE-185</t>
  </si>
  <si>
    <t>AJE-193</t>
  </si>
  <si>
    <t>Total for 73450 Interest Expense</t>
  </si>
  <si>
    <t>73420 Credit Card Fees</t>
  </si>
  <si>
    <t>02/01/2024</t>
  </si>
  <si>
    <t>ORIG CO NAME:CITI CARD ONLINE ORIG ID:CITICTP DESC DATE:240131 CO ENTRY DESCR:PAYMENT SEC:WEB TRACE#:XXXXXXXX4812363 EED:240201 IND ID:XXXXXXXX2258053 IND NAME: JEREMIAH TALLERINE TRN: XXXXXX2363 TC//Uncat//This is a credit card fee</t>
  </si>
  <si>
    <t>73000 Overhead Expenses (G&amp;A):73400 Financial Fees:73420 Credit Card Fees</t>
  </si>
  <si>
    <t>Citi Autopay</t>
  </si>
  <si>
    <t>ORIG CO NAME:CITI AUTOPAY ORIG ID:CITICARDAP DESC DATE:240403 CO ENTRY DESCR:PAYMENT SEC:WEB TRACE#:XXXXXXXX1411109 EED:240404 IND ID:XXXXXXXX0335448 IND NAME:B RAVADO SPICE LLC TRN: XXXXXX1109 TC//Uncat//CC min payment</t>
  </si>
  <si>
    <t>Total for 73420 Credit Card Fees</t>
  </si>
  <si>
    <t>Late Penalty Fees</t>
  </si>
  <si>
    <t>03/04/2024</t>
  </si>
  <si>
    <t>RDF15824512</t>
  </si>
  <si>
    <t>RDF15824512 RDF2024.P10 Warehouse Support</t>
  </si>
  <si>
    <t>73000 Overhead Expenses (G&amp;A):73400 Financial Fees:Late Penalty Fees</t>
  </si>
  <si>
    <t>Accounts Receivable</t>
  </si>
  <si>
    <t>RDF16072819</t>
  </si>
  <si>
    <t>RDF16072819 RDF2024.P10 Warehouse Support</t>
  </si>
  <si>
    <t>RDF26131533</t>
  </si>
  <si>
    <t>RDF26131533 RDF2024.P10 Warehouse Support</t>
  </si>
  <si>
    <t>FM65660618</t>
  </si>
  <si>
    <t>FM65660618 S-FT0033367</t>
  </si>
  <si>
    <t>Q2818127</t>
  </si>
  <si>
    <t>Q2818127  Out of date credits</t>
  </si>
  <si>
    <t>0342344</t>
  </si>
  <si>
    <t>0342344 0342344</t>
  </si>
  <si>
    <t>04/15/2024</t>
  </si>
  <si>
    <t>RDF15874215</t>
  </si>
  <si>
    <t>RDF15874215 RDF2024.P11 Warehouse Support/ Ready Date Non-Compliance</t>
  </si>
  <si>
    <t>RDF15997925</t>
  </si>
  <si>
    <t>RDF15997925 RDF2024.P11 Warehouse Support/ Ready Date Non-Compliance</t>
  </si>
  <si>
    <t>KP1290225</t>
  </si>
  <si>
    <t>KP1290225  Product Short During Promotion</t>
  </si>
  <si>
    <t>Total for Late Penalty Fees</t>
  </si>
  <si>
    <t>Total for 73400 Financial Fees with sub-accounts</t>
  </si>
  <si>
    <t>Total for 73000 Overhead Expenses (G&amp;A) with sub-accounts</t>
  </si>
  <si>
    <t>Thursday, May 23, 2024 06:51 PM GMTZ</t>
  </si>
  <si>
    <t>Included above</t>
  </si>
  <si>
    <t>Per analysis, software subscriptions</t>
  </si>
  <si>
    <t>Approx $1200/mo CC/misc, see below</t>
  </si>
  <si>
    <t>45% of sales starting June</t>
  </si>
  <si>
    <t>Forecast 2024</t>
  </si>
  <si>
    <t>22nd, 150/mo</t>
  </si>
  <si>
    <t>1115/mo interest, inactive</t>
  </si>
  <si>
    <t>378/day</t>
  </si>
  <si>
    <t>Everest</t>
  </si>
  <si>
    <t>236/day, total 25920</t>
  </si>
  <si>
    <t xml:space="preserve">  Chase 0423 (SW card)</t>
  </si>
  <si>
    <t>2025 by Month</t>
  </si>
  <si>
    <t>Forecast 2024-2025</t>
  </si>
  <si>
    <t>Hugh/Christy</t>
  </si>
  <si>
    <t>2025 Total</t>
  </si>
  <si>
    <t xml:space="preserve">     Ryan (Kristopher)/NEW REP</t>
  </si>
  <si>
    <t>hange to 43</t>
  </si>
  <si>
    <t xml:space="preserve"> (assuming Investment November, 2024)</t>
  </si>
  <si>
    <t>Clark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</si>
</sst>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164" formatCode="#,##0.00\ _€"/>
    <numFmt numFmtId="165" formatCode="&quot;$&quot;* #,##0.00\ _€"/>
    <numFmt numFmtId="166" formatCode="0.0%"/>
    <numFmt numFmtId="167" formatCode="\$* #,##0.00"/>
  </numFmts>
  <fonts count="45"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indexed="8"/>
      <name val="Arial"/>
      <family val="2"/>
    </font>
    <font>
      <b/>
      <sz val="8"/>
      <color indexed="8"/>
      <name val="Arial"/>
      <family val="2"/>
    </font>
    <font>
      <sz val="8"/>
      <color indexed="8"/>
      <name val="Arial"/>
      <family val="2"/>
    </font>
    <font>
      <b/>
      <sz val="14"/>
      <color indexed="8"/>
      <name val="Arial"/>
      <family val="2"/>
    </font>
    <font>
      <b/>
      <sz val="10"/>
      <color indexed="8"/>
      <name val="Arial"/>
      <family val="2"/>
    </font>
    <font>
      <b/>
      <sz val="8"/>
      <color indexed="8"/>
      <name val="Arial"/>
      <family val="2"/>
    </font>
    <font>
      <b/>
      <sz val="9"/>
      <color indexed="8"/>
      <name val="Arial"/>
      <family val="2"/>
    </font>
    <font>
      <sz val="8"/>
      <color indexed="8"/>
      <name val="Arial"/>
      <family val="2"/>
    </font>
    <font>
      <i/>
      <sz val="11"/>
      <color indexed="8"/>
      <name val="Calibri"/>
      <family val="2"/>
      <scheme val="minor"/>
    </font>
    <font>
      <i/>
      <sz val="8"/>
      <color indexed="8"/>
      <name val="Calibri"/>
      <family val="2"/>
      <scheme val="minor"/>
    </font>
    <font>
      <b/>
      <sz val="11"/>
      <color indexed="8"/>
      <name val="Calibri"/>
      <family val="2"/>
      <scheme val="minor"/>
    </font>
    <font>
      <b/>
      <i/>
      <sz val="11"/>
      <color indexed="8"/>
      <name val="Calibri"/>
      <family val="2"/>
      <scheme val="minor"/>
    </font>
    <font>
      <sz val="8"/>
      <name val="Calibri"/>
      <family val="2"/>
      <scheme val="minor"/>
    </font>
    <font>
      <i/>
      <sz val="10"/>
      <color indexed="8"/>
      <name val="Calibri"/>
      <family val="2"/>
      <scheme val="minor"/>
    </font>
    <font>
      <sz val="10"/>
      <color indexed="8"/>
      <name val="Calibri"/>
      <family val="2"/>
      <scheme val="minor"/>
    </font>
    <font>
      <sz val="11"/>
      <color rgb="FFFF0000"/>
      <name val="Calibri"/>
      <family val="2"/>
      <scheme val="minor"/>
    </font>
    <font>
      <b/>
      <sz val="11"/>
      <color rgb="FFFF0000"/>
      <name val="Calibri"/>
      <family val="2"/>
      <scheme val="minor"/>
    </font>
    <font>
      <i/>
      <sz val="11"/>
      <color rgb="FFFF0000"/>
      <name val="Calibri"/>
      <family val="2"/>
      <scheme val="minor"/>
    </font>
    <font>
      <sz val="11"/>
      <name val="Calibri"/>
      <family val="2"/>
      <scheme val="minor"/>
    </font>
    <font>
      <b/>
      <sz val="11"/>
      <name val="Calibri"/>
      <family val="2"/>
      <scheme val="minor"/>
    </font>
    <font>
      <i/>
      <sz val="10"/>
      <name val="Calibri"/>
      <family val="2"/>
      <scheme val="minor"/>
    </font>
    <font>
      <i/>
      <sz val="11"/>
      <name val="Calibri"/>
      <family val="2"/>
      <scheme val="minor"/>
    </font>
    <font>
      <b/>
      <i/>
      <sz val="11"/>
      <name val="Calibri"/>
      <family val="2"/>
      <scheme val="minor"/>
    </font>
    <font>
      <b/>
      <sz val="14"/>
      <color indexed="8"/>
      <name val="Arial"/>
      <family val="2"/>
    </font>
    <font>
      <b/>
      <sz val="10"/>
      <color indexed="8"/>
      <name val="Arial"/>
      <family val="2"/>
    </font>
    <font>
      <b/>
      <i/>
      <sz val="11"/>
      <color rgb="FFFF0000"/>
      <name val="Calibri"/>
      <family val="2"/>
      <scheme val="minor"/>
    </font>
    <font>
      <i/>
      <sz val="11"/>
      <color theme="4"/>
      <name val="Calibri"/>
      <family val="2"/>
      <scheme val="minor"/>
    </font>
    <font>
      <i/>
      <sz val="10"/>
      <color rgb="FFFF0000"/>
      <name val="Calibri"/>
      <family val="2"/>
      <scheme val="minor"/>
    </font>
    <font>
      <vertAlign val="superscript"/>
      <sz val="11"/>
      <color rgb="FF000000"/>
      <name val="Calibri"/>
      <family val="2"/>
      <scheme val="minor"/>
    </font>
    <font>
      <sz val="8"/>
      <color rgb="FFFF0000"/>
      <name val="Arial"/>
      <family val="2"/>
    </font>
    <font>
      <b/>
      <sz val="11"/>
      <color theme="1"/>
      <name val="Calibri"/>
      <family val="2"/>
      <scheme val="minor"/>
    </font>
    <font>
      <i/>
      <sz val="11"/>
      <color theme="1"/>
      <name val="Calibri"/>
      <family val="2"/>
      <scheme val="minor"/>
    </font>
    <font>
      <sz val="12"/>
      <color theme="1"/>
      <name val="Calibri"/>
      <family val="2"/>
      <scheme val="minor"/>
    </font>
    <font>
      <b/>
      <sz val="14"/>
      <color theme="1"/>
      <name val="Arial"/>
      <family val="2"/>
    </font>
    <font>
      <b/>
      <sz val="10"/>
      <color theme="1"/>
      <name val="Arial"/>
      <family val="2"/>
    </font>
    <font>
      <b/>
      <sz val="12"/>
      <color theme="1"/>
      <name val="Calibri"/>
      <family val="2"/>
      <scheme val="minor"/>
    </font>
    <font>
      <b/>
      <sz val="12"/>
      <color theme="1"/>
      <name val="Arial"/>
      <family val="2"/>
    </font>
    <font>
      <sz val="12"/>
      <color theme="1"/>
      <name val="Arial"/>
      <family val="2"/>
    </font>
    <font>
      <sz val="10"/>
      <color theme="1"/>
      <name val="Arial"/>
      <family val="2"/>
    </font>
  </fonts>
  <fills count="7">
    <fill>
      <patternFill patternType="none"/>
    </fill>
    <fill>
      <patternFill patternType="gray125"/>
    </fill>
    <fill>
      <patternFill patternType="solid">
        <fgColor theme="7" tint="0.59996337778862885"/>
        <bgColor indexed="64"/>
      </patternFill>
    </fill>
    <fill>
      <patternFill patternType="solid">
        <fgColor theme="8" tint="0.59996337778862885"/>
        <bgColor indexed="64"/>
      </patternFill>
    </fill>
    <fill>
      <patternFill patternType="solid">
        <fgColor theme="3" tint="0.79998168889431442"/>
        <bgColor indexed="64"/>
      </patternFill>
    </fill>
    <fill>
      <patternFill patternType="solid">
        <fgColor theme="4" tint="0.59996337778862885"/>
        <bgColor indexed="64"/>
      </patternFill>
    </fill>
    <fill>
      <patternFill patternType="solid">
        <fgColor theme="7" tint="0.79998168889431442"/>
        <bgColor indexed="64"/>
      </patternFill>
    </fill>
  </fills>
  <borders count="16">
    <border>
      <left/>
      <right/>
      <top/>
      <bottom/>
      <diagonal/>
    </border>
    <border>
      <left/>
      <right/>
      <top/>
      <bottom style="thin">
        <color auto="1"/>
      </bottom>
      <diagonal/>
    </border>
    <border>
      <left/>
      <right/>
      <top style="thin">
        <color auto="1"/>
      </top>
      <bottom/>
      <diagonal/>
    </border>
    <border>
      <left/>
      <right/>
      <top style="thin">
        <color auto="1"/>
      </top>
      <bottom/>
      <diagonal/>
    </border>
    <border>
      <left/>
      <right/>
      <top style="thin">
        <color auto="1"/>
      </top>
      <bottom style="thin">
        <color indexed="64"/>
      </bottom>
      <diagonal/>
    </border>
    <border>
      <left/>
      <right/>
      <top style="thin">
        <color auto="1"/>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4">
    <xf numFmtId="0" fontId="0" fillId="0" borderId="0"/>
    <xf numFmtId="0" fontId="5" fillId="0" borderId="0"/>
    <xf numFmtId="0" fontId="38" fillId="0" borderId="0"/>
    <xf numFmtId="0" fontId="41" fillId="0" borderId="1"/>
  </cellStyleXfs>
  <cellXfs count="279">
    <xf numFmtId="0" fontId="0" fillId="0" borderId="0" xfId="0"/>
    <xf numFmtId="0" fontId="0" fillId="0" borderId="0" xfId="0" applyAlignment="1">
      <alignment wrapText="1"/>
    </xf>
    <xf numFmtId="0" fontId="6" fillId="0" borderId="1" xfId="0" applyFont="1" applyBorder="1" applyAlignment="1">
      <alignment horizontal="center" wrapText="1"/>
    </xf>
    <xf numFmtId="0" fontId="7" fillId="0" borderId="0" xfId="0" applyFont="1" applyAlignment="1">
      <alignment horizontal="left" wrapText="1"/>
    </xf>
    <xf numFmtId="164" fontId="8" fillId="0" borderId="0" xfId="0" applyNumberFormat="1" applyFont="1" applyAlignment="1">
      <alignment wrapText="1"/>
    </xf>
    <xf numFmtId="164" fontId="8" fillId="0" borderId="0" xfId="0" applyNumberFormat="1" applyFont="1" applyAlignment="1">
      <alignment horizontal="right" wrapText="1"/>
    </xf>
    <xf numFmtId="165" fontId="7" fillId="0" borderId="2" xfId="0" applyNumberFormat="1" applyFont="1" applyBorder="1" applyAlignment="1">
      <alignment horizontal="right" wrapText="1"/>
    </xf>
    <xf numFmtId="165" fontId="7" fillId="0" borderId="3" xfId="0" applyNumberFormat="1" applyFont="1" applyBorder="1" applyAlignment="1">
      <alignment horizontal="right" wrapText="1"/>
    </xf>
    <xf numFmtId="37" fontId="0" fillId="0" borderId="0" xfId="0" applyNumberFormat="1"/>
    <xf numFmtId="37" fontId="0" fillId="0" borderId="1" xfId="0" applyNumberFormat="1" applyBorder="1"/>
    <xf numFmtId="37" fontId="0" fillId="0" borderId="4" xfId="0" applyNumberFormat="1" applyBorder="1"/>
    <xf numFmtId="0" fontId="0" fillId="0" borderId="6" xfId="0" applyBorder="1"/>
    <xf numFmtId="0" fontId="0" fillId="0" borderId="3" xfId="0" applyBorder="1"/>
    <xf numFmtId="37" fontId="0" fillId="0" borderId="3" xfId="0" applyNumberFormat="1" applyBorder="1"/>
    <xf numFmtId="37" fontId="0" fillId="0" borderId="7" xfId="0" applyNumberFormat="1" applyBorder="1"/>
    <xf numFmtId="37" fontId="0" fillId="0" borderId="0" xfId="0" applyNumberFormat="1" applyAlignment="1">
      <alignment horizontal="center"/>
    </xf>
    <xf numFmtId="37" fontId="0" fillId="0" borderId="9" xfId="0" applyNumberFormat="1" applyBorder="1" applyAlignment="1">
      <alignment horizontal="center"/>
    </xf>
    <xf numFmtId="39" fontId="0" fillId="0" borderId="0" xfId="0" applyNumberFormat="1"/>
    <xf numFmtId="39" fontId="0" fillId="0" borderId="9" xfId="0" applyNumberFormat="1" applyBorder="1"/>
    <xf numFmtId="0" fontId="0" fillId="0" borderId="1" xfId="0" applyBorder="1"/>
    <xf numFmtId="39" fontId="0" fillId="0" borderId="1" xfId="0" applyNumberFormat="1" applyBorder="1"/>
    <xf numFmtId="39" fontId="0" fillId="0" borderId="11" xfId="0" applyNumberFormat="1" applyBorder="1"/>
    <xf numFmtId="10" fontId="0" fillId="0" borderId="0" xfId="0" applyNumberFormat="1"/>
    <xf numFmtId="49" fontId="5" fillId="0" borderId="0" xfId="1" applyNumberFormat="1" applyAlignment="1">
      <alignment wrapText="1"/>
    </xf>
    <xf numFmtId="49" fontId="5" fillId="0" borderId="0" xfId="1" applyNumberFormat="1" applyAlignment="1">
      <alignment horizontal="center" wrapText="1"/>
    </xf>
    <xf numFmtId="0" fontId="5" fillId="0" borderId="0" xfId="1" applyAlignment="1">
      <alignment horizontal="center"/>
    </xf>
    <xf numFmtId="0" fontId="5" fillId="0" borderId="0" xfId="1"/>
    <xf numFmtId="37" fontId="5" fillId="0" borderId="0" xfId="1" applyNumberFormat="1"/>
    <xf numFmtId="37" fontId="5" fillId="0" borderId="1" xfId="1" applyNumberFormat="1" applyBorder="1"/>
    <xf numFmtId="37" fontId="5" fillId="0" borderId="0" xfId="1" applyNumberFormat="1" applyAlignment="1">
      <alignment horizontal="center"/>
    </xf>
    <xf numFmtId="7" fontId="5" fillId="0" borderId="0" xfId="1" applyNumberFormat="1"/>
    <xf numFmtId="9" fontId="0" fillId="0" borderId="0" xfId="0" applyNumberFormat="1"/>
    <xf numFmtId="0" fontId="4" fillId="0" borderId="0" xfId="1" applyFont="1"/>
    <xf numFmtId="0" fontId="0" fillId="0" borderId="0" xfId="0" applyAlignment="1">
      <alignment horizontal="center" wrapText="1"/>
    </xf>
    <xf numFmtId="0" fontId="0" fillId="0" borderId="1" xfId="0" applyBorder="1" applyAlignment="1">
      <alignment horizontal="center" wrapText="1"/>
    </xf>
    <xf numFmtId="9" fontId="0" fillId="0" borderId="4" xfId="0" applyNumberFormat="1" applyBorder="1"/>
    <xf numFmtId="0" fontId="12" fillId="0" borderId="0" xfId="0" applyFont="1" applyAlignment="1">
      <alignment horizontal="center" wrapText="1"/>
    </xf>
    <xf numFmtId="0" fontId="12" fillId="0" borderId="1" xfId="0" applyFont="1" applyBorder="1" applyAlignment="1">
      <alignment horizontal="center" wrapText="1"/>
    </xf>
    <xf numFmtId="9" fontId="0" fillId="0" borderId="1" xfId="0" applyNumberFormat="1" applyBorder="1"/>
    <xf numFmtId="0" fontId="14" fillId="0" borderId="0" xfId="0" applyFont="1"/>
    <xf numFmtId="37" fontId="14" fillId="0" borderId="0" xfId="0" applyNumberFormat="1" applyFont="1"/>
    <xf numFmtId="166" fontId="14" fillId="0" borderId="0" xfId="0" applyNumberFormat="1" applyFont="1"/>
    <xf numFmtId="166" fontId="15" fillId="0" borderId="0" xfId="0" applyNumberFormat="1" applyFont="1"/>
    <xf numFmtId="166" fontId="14" fillId="0" borderId="1" xfId="0" applyNumberFormat="1" applyFont="1" applyBorder="1"/>
    <xf numFmtId="165" fontId="7" fillId="0" borderId="0" xfId="0" applyNumberFormat="1" applyFont="1" applyAlignment="1">
      <alignment horizontal="right" wrapText="1"/>
    </xf>
    <xf numFmtId="0" fontId="16" fillId="0" borderId="0" xfId="0" applyFont="1"/>
    <xf numFmtId="37" fontId="16" fillId="0" borderId="4" xfId="0" applyNumberFormat="1" applyFont="1" applyBorder="1"/>
    <xf numFmtId="166" fontId="17" fillId="0" borderId="1" xfId="0" applyNumberFormat="1" applyFont="1" applyBorder="1"/>
    <xf numFmtId="37" fontId="16" fillId="0" borderId="1" xfId="0" applyNumberFormat="1" applyFont="1" applyBorder="1"/>
    <xf numFmtId="37" fontId="16" fillId="0" borderId="0" xfId="0" applyNumberFormat="1" applyFont="1"/>
    <xf numFmtId="166" fontId="17" fillId="0" borderId="4" xfId="0" applyNumberFormat="1" applyFont="1" applyBorder="1"/>
    <xf numFmtId="166" fontId="17" fillId="0" borderId="0" xfId="0" applyNumberFormat="1" applyFont="1"/>
    <xf numFmtId="37" fontId="16" fillId="0" borderId="5" xfId="0" applyNumberFormat="1" applyFont="1" applyBorder="1"/>
    <xf numFmtId="9" fontId="16" fillId="0" borderId="0" xfId="0" applyNumberFormat="1" applyFont="1"/>
    <xf numFmtId="0" fontId="0" fillId="0" borderId="7" xfId="0" applyBorder="1"/>
    <xf numFmtId="0" fontId="0" fillId="0" borderId="10" xfId="0" applyBorder="1" applyAlignment="1">
      <alignment horizontal="center" wrapText="1"/>
    </xf>
    <xf numFmtId="0" fontId="0" fillId="0" borderId="11" xfId="0" applyBorder="1" applyAlignment="1">
      <alignment horizontal="center" wrapText="1"/>
    </xf>
    <xf numFmtId="37" fontId="0" fillId="0" borderId="8" xfId="0" applyNumberFormat="1" applyBorder="1"/>
    <xf numFmtId="0" fontId="0" fillId="0" borderId="9" xfId="0" applyBorder="1"/>
    <xf numFmtId="37" fontId="0" fillId="0" borderId="9" xfId="0" applyNumberFormat="1" applyBorder="1"/>
    <xf numFmtId="37" fontId="0" fillId="0" borderId="10" xfId="0" applyNumberFormat="1" applyBorder="1"/>
    <xf numFmtId="37" fontId="0" fillId="0" borderId="11" xfId="0" applyNumberFormat="1" applyBorder="1"/>
    <xf numFmtId="37" fontId="0" fillId="0" borderId="12" xfId="0" applyNumberFormat="1" applyBorder="1"/>
    <xf numFmtId="37" fontId="0" fillId="0" borderId="13" xfId="0" applyNumberFormat="1" applyBorder="1"/>
    <xf numFmtId="37" fontId="16" fillId="0" borderId="8" xfId="0" applyNumberFormat="1" applyFont="1" applyBorder="1"/>
    <xf numFmtId="37" fontId="16" fillId="0" borderId="9" xfId="0" applyNumberFormat="1" applyFont="1" applyBorder="1"/>
    <xf numFmtId="9" fontId="0" fillId="0" borderId="8" xfId="0" applyNumberFormat="1" applyBorder="1"/>
    <xf numFmtId="9" fontId="0" fillId="0" borderId="9" xfId="0" applyNumberFormat="1" applyBorder="1"/>
    <xf numFmtId="0" fontId="16" fillId="0" borderId="0" xfId="0" applyFont="1" applyAlignment="1">
      <alignment horizontal="center"/>
    </xf>
    <xf numFmtId="166" fontId="17" fillId="0" borderId="0" xfId="0" applyNumberFormat="1" applyFont="1" applyAlignment="1">
      <alignment horizontal="center"/>
    </xf>
    <xf numFmtId="10" fontId="0" fillId="0" borderId="14" xfId="0" applyNumberFormat="1" applyBorder="1"/>
    <xf numFmtId="0" fontId="3" fillId="0" borderId="0" xfId="1" applyFont="1"/>
    <xf numFmtId="0" fontId="16" fillId="2" borderId="0" xfId="0" applyFont="1" applyFill="1"/>
    <xf numFmtId="0" fontId="16" fillId="2" borderId="0" xfId="0" applyFont="1" applyFill="1" applyAlignment="1">
      <alignment horizontal="center"/>
    </xf>
    <xf numFmtId="0" fontId="0" fillId="2" borderId="0" xfId="0" applyFill="1"/>
    <xf numFmtId="37" fontId="0" fillId="2" borderId="0" xfId="0" applyNumberFormat="1" applyFill="1"/>
    <xf numFmtId="37" fontId="16" fillId="2" borderId="0" xfId="0" applyNumberFormat="1" applyFont="1" applyFill="1"/>
    <xf numFmtId="37" fontId="16" fillId="2" borderId="4" xfId="0" applyNumberFormat="1" applyFont="1" applyFill="1" applyBorder="1"/>
    <xf numFmtId="37" fontId="0" fillId="2" borderId="1" xfId="0" applyNumberFormat="1" applyFill="1" applyBorder="1"/>
    <xf numFmtId="37" fontId="16" fillId="0" borderId="15" xfId="0" applyNumberFormat="1" applyFont="1" applyBorder="1"/>
    <xf numFmtId="39" fontId="8" fillId="0" borderId="0" xfId="0" applyNumberFormat="1" applyFont="1" applyAlignment="1">
      <alignment horizontal="right" wrapText="1"/>
    </xf>
    <xf numFmtId="39" fontId="15" fillId="0" borderId="0" xfId="0" applyNumberFormat="1" applyFont="1"/>
    <xf numFmtId="39" fontId="8" fillId="0" borderId="0" xfId="0" applyNumberFormat="1" applyFont="1" applyAlignment="1">
      <alignment wrapText="1"/>
    </xf>
    <xf numFmtId="39" fontId="8" fillId="0" borderId="1" xfId="0" applyNumberFormat="1" applyFont="1" applyBorder="1" applyAlignment="1">
      <alignment horizontal="right" wrapText="1"/>
    </xf>
    <xf numFmtId="39" fontId="7" fillId="0" borderId="2" xfId="0" applyNumberFormat="1" applyFont="1" applyBorder="1" applyAlignment="1">
      <alignment horizontal="right" wrapText="1"/>
    </xf>
    <xf numFmtId="39" fontId="11" fillId="0" borderId="0" xfId="0" applyNumberFormat="1" applyFont="1" applyAlignment="1">
      <alignment horizontal="right" wrapText="1"/>
    </xf>
    <xf numFmtId="39" fontId="8" fillId="0" borderId="1" xfId="0" applyNumberFormat="1" applyFont="1" applyBorder="1" applyAlignment="1">
      <alignment wrapText="1"/>
    </xf>
    <xf numFmtId="39" fontId="8" fillId="0" borderId="4" xfId="0" applyNumberFormat="1" applyFont="1" applyBorder="1" applyAlignment="1">
      <alignment horizontal="right" wrapText="1"/>
    </xf>
    <xf numFmtId="39" fontId="13" fillId="0" borderId="0" xfId="0" applyNumberFormat="1" applyFont="1" applyAlignment="1">
      <alignment horizontal="right" wrapText="1"/>
    </xf>
    <xf numFmtId="39" fontId="15" fillId="0" borderId="1" xfId="0" applyNumberFormat="1" applyFont="1" applyBorder="1"/>
    <xf numFmtId="39" fontId="15" fillId="0" borderId="3" xfId="0" applyNumberFormat="1" applyFont="1" applyBorder="1"/>
    <xf numFmtId="39" fontId="7" fillId="0" borderId="0" xfId="0" applyNumberFormat="1" applyFont="1" applyAlignment="1">
      <alignment horizontal="right" wrapText="1"/>
    </xf>
    <xf numFmtId="39" fontId="7" fillId="0" borderId="3" xfId="0" applyNumberFormat="1" applyFont="1" applyBorder="1" applyAlignment="1">
      <alignment horizontal="right" wrapText="1"/>
    </xf>
    <xf numFmtId="49" fontId="2" fillId="0" borderId="0" xfId="1" applyNumberFormat="1" applyFont="1" applyAlignment="1">
      <alignment horizontal="center" wrapText="1"/>
    </xf>
    <xf numFmtId="37" fontId="2" fillId="0" borderId="0" xfId="1" applyNumberFormat="1" applyFont="1" applyAlignment="1">
      <alignment horizontal="center"/>
    </xf>
    <xf numFmtId="0" fontId="0" fillId="0" borderId="0" xfId="0" applyAlignment="1">
      <alignment horizontal="center"/>
    </xf>
    <xf numFmtId="37" fontId="0" fillId="0" borderId="5" xfId="0" applyNumberFormat="1" applyBorder="1"/>
    <xf numFmtId="37" fontId="0" fillId="0" borderId="15" xfId="0" applyNumberFormat="1" applyBorder="1"/>
    <xf numFmtId="166" fontId="19" fillId="0" borderId="0" xfId="0" applyNumberFormat="1" applyFont="1" applyAlignment="1">
      <alignment horizontal="center"/>
    </xf>
    <xf numFmtId="166" fontId="19" fillId="0" borderId="0" xfId="0" applyNumberFormat="1" applyFont="1"/>
    <xf numFmtId="166" fontId="19" fillId="0" borderId="1" xfId="0" applyNumberFormat="1" applyFont="1" applyBorder="1"/>
    <xf numFmtId="166" fontId="19" fillId="0" borderId="4" xfId="0" applyNumberFormat="1" applyFont="1" applyBorder="1"/>
    <xf numFmtId="166" fontId="19" fillId="0" borderId="15" xfId="0" applyNumberFormat="1" applyFont="1" applyBorder="1"/>
    <xf numFmtId="0" fontId="20" fillId="0" borderId="0" xfId="0" applyFont="1" applyAlignment="1">
      <alignment horizontal="center"/>
    </xf>
    <xf numFmtId="0" fontId="21" fillId="0" borderId="0" xfId="0" applyFont="1"/>
    <xf numFmtId="0" fontId="23" fillId="0" borderId="0" xfId="0" applyFont="1"/>
    <xf numFmtId="166" fontId="14" fillId="0" borderId="4" xfId="0" applyNumberFormat="1" applyFont="1" applyBorder="1"/>
    <xf numFmtId="166" fontId="17" fillId="0" borderId="5" xfId="0" applyNumberFormat="1" applyFont="1" applyBorder="1"/>
    <xf numFmtId="0" fontId="24" fillId="0" borderId="0" xfId="0" applyFont="1"/>
    <xf numFmtId="0" fontId="25" fillId="0" borderId="0" xfId="0" applyFont="1" applyAlignment="1">
      <alignment horizontal="center"/>
    </xf>
    <xf numFmtId="0" fontId="16" fillId="3" borderId="0" xfId="0" applyFont="1" applyFill="1"/>
    <xf numFmtId="0" fontId="16" fillId="3" borderId="0" xfId="0" applyFont="1" applyFill="1" applyAlignment="1">
      <alignment horizontal="center"/>
    </xf>
    <xf numFmtId="0" fontId="0" fillId="3" borderId="0" xfId="0" applyFill="1"/>
    <xf numFmtId="37" fontId="0" fillId="3" borderId="0" xfId="0" applyNumberFormat="1" applyFill="1"/>
    <xf numFmtId="37" fontId="16" fillId="3" borderId="1" xfId="0" applyNumberFormat="1" applyFont="1" applyFill="1" applyBorder="1"/>
    <xf numFmtId="37" fontId="16" fillId="3" borderId="4" xfId="0" applyNumberFormat="1" applyFont="1" applyFill="1" applyBorder="1"/>
    <xf numFmtId="37" fontId="0" fillId="3" borderId="1" xfId="0" applyNumberFormat="1" applyFill="1" applyBorder="1"/>
    <xf numFmtId="37" fontId="16" fillId="3" borderId="0" xfId="0" applyNumberFormat="1" applyFont="1" applyFill="1"/>
    <xf numFmtId="37" fontId="16" fillId="3" borderId="15" xfId="0" applyNumberFormat="1" applyFont="1" applyFill="1" applyBorder="1"/>
    <xf numFmtId="10" fontId="0" fillId="3" borderId="0" xfId="0" applyNumberFormat="1" applyFill="1"/>
    <xf numFmtId="0" fontId="24" fillId="0" borderId="1" xfId="0" applyFont="1" applyBorder="1" applyAlignment="1">
      <alignment horizontal="center" wrapText="1"/>
    </xf>
    <xf numFmtId="37" fontId="24" fillId="0" borderId="0" xfId="0" applyNumberFormat="1" applyFont="1"/>
    <xf numFmtId="37" fontId="24" fillId="0" borderId="1" xfId="0" applyNumberFormat="1" applyFont="1" applyBorder="1"/>
    <xf numFmtId="37" fontId="24" fillId="0" borderId="4" xfId="0" applyNumberFormat="1" applyFont="1" applyBorder="1"/>
    <xf numFmtId="37" fontId="25" fillId="0" borderId="0" xfId="0" applyNumberFormat="1" applyFont="1"/>
    <xf numFmtId="9" fontId="24" fillId="0" borderId="0" xfId="0" applyNumberFormat="1" applyFont="1"/>
    <xf numFmtId="37" fontId="25" fillId="0" borderId="1" xfId="0" applyNumberFormat="1" applyFont="1" applyBorder="1"/>
    <xf numFmtId="37" fontId="25" fillId="0" borderId="4" xfId="0" applyNumberFormat="1" applyFont="1" applyBorder="1"/>
    <xf numFmtId="166" fontId="26" fillId="0" borderId="0" xfId="0" applyNumberFormat="1" applyFont="1"/>
    <xf numFmtId="0" fontId="24" fillId="0" borderId="1" xfId="0" applyFont="1" applyBorder="1"/>
    <xf numFmtId="37" fontId="25" fillId="0" borderId="15" xfId="0" applyNumberFormat="1" applyFont="1" applyBorder="1"/>
    <xf numFmtId="0" fontId="24" fillId="0" borderId="11" xfId="0" applyFont="1" applyBorder="1" applyAlignment="1">
      <alignment horizontal="center" wrapText="1"/>
    </xf>
    <xf numFmtId="0" fontId="24" fillId="0" borderId="10" xfId="0" applyFont="1" applyBorder="1" applyAlignment="1">
      <alignment horizontal="center" wrapText="1"/>
    </xf>
    <xf numFmtId="0" fontId="24" fillId="0" borderId="0" xfId="0" applyFont="1" applyAlignment="1">
      <alignment horizontal="center" wrapText="1"/>
    </xf>
    <xf numFmtId="0" fontId="24" fillId="0" borderId="9" xfId="0" applyFont="1" applyBorder="1"/>
    <xf numFmtId="37" fontId="24" fillId="0" borderId="9" xfId="0" applyNumberFormat="1" applyFont="1" applyBorder="1"/>
    <xf numFmtId="37" fontId="24" fillId="0" borderId="13" xfId="0" applyNumberFormat="1" applyFont="1" applyBorder="1"/>
    <xf numFmtId="37" fontId="24" fillId="0" borderId="11" xfId="0" applyNumberFormat="1" applyFont="1" applyBorder="1"/>
    <xf numFmtId="37" fontId="25" fillId="0" borderId="9" xfId="0" applyNumberFormat="1" applyFont="1" applyBorder="1"/>
    <xf numFmtId="0" fontId="25" fillId="0" borderId="0" xfId="0" applyFont="1"/>
    <xf numFmtId="0" fontId="27" fillId="0" borderId="0" xfId="0" applyFont="1"/>
    <xf numFmtId="166" fontId="28" fillId="0" borderId="0" xfId="0" applyNumberFormat="1" applyFont="1"/>
    <xf numFmtId="166" fontId="28" fillId="0" borderId="0" xfId="0" applyNumberFormat="1" applyFont="1" applyAlignment="1">
      <alignment horizontal="center"/>
    </xf>
    <xf numFmtId="166" fontId="27" fillId="0" borderId="0" xfId="0" applyNumberFormat="1" applyFont="1"/>
    <xf numFmtId="166" fontId="27" fillId="0" borderId="1" xfId="0" applyNumberFormat="1" applyFont="1" applyBorder="1"/>
    <xf numFmtId="166" fontId="28" fillId="0" borderId="4" xfId="0" applyNumberFormat="1" applyFont="1" applyBorder="1"/>
    <xf numFmtId="10" fontId="24" fillId="0" borderId="0" xfId="0" applyNumberFormat="1" applyFont="1"/>
    <xf numFmtId="0" fontId="0" fillId="4" borderId="0" xfId="0" applyFill="1"/>
    <xf numFmtId="0" fontId="0" fillId="4" borderId="0" xfId="0" applyFill="1" applyAlignment="1">
      <alignment horizontal="center" wrapText="1"/>
    </xf>
    <xf numFmtId="0" fontId="16" fillId="4" borderId="0" xfId="0" applyFont="1" applyFill="1"/>
    <xf numFmtId="0" fontId="14" fillId="4" borderId="0" xfId="0" applyFont="1" applyFill="1"/>
    <xf numFmtId="0" fontId="16" fillId="0" borderId="6" xfId="0" applyFont="1" applyBorder="1"/>
    <xf numFmtId="0" fontId="16" fillId="0" borderId="8" xfId="0" applyFont="1" applyBorder="1"/>
    <xf numFmtId="0" fontId="24" fillId="0" borderId="8" xfId="0" applyFont="1" applyBorder="1"/>
    <xf numFmtId="0" fontId="16" fillId="0" borderId="10" xfId="0" applyFont="1" applyBorder="1"/>
    <xf numFmtId="0" fontId="14" fillId="2" borderId="0" xfId="0" applyFont="1" applyFill="1"/>
    <xf numFmtId="0" fontId="14" fillId="3" borderId="0" xfId="0" applyFont="1" applyFill="1"/>
    <xf numFmtId="37" fontId="27" fillId="0" borderId="0" xfId="0" applyNumberFormat="1" applyFont="1"/>
    <xf numFmtId="5" fontId="27" fillId="0" borderId="0" xfId="0" applyNumberFormat="1" applyFont="1"/>
    <xf numFmtId="37" fontId="14" fillId="2" borderId="0" xfId="0" applyNumberFormat="1" applyFont="1" applyFill="1"/>
    <xf numFmtId="37" fontId="14" fillId="3" borderId="0" xfId="0" applyNumberFormat="1" applyFont="1" applyFill="1"/>
    <xf numFmtId="0" fontId="0" fillId="5" borderId="0" xfId="0" applyFill="1"/>
    <xf numFmtId="0" fontId="0" fillId="5" borderId="0" xfId="0" applyFill="1" applyAlignment="1">
      <alignment horizontal="center" wrapText="1"/>
    </xf>
    <xf numFmtId="0" fontId="16" fillId="5" borderId="0" xfId="0" applyFont="1" applyFill="1"/>
    <xf numFmtId="0" fontId="14" fillId="5" borderId="0" xfId="0" applyFont="1" applyFill="1"/>
    <xf numFmtId="0" fontId="0" fillId="0" borderId="4" xfId="0" applyBorder="1"/>
    <xf numFmtId="0" fontId="16" fillId="0" borderId="5" xfId="0" applyFont="1" applyBorder="1"/>
    <xf numFmtId="0" fontId="11" fillId="0" borderId="0" xfId="0" applyFont="1" applyAlignment="1">
      <alignment horizontal="left" wrapText="1"/>
    </xf>
    <xf numFmtId="0" fontId="13" fillId="0" borderId="0" xfId="0" applyFont="1" applyAlignment="1">
      <alignment horizontal="left" wrapText="1"/>
    </xf>
    <xf numFmtId="164" fontId="13" fillId="0" borderId="0" xfId="0" applyNumberFormat="1" applyFont="1" applyAlignment="1">
      <alignment horizontal="right" wrapText="1"/>
    </xf>
    <xf numFmtId="0" fontId="13" fillId="0" borderId="0" xfId="0" quotePrefix="1" applyFont="1" applyAlignment="1">
      <alignment horizontal="left" wrapText="1"/>
    </xf>
    <xf numFmtId="165" fontId="11" fillId="0" borderId="3" xfId="0" applyNumberFormat="1" applyFont="1" applyBorder="1" applyAlignment="1">
      <alignment horizontal="right" wrapText="1"/>
    </xf>
    <xf numFmtId="164" fontId="0" fillId="0" borderId="0" xfId="0" applyNumberFormat="1"/>
    <xf numFmtId="37" fontId="22" fillId="0" borderId="1" xfId="0" applyNumberFormat="1" applyFont="1" applyBorder="1"/>
    <xf numFmtId="166" fontId="31" fillId="0" borderId="1" xfId="0" applyNumberFormat="1" applyFont="1" applyBorder="1"/>
    <xf numFmtId="166" fontId="23" fillId="0" borderId="0" xfId="0" applyNumberFormat="1" applyFont="1"/>
    <xf numFmtId="37" fontId="23" fillId="0" borderId="0" xfId="0" applyNumberFormat="1" applyFont="1"/>
    <xf numFmtId="5" fontId="23" fillId="0" borderId="0" xfId="0" applyNumberFormat="1" applyFont="1"/>
    <xf numFmtId="37" fontId="21" fillId="0" borderId="0" xfId="0" applyNumberFormat="1" applyFont="1"/>
    <xf numFmtId="0" fontId="23" fillId="2" borderId="0" xfId="0" applyFont="1" applyFill="1"/>
    <xf numFmtId="0" fontId="23" fillId="3" borderId="0" xfId="0" applyFont="1" applyFill="1"/>
    <xf numFmtId="37" fontId="23" fillId="0" borderId="1" xfId="0" applyNumberFormat="1" applyFont="1" applyBorder="1"/>
    <xf numFmtId="37" fontId="23" fillId="0" borderId="5" xfId="0" applyNumberFormat="1" applyFont="1" applyBorder="1"/>
    <xf numFmtId="37" fontId="32" fillId="0" borderId="0" xfId="0" applyNumberFormat="1" applyFont="1"/>
    <xf numFmtId="4" fontId="32" fillId="0" borderId="0" xfId="0" applyNumberFormat="1" applyFont="1"/>
    <xf numFmtId="0" fontId="32" fillId="0" borderId="0" xfId="0" applyFont="1"/>
    <xf numFmtId="0" fontId="25" fillId="3" borderId="0" xfId="0" applyFont="1" applyFill="1" applyAlignment="1">
      <alignment horizontal="center"/>
    </xf>
    <xf numFmtId="0" fontId="24" fillId="3" borderId="0" xfId="0" applyFont="1" applyFill="1"/>
    <xf numFmtId="37" fontId="24" fillId="3" borderId="0" xfId="0" applyNumberFormat="1" applyFont="1" applyFill="1"/>
    <xf numFmtId="37" fontId="24" fillId="3" borderId="1" xfId="0" applyNumberFormat="1" applyFont="1" applyFill="1" applyBorder="1"/>
    <xf numFmtId="37" fontId="22" fillId="3" borderId="1" xfId="0" applyNumberFormat="1" applyFont="1" applyFill="1" applyBorder="1"/>
    <xf numFmtId="37" fontId="25" fillId="3" borderId="4" xfId="0" applyNumberFormat="1" applyFont="1" applyFill="1" applyBorder="1"/>
    <xf numFmtId="166" fontId="26" fillId="3" borderId="0" xfId="0" applyNumberFormat="1" applyFont="1" applyFill="1"/>
    <xf numFmtId="37" fontId="27" fillId="3" borderId="0" xfId="0" applyNumberFormat="1" applyFont="1" applyFill="1"/>
    <xf numFmtId="37" fontId="23" fillId="3" borderId="0" xfId="0" applyNumberFormat="1" applyFont="1" applyFill="1"/>
    <xf numFmtId="37" fontId="21" fillId="3" borderId="0" xfId="0" applyNumberFormat="1" applyFont="1" applyFill="1"/>
    <xf numFmtId="37" fontId="25" fillId="3" borderId="0" xfId="0" applyNumberFormat="1" applyFont="1" applyFill="1"/>
    <xf numFmtId="37" fontId="25" fillId="3" borderId="1" xfId="0" applyNumberFormat="1" applyFont="1" applyFill="1" applyBorder="1"/>
    <xf numFmtId="10" fontId="24" fillId="3" borderId="0" xfId="0" applyNumberFormat="1" applyFont="1" applyFill="1"/>
    <xf numFmtId="37" fontId="25" fillId="3" borderId="15" xfId="0" applyNumberFormat="1" applyFont="1" applyFill="1" applyBorder="1"/>
    <xf numFmtId="37" fontId="33" fillId="0" borderId="0" xfId="0" applyNumberFormat="1" applyFont="1"/>
    <xf numFmtId="37" fontId="21" fillId="0" borderId="1" xfId="0" applyNumberFormat="1" applyFont="1" applyBorder="1"/>
    <xf numFmtId="0" fontId="34" fillId="0" borderId="0" xfId="0" applyFont="1"/>
    <xf numFmtId="164" fontId="35" fillId="0" borderId="0" xfId="0" applyNumberFormat="1" applyFont="1" applyAlignment="1">
      <alignment horizontal="right" wrapText="1"/>
    </xf>
    <xf numFmtId="4" fontId="0" fillId="0" borderId="0" xfId="0" applyNumberFormat="1"/>
    <xf numFmtId="37" fontId="24" fillId="3" borderId="4" xfId="0" applyNumberFormat="1" applyFont="1" applyFill="1" applyBorder="1"/>
    <xf numFmtId="16" fontId="25" fillId="0" borderId="0" xfId="0" applyNumberFormat="1" applyFont="1" applyAlignment="1">
      <alignment horizontal="center"/>
    </xf>
    <xf numFmtId="0" fontId="22" fillId="0" borderId="0" xfId="0" applyFont="1"/>
    <xf numFmtId="16" fontId="22" fillId="0" borderId="0" xfId="0" applyNumberFormat="1" applyFont="1" applyAlignment="1">
      <alignment horizontal="center"/>
    </xf>
    <xf numFmtId="37" fontId="22" fillId="0" borderId="0" xfId="0" applyNumberFormat="1" applyFont="1"/>
    <xf numFmtId="37" fontId="22" fillId="0" borderId="4" xfId="0" applyNumberFormat="1" applyFont="1" applyBorder="1"/>
    <xf numFmtId="37" fontId="22" fillId="0" borderId="15" xfId="0" applyNumberFormat="1" applyFont="1" applyBorder="1"/>
    <xf numFmtId="49" fontId="27" fillId="3" borderId="0" xfId="0" applyNumberFormat="1" applyFont="1" applyFill="1"/>
    <xf numFmtId="49" fontId="24" fillId="3" borderId="0" xfId="0" applyNumberFormat="1" applyFont="1" applyFill="1"/>
    <xf numFmtId="49" fontId="22" fillId="3" borderId="1" xfId="0" applyNumberFormat="1" applyFont="1" applyFill="1" applyBorder="1"/>
    <xf numFmtId="49" fontId="22" fillId="3" borderId="0" xfId="0" applyNumberFormat="1" applyFont="1" applyFill="1"/>
    <xf numFmtId="37" fontId="36" fillId="0" borderId="1" xfId="0" applyNumberFormat="1" applyFont="1" applyBorder="1"/>
    <xf numFmtId="37" fontId="1" fillId="0" borderId="0" xfId="0" applyNumberFormat="1" applyFont="1"/>
    <xf numFmtId="37" fontId="1" fillId="0" borderId="1" xfId="0" applyNumberFormat="1" applyFont="1" applyBorder="1"/>
    <xf numFmtId="0" fontId="1" fillId="0" borderId="0" xfId="0" applyFont="1"/>
    <xf numFmtId="37" fontId="37" fillId="0" borderId="0" xfId="0" applyNumberFormat="1" applyFont="1"/>
    <xf numFmtId="0" fontId="36" fillId="0" borderId="0" xfId="0" applyFont="1"/>
    <xf numFmtId="16" fontId="36" fillId="0" borderId="0" xfId="0" applyNumberFormat="1" applyFont="1" applyAlignment="1">
      <alignment horizontal="center"/>
    </xf>
    <xf numFmtId="37" fontId="36" fillId="0" borderId="0" xfId="0" applyNumberFormat="1" applyFont="1"/>
    <xf numFmtId="37" fontId="36" fillId="0" borderId="4" xfId="0" applyNumberFormat="1" applyFont="1" applyBorder="1"/>
    <xf numFmtId="37" fontId="36" fillId="0" borderId="15" xfId="0" applyNumberFormat="1" applyFont="1" applyBorder="1"/>
    <xf numFmtId="0" fontId="22" fillId="0" borderId="0" xfId="0" applyFont="1" applyAlignment="1">
      <alignment horizontal="center"/>
    </xf>
    <xf numFmtId="49" fontId="23" fillId="3" borderId="0" xfId="0" applyNumberFormat="1" applyFont="1" applyFill="1"/>
    <xf numFmtId="0" fontId="16" fillId="6" borderId="0" xfId="0" applyFont="1" applyFill="1" applyAlignment="1">
      <alignment horizontal="center"/>
    </xf>
    <xf numFmtId="0" fontId="0" fillId="6" borderId="0" xfId="0" applyFill="1"/>
    <xf numFmtId="37" fontId="0" fillId="6" borderId="0" xfId="0" applyNumberFormat="1" applyFill="1"/>
    <xf numFmtId="37" fontId="0" fillId="6" borderId="1" xfId="0" applyNumberFormat="1" applyFill="1" applyBorder="1"/>
    <xf numFmtId="37" fontId="16" fillId="6" borderId="1" xfId="0" applyNumberFormat="1" applyFont="1" applyFill="1" applyBorder="1"/>
    <xf numFmtId="37" fontId="16" fillId="6" borderId="4" xfId="0" applyNumberFormat="1" applyFont="1" applyFill="1" applyBorder="1"/>
    <xf numFmtId="37" fontId="14" fillId="6" borderId="0" xfId="0" applyNumberFormat="1" applyFont="1" applyFill="1"/>
    <xf numFmtId="37" fontId="16" fillId="6" borderId="0" xfId="0" applyNumberFormat="1" applyFont="1" applyFill="1"/>
    <xf numFmtId="166" fontId="26" fillId="6" borderId="0" xfId="0" applyNumberFormat="1" applyFont="1" applyFill="1"/>
    <xf numFmtId="0" fontId="38" fillId="0" borderId="0" xfId="2"/>
    <xf numFmtId="0" fontId="42" fillId="0" borderId="1" xfId="3" applyFont="1" applyAlignment="1">
      <alignment horizontal="center"/>
    </xf>
    <xf numFmtId="0" fontId="42" fillId="0" borderId="0" xfId="2" applyFont="1" applyAlignment="1">
      <alignment horizontal="left"/>
    </xf>
    <xf numFmtId="0" fontId="42" fillId="0" borderId="0" xfId="2" applyFont="1" applyAlignment="1">
      <alignment horizontal="left" indent="1"/>
    </xf>
    <xf numFmtId="0" fontId="42" fillId="0" borderId="0" xfId="2" applyFont="1" applyAlignment="1">
      <alignment horizontal="left" indent="2"/>
    </xf>
    <xf numFmtId="0" fontId="43" fillId="0" borderId="0" xfId="2" applyFont="1"/>
    <xf numFmtId="4" fontId="43" fillId="0" borderId="0" xfId="2" applyNumberFormat="1" applyFont="1"/>
    <xf numFmtId="167" fontId="42" fillId="0" borderId="3" xfId="2" applyNumberFormat="1" applyFont="1" applyBorder="1"/>
    <xf numFmtId="4" fontId="38" fillId="0" borderId="0" xfId="2" applyNumberFormat="1"/>
    <xf numFmtId="166" fontId="23" fillId="0" borderId="1" xfId="0" applyNumberFormat="1" applyFont="1" applyBorder="1"/>
    <xf numFmtId="166" fontId="31" fillId="0" borderId="4" xfId="0" applyNumberFormat="1" applyFont="1" applyBorder="1"/>
    <xf numFmtId="166" fontId="31" fillId="0" borderId="0" xfId="0" applyNumberFormat="1" applyFont="1"/>
    <xf numFmtId="37" fontId="22" fillId="3" borderId="0" xfId="0" applyNumberFormat="1" applyFont="1" applyFill="1"/>
    <xf numFmtId="166" fontId="33" fillId="0" borderId="0" xfId="0" applyNumberFormat="1" applyFont="1"/>
    <xf numFmtId="37" fontId="21" fillId="0" borderId="4" xfId="0" applyNumberFormat="1" applyFont="1" applyBorder="1"/>
    <xf numFmtId="10" fontId="21" fillId="0" borderId="0" xfId="0" applyNumberFormat="1" applyFont="1"/>
    <xf numFmtId="0" fontId="0" fillId="0" borderId="0" xfId="0" applyAlignment="1">
      <alignment horizontal="center"/>
    </xf>
    <xf numFmtId="0" fontId="14" fillId="0" borderId="0" xfId="0" applyFont="1" applyAlignment="1">
      <alignment horizontal="center"/>
    </xf>
    <xf numFmtId="0" fontId="16" fillId="0" borderId="0" xfId="0" applyFont="1" applyAlignment="1">
      <alignment horizontal="center"/>
    </xf>
    <xf numFmtId="0" fontId="31" fillId="0" borderId="0" xfId="0" applyFont="1" applyAlignment="1">
      <alignment horizontal="center"/>
    </xf>
    <xf numFmtId="0" fontId="22" fillId="0" borderId="0" xfId="0" applyFont="1" applyAlignment="1">
      <alignment horizontal="center"/>
    </xf>
    <xf numFmtId="0" fontId="28" fillId="0" borderId="0" xfId="0" applyFont="1" applyAlignment="1">
      <alignment horizontal="center"/>
    </xf>
    <xf numFmtId="0" fontId="25" fillId="0" borderId="0" xfId="0" applyFont="1" applyAlignment="1">
      <alignment horizontal="center"/>
    </xf>
    <xf numFmtId="0" fontId="36" fillId="0" borderId="0" xfId="0" applyFont="1" applyAlignment="1">
      <alignment horizontal="center"/>
    </xf>
    <xf numFmtId="0" fontId="0" fillId="0" borderId="8" xfId="0" applyBorder="1" applyAlignment="1">
      <alignment horizontal="center"/>
    </xf>
    <xf numFmtId="0" fontId="0" fillId="0" borderId="9" xfId="0" applyBorder="1" applyAlignment="1">
      <alignment horizontal="center"/>
    </xf>
    <xf numFmtId="0" fontId="29" fillId="0" borderId="0" xfId="0" applyFont="1" applyAlignment="1">
      <alignment horizontal="center"/>
    </xf>
    <xf numFmtId="0" fontId="0" fillId="0" borderId="0" xfId="0"/>
    <xf numFmtId="0" fontId="30" fillId="0" borderId="0" xfId="0" applyFont="1" applyAlignment="1">
      <alignment horizontal="center"/>
    </xf>
    <xf numFmtId="0" fontId="13" fillId="0" borderId="0" xfId="0" applyFont="1" applyAlignment="1">
      <alignment horizontal="center"/>
    </xf>
    <xf numFmtId="0" fontId="39" fillId="0" borderId="0" xfId="2" applyFont="1" applyAlignment="1">
      <alignment horizontal="center"/>
    </xf>
    <xf numFmtId="0" fontId="38" fillId="0" borderId="0" xfId="2"/>
    <xf numFmtId="0" fontId="40" fillId="0" borderId="0" xfId="2" applyFont="1" applyAlignment="1">
      <alignment horizontal="center"/>
    </xf>
    <xf numFmtId="0" fontId="44" fillId="0" borderId="0" xfId="2" applyFont="1" applyAlignment="1">
      <alignment horizontal="center"/>
    </xf>
    <xf numFmtId="0" fontId="24" fillId="0" borderId="8" xfId="0" applyFont="1" applyBorder="1" applyAlignment="1">
      <alignment horizontal="center"/>
    </xf>
    <xf numFmtId="0" fontId="24" fillId="0" borderId="0" xfId="0" applyFont="1" applyAlignment="1">
      <alignment horizontal="center"/>
    </xf>
    <xf numFmtId="49" fontId="3" fillId="0" borderId="0" xfId="1" applyNumberFormat="1" applyFont="1" applyAlignment="1">
      <alignment horizontal="center" wrapText="1"/>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0" fontId="0" fillId="0" borderId="0" xfId="0" applyAlignment="1">
      <alignment wrapText="1"/>
    </xf>
  </cellXfs>
  <cellStyles count="4">
    <cellStyle name="HeaderCellStyle" xfId="3" xr:uid="{42E2BBDC-01B4-4AD6-804A-CEA26A742889}"/>
    <cellStyle name="Normal" xfId="0" builtinId="0"/>
    <cellStyle name="Normal 2" xfId="1" xr:uid="{98B0846B-DB3F-4B0B-8E75-AF9C149133B5}"/>
    <cellStyle name="Normal 3" xfId="2" xr:uid="{252EDDA6-7A40-41B2-B160-7E0F13F527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9187e96f9a85847/Clark%20%5e0%20Assoc/Bravado/Forecast%20Updated%208.11.23.xlsx" TargetMode="External"/><Relationship Id="rId1" Type="http://schemas.openxmlformats.org/officeDocument/2006/relationships/externalLinkPath" Target="/59187e96f9a85847/Clark%20%5e0%20Assoc/Bravado/Forecast%20Updated%208.11.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Presentation BS"/>
      <sheetName val="Bank Presentation IS"/>
      <sheetName val="IS v PY"/>
      <sheetName val="Summary"/>
      <sheetName val="Sales by Segment"/>
      <sheetName val="Payroll"/>
      <sheetName val="QB"/>
      <sheetName val="Balance Sheet"/>
    </sheetNames>
    <sheetDataSet>
      <sheetData sheetId="0"/>
      <sheetData sheetId="1"/>
      <sheetData sheetId="2"/>
      <sheetData sheetId="3"/>
      <sheetData sheetId="4"/>
      <sheetData sheetId="5"/>
      <sheetData sheetId="6">
        <row r="45">
          <cell r="Q45">
            <v>600403.69000000006</v>
          </cell>
          <cell r="R45">
            <v>427185.57000000007</v>
          </cell>
          <cell r="S45">
            <v>537430.42999999993</v>
          </cell>
          <cell r="T45">
            <v>760973.67</v>
          </cell>
        </row>
      </sheetData>
      <sheetData sheetId="7"/>
    </sheetDataSet>
  </externalBook>
</externalLink>
</file>

<file path=xl/persons/person.xml><?xml version="1.0" encoding="utf-8"?>
<personList xmlns="http://schemas.microsoft.com/office/spreadsheetml/2018/threadedcomments" xmlns:x="http://schemas.openxmlformats.org/spreadsheetml/2006/main">
  <person displayName="mark clark" id="{CB434747-AF37-42D0-971B-69F8CC669722}" userId="59187e96f9a85847"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O73" dT="2024-08-02T19:44:16.59" personId="{CB434747-AF37-42D0-971B-69F8CC669722}" id="{FE226627-4D15-476D-AC3B-7F1EDFD3F80B}">
    <text>Ink card writeoff</text>
  </threadedComment>
</ThreadedComments>
</file>

<file path=xl/threadedComments/threadedComment2.xml><?xml version="1.0" encoding="utf-8"?>
<ThreadedComments xmlns="http://schemas.microsoft.com/office/spreadsheetml/2018/threadedcomments" xmlns:x="http://schemas.openxmlformats.org/spreadsheetml/2006/main">
  <threadedComment ref="AI73" dT="2024-08-02T19:44:16.59" personId="{CB434747-AF37-42D0-971B-69F8CC669722}" id="{8F72AC3F-B213-4F76-90C4-0A0D2F1C3B7E}">
    <text>Ink card writeoff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CE4C-DB81-44D4-9AFA-2EB5D62CFCE6}">
  <dimension ref="A1:F76"/>
  <sheetViews>
    <sheetView workbookViewId="0">
      <selection sqref="A1:XFD2"/>
    </sheetView>
  </sheetViews>
  <sheetFormatPr defaultColWidth="8.85546875" defaultRowHeight="15" x14ac:dyDescent="0.25"/>
  <cols>
    <col min="1" max="1" width="2.85546875" customWidth="1"/>
    <col min="2" max="2" width="41.28515625" customWidth="1"/>
    <col min="3" max="4" width="12.7109375" customWidth="1"/>
  </cols>
  <sheetData>
    <row r="1" spans="1:4" x14ac:dyDescent="0.25">
      <c r="A1" s="253" t="s">
        <v>435</v>
      </c>
      <c r="B1" s="253"/>
      <c r="C1" s="253"/>
      <c r="D1" s="253"/>
    </row>
    <row r="2" spans="1:4" x14ac:dyDescent="0.25">
      <c r="A2" s="253" t="s">
        <v>414</v>
      </c>
      <c r="B2" s="253"/>
      <c r="C2" s="253"/>
      <c r="D2" s="253"/>
    </row>
    <row r="4" spans="1:4" x14ac:dyDescent="0.25">
      <c r="C4" s="253" t="s">
        <v>418</v>
      </c>
      <c r="D4" s="253"/>
    </row>
    <row r="5" spans="1:4" x14ac:dyDescent="0.25">
      <c r="C5" s="95">
        <v>2022</v>
      </c>
      <c r="D5" s="95">
        <v>2021</v>
      </c>
    </row>
    <row r="6" spans="1:4" x14ac:dyDescent="0.25">
      <c r="A6" s="253" t="s">
        <v>415</v>
      </c>
      <c r="B6" s="253"/>
    </row>
    <row r="7" spans="1:4" x14ac:dyDescent="0.25">
      <c r="A7" t="s">
        <v>416</v>
      </c>
    </row>
    <row r="8" spans="1:4" x14ac:dyDescent="0.25">
      <c r="B8" t="s">
        <v>417</v>
      </c>
      <c r="C8" s="8">
        <f>'Balance Sheet'!B15</f>
        <v>49122.45</v>
      </c>
      <c r="D8" s="8">
        <f>'Balance Sheet'!C15</f>
        <v>97922.049999999988</v>
      </c>
    </row>
    <row r="9" spans="1:4" x14ac:dyDescent="0.25">
      <c r="B9" t="s">
        <v>419</v>
      </c>
      <c r="C9" s="8">
        <f>'Balance Sheet'!B18</f>
        <v>176485.4</v>
      </c>
      <c r="D9" s="8">
        <f>'Balance Sheet'!C18</f>
        <v>158704.13</v>
      </c>
    </row>
    <row r="10" spans="1:4" x14ac:dyDescent="0.25">
      <c r="B10" t="s">
        <v>420</v>
      </c>
      <c r="C10" s="8">
        <f>'Balance Sheet'!B27</f>
        <v>390898.41000000003</v>
      </c>
      <c r="D10" s="8">
        <f>'Balance Sheet'!C27</f>
        <v>313525.59999999998</v>
      </c>
    </row>
    <row r="11" spans="1:4" x14ac:dyDescent="0.25">
      <c r="B11" t="s">
        <v>154</v>
      </c>
      <c r="C11" s="9">
        <f>'Balance Sheet'!B20+'Balance Sheet'!B29+'Balance Sheet'!B30+'Balance Sheet'!B31</f>
        <v>40490.520000000004</v>
      </c>
      <c r="D11" s="9">
        <f>'Balance Sheet'!C29+'Balance Sheet'!C31</f>
        <v>27482.35</v>
      </c>
    </row>
    <row r="12" spans="1:4" x14ac:dyDescent="0.25">
      <c r="B12" t="s">
        <v>421</v>
      </c>
      <c r="C12" s="10">
        <f>SUM(C8:C11)</f>
        <v>656996.78</v>
      </c>
      <c r="D12" s="10">
        <f>SUM(D8:D11)</f>
        <v>597634.13</v>
      </c>
    </row>
    <row r="13" spans="1:4" x14ac:dyDescent="0.25">
      <c r="C13" s="8"/>
      <c r="D13" s="8"/>
    </row>
    <row r="14" spans="1:4" x14ac:dyDescent="0.25">
      <c r="A14" t="s">
        <v>422</v>
      </c>
      <c r="C14" s="8"/>
      <c r="D14" s="8"/>
    </row>
    <row r="15" spans="1:4" x14ac:dyDescent="0.25">
      <c r="B15" t="s">
        <v>423</v>
      </c>
      <c r="C15" s="8">
        <f>'Balance Sheet'!B35</f>
        <v>14069.56</v>
      </c>
      <c r="D15" s="8">
        <f>'Balance Sheet'!C35</f>
        <v>14069.56</v>
      </c>
    </row>
    <row r="16" spans="1:4" x14ac:dyDescent="0.25">
      <c r="B16" t="s">
        <v>424</v>
      </c>
      <c r="C16" s="8">
        <f>'Balance Sheet'!B36+'Balance Sheet'!B37+'Balance Sheet'!B38</f>
        <v>85655.92</v>
      </c>
      <c r="D16" s="8">
        <f>'Balance Sheet'!C36+'Balance Sheet'!C37+'Balance Sheet'!C38</f>
        <v>85655.92</v>
      </c>
    </row>
    <row r="17" spans="1:4" x14ac:dyDescent="0.25">
      <c r="B17" t="s">
        <v>425</v>
      </c>
      <c r="C17" s="9">
        <f>'Balance Sheet'!B39</f>
        <v>-99725.48</v>
      </c>
      <c r="D17" s="9">
        <f>'Balance Sheet'!C39</f>
        <v>-99725.48</v>
      </c>
    </row>
    <row r="18" spans="1:4" x14ac:dyDescent="0.25">
      <c r="B18" t="s">
        <v>427</v>
      </c>
      <c r="C18" s="10">
        <f>SUM(C15:C17)</f>
        <v>0</v>
      </c>
      <c r="D18" s="10"/>
    </row>
    <row r="19" spans="1:4" x14ac:dyDescent="0.25">
      <c r="C19" s="8"/>
      <c r="D19" s="8"/>
    </row>
    <row r="20" spans="1:4" x14ac:dyDescent="0.25">
      <c r="A20" t="s">
        <v>426</v>
      </c>
      <c r="C20" s="9">
        <f>'Balance Sheet'!B43</f>
        <v>8799.4</v>
      </c>
      <c r="D20" s="9">
        <f>'Balance Sheet'!C42</f>
        <v>8799.4</v>
      </c>
    </row>
    <row r="21" spans="1:4" ht="15.75" thickBot="1" x14ac:dyDescent="0.3">
      <c r="B21" t="s">
        <v>428</v>
      </c>
      <c r="C21" s="96">
        <f>C12+C18+C20</f>
        <v>665796.18000000005</v>
      </c>
      <c r="D21" s="96">
        <f>D12+D18+D20</f>
        <v>606433.53</v>
      </c>
    </row>
    <row r="22" spans="1:4" ht="15.75" thickTop="1" x14ac:dyDescent="0.25">
      <c r="C22" s="8"/>
      <c r="D22" s="8"/>
    </row>
    <row r="23" spans="1:4" x14ac:dyDescent="0.25">
      <c r="A23" s="253" t="s">
        <v>429</v>
      </c>
      <c r="B23" s="253"/>
      <c r="C23" s="8"/>
      <c r="D23" s="8"/>
    </row>
    <row r="24" spans="1:4" x14ac:dyDescent="0.25">
      <c r="A24" t="s">
        <v>430</v>
      </c>
      <c r="C24" s="8"/>
      <c r="D24" s="8"/>
    </row>
    <row r="25" spans="1:4" x14ac:dyDescent="0.25">
      <c r="B25" t="s">
        <v>431</v>
      </c>
      <c r="C25" s="8">
        <f>'Balance Sheet'!B50</f>
        <v>109115.57</v>
      </c>
      <c r="D25" s="8">
        <f>'Balance Sheet'!C50</f>
        <v>190713.27</v>
      </c>
    </row>
    <row r="26" spans="1:4" x14ac:dyDescent="0.25">
      <c r="B26" t="s">
        <v>432</v>
      </c>
      <c r="C26" s="8">
        <f>'Balance Sheet'!B62</f>
        <v>115930.38999999998</v>
      </c>
      <c r="D26" s="8">
        <f>'Balance Sheet'!C62</f>
        <v>66219.899999999994</v>
      </c>
    </row>
    <row r="27" spans="1:4" x14ac:dyDescent="0.25">
      <c r="B27" t="s">
        <v>433</v>
      </c>
      <c r="C27" s="8">
        <f>'Balance Sheet'!B69</f>
        <v>113361.74</v>
      </c>
      <c r="D27" s="8">
        <f>'Balance Sheet'!C69</f>
        <v>0</v>
      </c>
    </row>
    <row r="28" spans="1:4" x14ac:dyDescent="0.25">
      <c r="B28" t="s">
        <v>154</v>
      </c>
      <c r="C28" s="9">
        <f>'Balance Sheet'!B71+'Balance Sheet'!B73</f>
        <v>9714</v>
      </c>
      <c r="D28" s="9">
        <f>'Balance Sheet'!C71+'Balance Sheet'!C73</f>
        <v>15330.8</v>
      </c>
    </row>
    <row r="29" spans="1:4" x14ac:dyDescent="0.25">
      <c r="B29" t="s">
        <v>439</v>
      </c>
      <c r="C29" s="10">
        <f>SUM(C25:C28)</f>
        <v>348121.7</v>
      </c>
      <c r="D29" s="10">
        <f>SUM(D25:D28)</f>
        <v>272263.96999999997</v>
      </c>
    </row>
    <row r="30" spans="1:4" x14ac:dyDescent="0.25">
      <c r="C30" s="8"/>
      <c r="D30" s="8"/>
    </row>
    <row r="31" spans="1:4" x14ac:dyDescent="0.25">
      <c r="A31" t="s">
        <v>434</v>
      </c>
      <c r="C31" s="9">
        <f>'Balance Sheet'!B85</f>
        <v>152599.60999999999</v>
      </c>
      <c r="D31" s="9">
        <f>'Balance Sheet'!C85</f>
        <v>105749.99</v>
      </c>
    </row>
    <row r="32" spans="1:4" x14ac:dyDescent="0.25">
      <c r="C32" s="8"/>
      <c r="D32" s="8"/>
    </row>
    <row r="33" spans="1:6" x14ac:dyDescent="0.25">
      <c r="A33" t="s">
        <v>436</v>
      </c>
      <c r="C33" s="8"/>
      <c r="D33" s="8"/>
    </row>
    <row r="34" spans="1:6" x14ac:dyDescent="0.25">
      <c r="B34" t="s">
        <v>437</v>
      </c>
      <c r="C34" s="8">
        <f>'Balance Sheet'!B88+'Balance Sheet'!B90+'Balance Sheet'!B91</f>
        <v>-57246.070000000007</v>
      </c>
      <c r="D34" s="8">
        <f>'Balance Sheet'!C88+'Balance Sheet'!C90+'Balance Sheet'!C91</f>
        <v>-14443.04</v>
      </c>
    </row>
    <row r="35" spans="1:6" x14ac:dyDescent="0.25">
      <c r="B35" t="s">
        <v>438</v>
      </c>
      <c r="C35" s="9">
        <f>'Balance Sheet'!B89+'Balance Sheet'!B92</f>
        <v>222320.94</v>
      </c>
      <c r="D35" s="9">
        <f>'Balance Sheet'!C89+'Balance Sheet'!C92</f>
        <v>242862.61000000002</v>
      </c>
      <c r="F35" s="8"/>
    </row>
    <row r="36" spans="1:6" x14ac:dyDescent="0.25">
      <c r="B36" t="s">
        <v>440</v>
      </c>
      <c r="C36" s="10">
        <f>SUM(C34:C35)</f>
        <v>165074.87</v>
      </c>
      <c r="D36" s="10">
        <f>SUM(D34:D35)</f>
        <v>228419.57</v>
      </c>
    </row>
    <row r="37" spans="1:6" ht="15.75" thickBot="1" x14ac:dyDescent="0.3">
      <c r="B37" t="s">
        <v>441</v>
      </c>
      <c r="C37" s="96">
        <f>C29+C31+C36</f>
        <v>665796.17999999993</v>
      </c>
      <c r="D37" s="96">
        <f>D29+D31+D36</f>
        <v>606433.53</v>
      </c>
    </row>
    <row r="38" spans="1:6" ht="15.75" thickTop="1" x14ac:dyDescent="0.25">
      <c r="C38" s="8"/>
      <c r="D38" s="8"/>
    </row>
    <row r="39" spans="1:6" x14ac:dyDescent="0.25">
      <c r="C39" s="8"/>
      <c r="D39" s="8"/>
    </row>
    <row r="40" spans="1:6" x14ac:dyDescent="0.25">
      <c r="C40" s="8"/>
      <c r="D40" s="8"/>
    </row>
    <row r="41" spans="1:6" x14ac:dyDescent="0.25">
      <c r="C41" s="8"/>
      <c r="D41" s="8"/>
    </row>
    <row r="42" spans="1:6" x14ac:dyDescent="0.25">
      <c r="C42" s="8"/>
      <c r="D42" s="8"/>
    </row>
    <row r="43" spans="1:6" x14ac:dyDescent="0.25">
      <c r="C43" s="8"/>
      <c r="D43" s="8"/>
    </row>
    <row r="44" spans="1:6" x14ac:dyDescent="0.25">
      <c r="C44" s="8"/>
      <c r="D44" s="8"/>
    </row>
    <row r="45" spans="1:6" x14ac:dyDescent="0.25">
      <c r="C45" s="8"/>
      <c r="D45" s="8"/>
    </row>
    <row r="46" spans="1:6" x14ac:dyDescent="0.25">
      <c r="C46" s="8"/>
      <c r="D46" s="8"/>
    </row>
    <row r="47" spans="1:6" x14ac:dyDescent="0.25">
      <c r="C47" s="8"/>
      <c r="D47" s="8"/>
    </row>
    <row r="48" spans="1:6" x14ac:dyDescent="0.25">
      <c r="C48" s="8"/>
      <c r="D48" s="8"/>
    </row>
    <row r="49" spans="3:4" x14ac:dyDescent="0.25">
      <c r="C49" s="8"/>
      <c r="D49" s="8"/>
    </row>
    <row r="50" spans="3:4" x14ac:dyDescent="0.25">
      <c r="C50" s="8"/>
      <c r="D50" s="8"/>
    </row>
    <row r="51" spans="3:4" x14ac:dyDescent="0.25">
      <c r="C51" s="8"/>
      <c r="D51" s="8"/>
    </row>
    <row r="52" spans="3:4" x14ac:dyDescent="0.25">
      <c r="C52" s="8"/>
      <c r="D52" s="8"/>
    </row>
    <row r="53" spans="3:4" x14ac:dyDescent="0.25">
      <c r="C53" s="8"/>
      <c r="D53" s="8"/>
    </row>
    <row r="54" spans="3:4" x14ac:dyDescent="0.25">
      <c r="C54" s="8"/>
      <c r="D54" s="8"/>
    </row>
    <row r="55" spans="3:4" x14ac:dyDescent="0.25">
      <c r="C55" s="8"/>
      <c r="D55" s="8"/>
    </row>
    <row r="56" spans="3:4" x14ac:dyDescent="0.25">
      <c r="C56" s="8"/>
      <c r="D56" s="8"/>
    </row>
    <row r="57" spans="3:4" x14ac:dyDescent="0.25">
      <c r="C57" s="8"/>
      <c r="D57" s="8"/>
    </row>
    <row r="58" spans="3:4" x14ac:dyDescent="0.25">
      <c r="C58" s="8"/>
      <c r="D58" s="8"/>
    </row>
    <row r="59" spans="3:4" x14ac:dyDescent="0.25">
      <c r="C59" s="8"/>
      <c r="D59" s="8"/>
    </row>
    <row r="60" spans="3:4" x14ac:dyDescent="0.25">
      <c r="C60" s="8"/>
      <c r="D60" s="8"/>
    </row>
    <row r="61" spans="3:4" x14ac:dyDescent="0.25">
      <c r="C61" s="8"/>
      <c r="D61" s="8"/>
    </row>
    <row r="62" spans="3:4" x14ac:dyDescent="0.25">
      <c r="C62" s="8"/>
      <c r="D62" s="8"/>
    </row>
    <row r="63" spans="3:4" x14ac:dyDescent="0.25">
      <c r="C63" s="8"/>
      <c r="D63" s="8"/>
    </row>
    <row r="64" spans="3:4" x14ac:dyDescent="0.25">
      <c r="C64" s="8"/>
      <c r="D64" s="8"/>
    </row>
    <row r="65" spans="3:4" x14ac:dyDescent="0.25">
      <c r="C65" s="8"/>
      <c r="D65" s="8"/>
    </row>
    <row r="66" spans="3:4" x14ac:dyDescent="0.25">
      <c r="C66" s="8"/>
      <c r="D66" s="8"/>
    </row>
    <row r="67" spans="3:4" x14ac:dyDescent="0.25">
      <c r="C67" s="8"/>
      <c r="D67" s="8"/>
    </row>
    <row r="68" spans="3:4" x14ac:dyDescent="0.25">
      <c r="C68" s="8"/>
      <c r="D68" s="8"/>
    </row>
    <row r="69" spans="3:4" x14ac:dyDescent="0.25">
      <c r="C69" s="8"/>
      <c r="D69" s="8"/>
    </row>
    <row r="70" spans="3:4" x14ac:dyDescent="0.25">
      <c r="C70" s="8"/>
      <c r="D70" s="8"/>
    </row>
    <row r="71" spans="3:4" x14ac:dyDescent="0.25">
      <c r="C71" s="8"/>
      <c r="D71" s="8"/>
    </row>
    <row r="72" spans="3:4" x14ac:dyDescent="0.25">
      <c r="C72" s="8"/>
      <c r="D72" s="8"/>
    </row>
    <row r="73" spans="3:4" x14ac:dyDescent="0.25">
      <c r="C73" s="8"/>
      <c r="D73" s="8"/>
    </row>
    <row r="74" spans="3:4" x14ac:dyDescent="0.25">
      <c r="C74" s="8"/>
      <c r="D74" s="8"/>
    </row>
    <row r="75" spans="3:4" x14ac:dyDescent="0.25">
      <c r="C75" s="8"/>
      <c r="D75" s="8"/>
    </row>
    <row r="76" spans="3:4" x14ac:dyDescent="0.25">
      <c r="C76" s="8"/>
      <c r="D76" s="8"/>
    </row>
  </sheetData>
  <mergeCells count="5">
    <mergeCell ref="A6:B6"/>
    <mergeCell ref="C4:D4"/>
    <mergeCell ref="A23:B23"/>
    <mergeCell ref="A1:D1"/>
    <mergeCell ref="A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B456-F37C-4FA1-A9FE-838D89B085D2}">
  <dimension ref="A1:J35"/>
  <sheetViews>
    <sheetView topLeftCell="A10" workbookViewId="0">
      <selection activeCell="B39" sqref="B39"/>
    </sheetView>
  </sheetViews>
  <sheetFormatPr defaultColWidth="8.85546875" defaultRowHeight="15" x14ac:dyDescent="0.25"/>
  <cols>
    <col min="1" max="1" width="3" customWidth="1"/>
    <col min="2" max="2" width="36.42578125" customWidth="1"/>
    <col min="3" max="3" width="9.85546875" customWidth="1"/>
    <col min="4" max="4" width="8.42578125" style="99" customWidth="1"/>
    <col min="5" max="5" width="9.85546875" bestFit="1" customWidth="1"/>
    <col min="6" max="6" width="8.42578125" style="99" customWidth="1"/>
    <col min="7" max="7" width="9.85546875" bestFit="1" customWidth="1"/>
    <col min="8" max="8" width="8.42578125" style="99" customWidth="1"/>
    <col min="9" max="9" width="9.85546875" bestFit="1" customWidth="1"/>
    <col min="10" max="10" width="8.42578125" style="99" customWidth="1"/>
  </cols>
  <sheetData>
    <row r="1" spans="1:10" x14ac:dyDescent="0.25">
      <c r="A1" s="253" t="s">
        <v>435</v>
      </c>
      <c r="B1" s="253"/>
      <c r="C1" s="253"/>
      <c r="D1" s="253"/>
      <c r="E1" s="253"/>
      <c r="F1" s="103"/>
      <c r="H1" s="103"/>
      <c r="J1" s="103"/>
    </row>
    <row r="2" spans="1:10" x14ac:dyDescent="0.25">
      <c r="A2" s="253" t="s">
        <v>414</v>
      </c>
      <c r="B2" s="253"/>
      <c r="C2" s="253"/>
      <c r="D2" s="253"/>
      <c r="E2" s="253"/>
      <c r="F2" s="103"/>
      <c r="H2" s="103"/>
      <c r="J2" s="103"/>
    </row>
    <row r="3" spans="1:10" x14ac:dyDescent="0.25">
      <c r="A3" s="95"/>
      <c r="B3" s="95"/>
      <c r="C3" s="95"/>
      <c r="D3" s="98"/>
      <c r="E3" s="95"/>
      <c r="F3" s="98"/>
      <c r="H3" s="98"/>
      <c r="J3" s="98"/>
    </row>
    <row r="4" spans="1:10" x14ac:dyDescent="0.25">
      <c r="A4" s="95"/>
      <c r="B4" s="95"/>
      <c r="C4" s="254" t="s">
        <v>448</v>
      </c>
      <c r="D4" s="254"/>
      <c r="E4" s="254"/>
      <c r="F4" s="254"/>
      <c r="G4" s="254" t="s">
        <v>449</v>
      </c>
      <c r="H4" s="254"/>
      <c r="I4" s="254" t="s">
        <v>450</v>
      </c>
      <c r="J4" s="254"/>
    </row>
    <row r="5" spans="1:10" x14ac:dyDescent="0.25">
      <c r="C5" s="253" t="s">
        <v>442</v>
      </c>
      <c r="D5" s="253"/>
      <c r="E5" s="253"/>
      <c r="F5" s="253"/>
      <c r="G5" s="253"/>
      <c r="H5" s="253"/>
      <c r="I5" s="253"/>
      <c r="J5" s="253"/>
    </row>
    <row r="6" spans="1:10" s="95" customFormat="1" x14ac:dyDescent="0.25">
      <c r="C6" s="95">
        <v>2020</v>
      </c>
      <c r="D6" s="98"/>
      <c r="E6" s="95">
        <v>2021</v>
      </c>
      <c r="F6" s="98"/>
      <c r="G6" s="95">
        <v>2022</v>
      </c>
      <c r="H6" s="98"/>
      <c r="I6" s="95">
        <v>2023</v>
      </c>
      <c r="J6" s="98"/>
    </row>
    <row r="8" spans="1:10" x14ac:dyDescent="0.25">
      <c r="A8" t="s">
        <v>149</v>
      </c>
      <c r="C8" s="8">
        <f>'2024 Monthly'!E14</f>
        <v>2169255.14</v>
      </c>
      <c r="D8" s="99">
        <f>C8/C$8</f>
        <v>1</v>
      </c>
      <c r="E8" s="8">
        <f>'2024 Monthly'!G14</f>
        <v>2201897.0099999998</v>
      </c>
      <c r="F8" s="99">
        <f>E8/E$8</f>
        <v>1</v>
      </c>
      <c r="G8" s="8">
        <f>'2024 Monthly'!M14</f>
        <v>2325993.3600000003</v>
      </c>
      <c r="H8" s="99">
        <f>G8/G$8</f>
        <v>1</v>
      </c>
      <c r="I8" s="8">
        <f>'2024 Monthly'!T14</f>
        <v>3130981.4780000001</v>
      </c>
      <c r="J8" s="99">
        <f>I8/I$8</f>
        <v>1</v>
      </c>
    </row>
    <row r="9" spans="1:10" x14ac:dyDescent="0.25">
      <c r="C9" s="8"/>
      <c r="E9" s="8"/>
      <c r="G9" s="8"/>
      <c r="I9" s="8"/>
    </row>
    <row r="10" spans="1:10" x14ac:dyDescent="0.25">
      <c r="A10" t="s">
        <v>56</v>
      </c>
      <c r="C10" s="9">
        <f>'2024 Monthly'!E23</f>
        <v>1214762.5900000001</v>
      </c>
      <c r="D10" s="100">
        <f>C10/C$8</f>
        <v>0.55999064729656467</v>
      </c>
      <c r="E10" s="9">
        <f>'2024 Monthly'!G23</f>
        <v>1468052.7100000002</v>
      </c>
      <c r="F10" s="100">
        <f>E10/E$8</f>
        <v>0.66672178731919907</v>
      </c>
      <c r="G10" s="9">
        <f>'2024 Monthly'!M23</f>
        <v>1311764.3899999999</v>
      </c>
      <c r="H10" s="100">
        <f>G10/G$8</f>
        <v>0.56395878533376365</v>
      </c>
      <c r="I10" s="9">
        <f>'2024 Monthly'!T23</f>
        <v>1732402.9480000001</v>
      </c>
      <c r="J10" s="100">
        <f>I10/I$8</f>
        <v>0.55330986790334502</v>
      </c>
    </row>
    <row r="11" spans="1:10" x14ac:dyDescent="0.25">
      <c r="A11" t="s">
        <v>191</v>
      </c>
      <c r="C11" s="10">
        <f>C8-C10</f>
        <v>954492.55</v>
      </c>
      <c r="D11" s="101">
        <f>C11/C$8</f>
        <v>0.44000935270343533</v>
      </c>
      <c r="E11" s="10">
        <f>E8-E10</f>
        <v>733844.29999999958</v>
      </c>
      <c r="F11" s="101">
        <f>E11/E$8</f>
        <v>0.33327821268080093</v>
      </c>
      <c r="G11" s="10">
        <f>G8-G10</f>
        <v>1014228.9700000004</v>
      </c>
      <c r="H11" s="101">
        <f>G11/G$8</f>
        <v>0.4360412146662363</v>
      </c>
      <c r="I11" s="10">
        <f>I8-I10</f>
        <v>1398578.53</v>
      </c>
      <c r="J11" s="101">
        <f>I11/I$8</f>
        <v>0.44669013209665498</v>
      </c>
    </row>
    <row r="12" spans="1:10" x14ac:dyDescent="0.25">
      <c r="A12" t="s">
        <v>443</v>
      </c>
    </row>
    <row r="13" spans="1:10" x14ac:dyDescent="0.25">
      <c r="B13" t="s">
        <v>158</v>
      </c>
      <c r="C13" s="8">
        <f>'2024 Monthly'!E42</f>
        <v>302985.14</v>
      </c>
      <c r="D13" s="99">
        <f t="shared" ref="D13:F28" si="0">C13/C$8</f>
        <v>0.13967243152412215</v>
      </c>
      <c r="E13" s="8">
        <f>'2024 Monthly'!G42</f>
        <v>444817.26</v>
      </c>
      <c r="F13" s="99">
        <f t="shared" si="0"/>
        <v>0.20201547028759537</v>
      </c>
      <c r="G13" s="8">
        <f>'2024 Monthly'!M42</f>
        <v>550362.48</v>
      </c>
      <c r="H13" s="99">
        <f t="shared" ref="H13:J13" si="1">G13/G$8</f>
        <v>0.2366139514688898</v>
      </c>
      <c r="I13" s="8">
        <f>'2024 Monthly'!T42</f>
        <v>653489.76</v>
      </c>
      <c r="J13" s="99">
        <f t="shared" si="1"/>
        <v>0.20871722320677363</v>
      </c>
    </row>
    <row r="14" spans="1:10" x14ac:dyDescent="0.25">
      <c r="B14" t="s">
        <v>164</v>
      </c>
      <c r="C14" s="8">
        <f>'2024 Monthly'!E43</f>
        <v>126166.54000000001</v>
      </c>
      <c r="D14" s="99">
        <f t="shared" si="0"/>
        <v>5.8161226714899011E-2</v>
      </c>
      <c r="E14" s="8">
        <f>'2024 Monthly'!G43</f>
        <v>153428.37</v>
      </c>
      <c r="F14" s="99">
        <f t="shared" si="0"/>
        <v>6.968008462848134E-2</v>
      </c>
      <c r="G14" s="8">
        <f>'2024 Monthly'!M43</f>
        <v>182977.57</v>
      </c>
      <c r="H14" s="99">
        <f t="shared" ref="H14:J14" si="2">G14/G$8</f>
        <v>7.8666419752806166E-2</v>
      </c>
      <c r="I14" s="8">
        <f>'2024 Monthly'!T43</f>
        <v>215700</v>
      </c>
      <c r="J14" s="99">
        <f t="shared" si="2"/>
        <v>6.8892135426423626E-2</v>
      </c>
    </row>
    <row r="15" spans="1:10" x14ac:dyDescent="0.25">
      <c r="B15" t="s">
        <v>165</v>
      </c>
      <c r="C15" s="8">
        <f>'2024 Monthly'!E51</f>
        <v>32084.48</v>
      </c>
      <c r="D15" s="99">
        <f t="shared" si="0"/>
        <v>1.4790551562321064E-2</v>
      </c>
      <c r="E15" s="8">
        <f>'2024 Monthly'!G51</f>
        <v>84207.42</v>
      </c>
      <c r="F15" s="99">
        <f t="shared" si="0"/>
        <v>3.8243123823488913E-2</v>
      </c>
      <c r="G15" s="8">
        <f>'2024 Monthly'!M51</f>
        <v>109405.43</v>
      </c>
      <c r="H15" s="99">
        <f t="shared" ref="H15:J15" si="3">G15/G$8</f>
        <v>4.7036002716705938E-2</v>
      </c>
      <c r="I15" s="8">
        <f>'2024 Monthly'!T51</f>
        <v>114000</v>
      </c>
      <c r="J15" s="99">
        <f t="shared" si="3"/>
        <v>3.6410308013965199E-2</v>
      </c>
    </row>
    <row r="16" spans="1:10" x14ac:dyDescent="0.25">
      <c r="B16" t="s">
        <v>166</v>
      </c>
      <c r="C16" s="8">
        <f>'2024 Monthly'!E52</f>
        <v>28881.79</v>
      </c>
      <c r="D16" s="99">
        <f t="shared" si="0"/>
        <v>1.331415077343092E-2</v>
      </c>
      <c r="E16" s="8">
        <f>'2024 Monthly'!G52</f>
        <v>62978.55</v>
      </c>
      <c r="F16" s="99">
        <f t="shared" si="0"/>
        <v>2.8601950824212258E-2</v>
      </c>
      <c r="G16" s="8">
        <f>'2024 Monthly'!M52</f>
        <v>65098.439999999995</v>
      </c>
      <c r="H16" s="99">
        <f t="shared" ref="H16:J16" si="4">G16/G$8</f>
        <v>2.7987371382693881E-2</v>
      </c>
      <c r="I16" s="8">
        <f>'2024 Monthly'!T52</f>
        <v>60000</v>
      </c>
      <c r="J16" s="99">
        <f t="shared" si="4"/>
        <v>1.9163320007350104E-2</v>
      </c>
    </row>
    <row r="17" spans="1:10" x14ac:dyDescent="0.25">
      <c r="B17" t="s">
        <v>171</v>
      </c>
      <c r="C17" s="8">
        <f>'2024 Monthly'!E59</f>
        <v>14641.91</v>
      </c>
      <c r="D17" s="99">
        <f t="shared" si="0"/>
        <v>6.7497408350038523E-3</v>
      </c>
      <c r="E17" s="8">
        <f>'2024 Monthly'!G59</f>
        <v>25989.679999999997</v>
      </c>
      <c r="F17" s="99">
        <f t="shared" si="0"/>
        <v>1.1803313180392573E-2</v>
      </c>
      <c r="G17" s="8">
        <f>'2024 Monthly'!M59</f>
        <v>19266.98</v>
      </c>
      <c r="H17" s="99">
        <f t="shared" ref="H17:J17" si="5">G17/G$8</f>
        <v>8.2833340504462998E-3</v>
      </c>
      <c r="I17" s="8">
        <f>'2024 Monthly'!T59</f>
        <v>41766.979999999996</v>
      </c>
      <c r="J17" s="99">
        <f t="shared" si="5"/>
        <v>1.3339900058009859E-2</v>
      </c>
    </row>
    <row r="18" spans="1:10" x14ac:dyDescent="0.25">
      <c r="B18" t="s">
        <v>167</v>
      </c>
      <c r="C18" s="8">
        <f>'2024 Monthly'!E53</f>
        <v>6913.83</v>
      </c>
      <c r="D18" s="99">
        <f t="shared" si="0"/>
        <v>3.1871907884473191E-3</v>
      </c>
      <c r="E18" s="8">
        <f>'2024 Monthly'!G53</f>
        <v>9268.26</v>
      </c>
      <c r="F18" s="99">
        <f t="shared" si="0"/>
        <v>4.209215943301545E-3</v>
      </c>
      <c r="G18" s="8">
        <f>'2024 Monthly'!M53</f>
        <v>23883.94</v>
      </c>
      <c r="H18" s="99">
        <f t="shared" ref="H18:J18" si="6">G18/G$8</f>
        <v>1.0268275228438312E-2</v>
      </c>
      <c r="I18" s="8">
        <f>'2024 Monthly'!T53</f>
        <v>23883.94</v>
      </c>
      <c r="J18" s="99">
        <f t="shared" si="6"/>
        <v>7.62825975427249E-3</v>
      </c>
    </row>
    <row r="19" spans="1:10" x14ac:dyDescent="0.25">
      <c r="B19" t="s">
        <v>444</v>
      </c>
      <c r="C19" s="8">
        <f>'2024 Monthly'!E54</f>
        <v>9832.89</v>
      </c>
      <c r="D19" s="99">
        <f t="shared" si="0"/>
        <v>4.5328416278409738E-3</v>
      </c>
      <c r="E19" s="8">
        <f>'2024 Monthly'!G54</f>
        <v>13230.97</v>
      </c>
      <c r="F19" s="99">
        <f t="shared" si="0"/>
        <v>6.0088959383254714E-3</v>
      </c>
      <c r="G19" s="8">
        <f>'2024 Monthly'!M54</f>
        <v>20485.7</v>
      </c>
      <c r="H19" s="99">
        <f t="shared" ref="H19:J19" si="7">G19/G$8</f>
        <v>8.8072908342266276E-3</v>
      </c>
      <c r="I19" s="8">
        <f>'2024 Monthly'!T54</f>
        <v>20485.7</v>
      </c>
      <c r="J19" s="99">
        <f t="shared" si="7"/>
        <v>6.5429004112428669E-3</v>
      </c>
    </row>
    <row r="20" spans="1:10" x14ac:dyDescent="0.25">
      <c r="B20" t="s">
        <v>169</v>
      </c>
      <c r="C20" s="8">
        <f>'2024 Monthly'!E55</f>
        <v>9618.1999999999989</v>
      </c>
      <c r="D20" s="99">
        <f t="shared" si="0"/>
        <v>4.433872172362352E-3</v>
      </c>
      <c r="E20" s="8">
        <f>'2024 Monthly'!G55</f>
        <v>19428.150000000001</v>
      </c>
      <c r="F20" s="99">
        <f t="shared" si="0"/>
        <v>8.8233690820988964E-3</v>
      </c>
      <c r="G20" s="8">
        <f>'2024 Monthly'!M55</f>
        <v>16312.519999999999</v>
      </c>
      <c r="H20" s="99">
        <f t="shared" ref="H20:J20" si="8">G20/G$8</f>
        <v>7.0131412584943905E-3</v>
      </c>
      <c r="I20" s="8">
        <f>'2024 Monthly'!T55</f>
        <v>17128.146000000001</v>
      </c>
      <c r="J20" s="99">
        <f t="shared" si="8"/>
        <v>5.4705357155102278E-3</v>
      </c>
    </row>
    <row r="21" spans="1:10" x14ac:dyDescent="0.25">
      <c r="B21" t="s">
        <v>170</v>
      </c>
      <c r="C21" s="8">
        <f>'2024 Monthly'!E56</f>
        <v>4766.1099999999997</v>
      </c>
      <c r="D21" s="99">
        <f t="shared" si="0"/>
        <v>2.1971182237235584E-3</v>
      </c>
      <c r="E21" s="8">
        <f>'2024 Monthly'!G56</f>
        <v>12331.72</v>
      </c>
      <c r="F21" s="99">
        <f t="shared" si="0"/>
        <v>5.6004980905078753E-3</v>
      </c>
      <c r="G21" s="8">
        <f>'2024 Monthly'!M56</f>
        <v>13550.210000000001</v>
      </c>
      <c r="H21" s="99">
        <f t="shared" ref="H21:J21" si="9">G21/G$8</f>
        <v>5.8255583326342767E-3</v>
      </c>
      <c r="I21" s="8">
        <f>'2024 Monthly'!T56</f>
        <v>13550.210000000001</v>
      </c>
      <c r="J21" s="99">
        <f t="shared" si="9"/>
        <v>4.3277835066132574E-3</v>
      </c>
    </row>
    <row r="22" spans="1:10" x14ac:dyDescent="0.25">
      <c r="B22" t="s">
        <v>172</v>
      </c>
      <c r="C22" s="8">
        <f>'2024 Monthly'!E60</f>
        <v>3200.5699999999997</v>
      </c>
      <c r="D22" s="99">
        <f t="shared" si="0"/>
        <v>1.4754234949052602E-3</v>
      </c>
      <c r="E22" s="8">
        <f>'2024 Monthly'!G60</f>
        <v>8234.48</v>
      </c>
      <c r="F22" s="99">
        <f t="shared" si="0"/>
        <v>3.7397207783119702E-3</v>
      </c>
      <c r="G22" s="8">
        <f>'2024 Monthly'!M60</f>
        <v>11019.92</v>
      </c>
      <c r="H22" s="99">
        <f t="shared" ref="H22:J22" si="10">G22/G$8</f>
        <v>4.7377263364156803E-3</v>
      </c>
      <c r="I22" s="8">
        <f>'2024 Monthly'!T60</f>
        <v>11019.92</v>
      </c>
      <c r="J22" s="99">
        <f t="shared" si="10"/>
        <v>3.5196375569232926E-3</v>
      </c>
    </row>
    <row r="23" spans="1:10" x14ac:dyDescent="0.25">
      <c r="B23" t="s">
        <v>173</v>
      </c>
      <c r="C23" s="8">
        <f>'2024 Monthly'!E61</f>
        <v>3042.38</v>
      </c>
      <c r="D23" s="99">
        <f t="shared" si="0"/>
        <v>1.4024998460992466E-3</v>
      </c>
      <c r="E23" s="8">
        <f>'2024 Monthly'!G61</f>
        <v>22007.56</v>
      </c>
      <c r="F23" s="99">
        <f t="shared" si="0"/>
        <v>9.9948180591788918E-3</v>
      </c>
      <c r="G23" s="8">
        <f>'2024 Monthly'!M61</f>
        <v>9261.619999999999</v>
      </c>
      <c r="H23" s="99">
        <f t="shared" ref="H23:J23" si="11">G23/G$8</f>
        <v>3.9817912463860159E-3</v>
      </c>
      <c r="I23" s="8">
        <f>'2024 Monthly'!T61</f>
        <v>9901.7940000000017</v>
      </c>
      <c r="J23" s="99">
        <f t="shared" si="11"/>
        <v>3.1625207844809874E-3</v>
      </c>
    </row>
    <row r="24" spans="1:10" x14ac:dyDescent="0.25">
      <c r="B24" t="s">
        <v>174</v>
      </c>
      <c r="C24" s="8">
        <f>'2024 Monthly'!E62</f>
        <v>0</v>
      </c>
      <c r="D24" s="99">
        <f t="shared" si="0"/>
        <v>0</v>
      </c>
      <c r="E24" s="8">
        <f>'2024 Monthly'!G62</f>
        <v>32.44</v>
      </c>
      <c r="F24" s="99">
        <f t="shared" si="0"/>
        <v>1.473275082924973E-5</v>
      </c>
      <c r="G24" s="8">
        <f>'2024 Monthly'!M62</f>
        <v>3653.13</v>
      </c>
      <c r="H24" s="99">
        <f t="shared" ref="H24:J24" si="12">G24/G$8</f>
        <v>1.5705676821020675E-3</v>
      </c>
      <c r="I24" s="8">
        <f>'2024 Monthly'!T62</f>
        <v>3653.13</v>
      </c>
      <c r="J24" s="99">
        <f t="shared" si="12"/>
        <v>1.1667683203075148E-3</v>
      </c>
    </row>
    <row r="25" spans="1:10" x14ac:dyDescent="0.25">
      <c r="B25" t="s">
        <v>175</v>
      </c>
      <c r="C25" s="8">
        <f>'2024 Monthly'!E67</f>
        <v>6737.83</v>
      </c>
      <c r="D25" s="99">
        <f t="shared" si="0"/>
        <v>3.1060569481928249E-3</v>
      </c>
      <c r="E25" s="8">
        <f>'2024 Monthly'!G67</f>
        <v>0</v>
      </c>
      <c r="F25" s="99">
        <f t="shared" si="0"/>
        <v>0</v>
      </c>
      <c r="G25" s="8">
        <f>'2024 Monthly'!M67</f>
        <v>0</v>
      </c>
      <c r="H25" s="99">
        <f t="shared" ref="H25:J25" si="13">G25/G$8</f>
        <v>0</v>
      </c>
      <c r="I25" s="8">
        <f>'2024 Monthly'!T67</f>
        <v>2000</v>
      </c>
      <c r="J25" s="99">
        <f t="shared" si="13"/>
        <v>6.3877733357833681E-4</v>
      </c>
    </row>
    <row r="26" spans="1:10" x14ac:dyDescent="0.25">
      <c r="B26" t="s">
        <v>176</v>
      </c>
      <c r="C26" s="9">
        <f>'2024 Monthly'!E68</f>
        <v>4773.8899999999994</v>
      </c>
      <c r="D26" s="99">
        <f t="shared" si="0"/>
        <v>2.2007047082529901E-3</v>
      </c>
      <c r="E26" s="9">
        <f>'2024 Monthly'!G68</f>
        <v>1597.54</v>
      </c>
      <c r="F26" s="99">
        <f t="shared" si="0"/>
        <v>7.2552893834030869E-4</v>
      </c>
      <c r="G26" s="9">
        <f>'2024 Monthly'!M68</f>
        <v>1085.26</v>
      </c>
      <c r="H26" s="99">
        <f t="shared" ref="H26:J26" si="14">G26/G$8</f>
        <v>4.6657914793015565E-4</v>
      </c>
      <c r="I26" s="9">
        <f>'2024 Monthly'!T68</f>
        <v>10000</v>
      </c>
      <c r="J26" s="99">
        <f t="shared" si="14"/>
        <v>3.1938866678916837E-3</v>
      </c>
    </row>
    <row r="27" spans="1:10" x14ac:dyDescent="0.25">
      <c r="B27" t="s">
        <v>445</v>
      </c>
      <c r="C27" s="10">
        <f>SUM(C13:C26)</f>
        <v>553645.55999999994</v>
      </c>
      <c r="D27" s="101">
        <f>C27/C$8</f>
        <v>0.25522380921960147</v>
      </c>
      <c r="E27" s="10">
        <f>SUM(E13:E26)</f>
        <v>857552.40000000014</v>
      </c>
      <c r="F27" s="101">
        <f>E27/E$8</f>
        <v>0.38946072232506473</v>
      </c>
      <c r="G27" s="10">
        <f>SUM(G13:G26)</f>
        <v>1026363.1999999998</v>
      </c>
      <c r="H27" s="101">
        <f>G27/G$8</f>
        <v>0.44125800943816956</v>
      </c>
      <c r="I27" s="10">
        <f>SUM(I13:I26)</f>
        <v>1196579.5799999996</v>
      </c>
      <c r="J27" s="101">
        <f>I27/I$8</f>
        <v>0.38217395676334293</v>
      </c>
    </row>
    <row r="28" spans="1:10" x14ac:dyDescent="0.25">
      <c r="A28" t="s">
        <v>178</v>
      </c>
      <c r="C28" s="8">
        <f>C11-C27</f>
        <v>400846.99000000011</v>
      </c>
      <c r="D28" s="99">
        <f t="shared" si="0"/>
        <v>0.18478554348383386</v>
      </c>
      <c r="E28" s="8">
        <f>E11-E27</f>
        <v>-123708.10000000056</v>
      </c>
      <c r="F28" s="99">
        <f t="shared" si="0"/>
        <v>-5.6182509644263773E-2</v>
      </c>
      <c r="G28" s="8">
        <f>G11-G27</f>
        <v>-12134.229999999399</v>
      </c>
      <c r="H28" s="99">
        <f t="shared" ref="H28:J28" si="15">G28/G$8</f>
        <v>-5.216794771933226E-3</v>
      </c>
      <c r="I28" s="8">
        <f>I11-I27</f>
        <v>201998.95000000042</v>
      </c>
      <c r="J28" s="99">
        <f t="shared" si="15"/>
        <v>6.4516175333312026E-2</v>
      </c>
    </row>
    <row r="30" spans="1:10" x14ac:dyDescent="0.25">
      <c r="A30" t="s">
        <v>179</v>
      </c>
    </row>
    <row r="31" spans="1:10" x14ac:dyDescent="0.25">
      <c r="B31" t="s">
        <v>446</v>
      </c>
      <c r="C31" s="8" t="e">
        <f>'2024 Monthly'!#REF!</f>
        <v>#REF!</v>
      </c>
      <c r="D31" s="99" t="e">
        <f t="shared" ref="D31:F34" si="16">C31/C$8</f>
        <v>#REF!</v>
      </c>
      <c r="E31" s="8" t="e">
        <f>'2024 Monthly'!#REF!</f>
        <v>#REF!</v>
      </c>
      <c r="F31" s="99" t="e">
        <f t="shared" si="16"/>
        <v>#REF!</v>
      </c>
      <c r="G31" s="8" t="e">
        <f>'2024 Monthly'!#REF!</f>
        <v>#REF!</v>
      </c>
      <c r="H31" s="99" t="e">
        <f t="shared" ref="H31:J31" si="17">G31/G$8</f>
        <v>#REF!</v>
      </c>
      <c r="I31" s="8" t="e">
        <f>'2024 Monthly'!#REF!</f>
        <v>#REF!</v>
      </c>
      <c r="J31" s="99" t="e">
        <f t="shared" si="17"/>
        <v>#REF!</v>
      </c>
    </row>
    <row r="32" spans="1:10" x14ac:dyDescent="0.25">
      <c r="B32" t="s">
        <v>451</v>
      </c>
      <c r="C32" s="8">
        <f>'2024 Monthly'!E82</f>
        <v>2481.65</v>
      </c>
      <c r="D32" s="99">
        <f t="shared" si="16"/>
        <v>1.1440101969748013E-3</v>
      </c>
      <c r="E32" s="8">
        <f>'2024 Monthly'!G82</f>
        <v>8155.74</v>
      </c>
      <c r="F32" s="99">
        <f t="shared" si="16"/>
        <v>3.7039607043201357E-3</v>
      </c>
      <c r="G32" s="8">
        <f>'2024 Monthly'!M82</f>
        <v>33783.040000000001</v>
      </c>
      <c r="H32" s="99">
        <f t="shared" ref="H32:J32" si="18">G32/G$8</f>
        <v>1.4524134325129801E-2</v>
      </c>
      <c r="I32" s="8">
        <f>'2024 Monthly'!T82</f>
        <v>30404.736000000001</v>
      </c>
      <c r="J32" s="99">
        <f t="shared" si="18"/>
        <v>9.7109280951166322E-3</v>
      </c>
    </row>
    <row r="33" spans="1:10" x14ac:dyDescent="0.25">
      <c r="B33" t="s">
        <v>182</v>
      </c>
      <c r="C33" s="9">
        <f>'2024 Monthly'!E86</f>
        <v>0</v>
      </c>
      <c r="D33" s="100">
        <f t="shared" si="16"/>
        <v>0</v>
      </c>
      <c r="E33" s="9">
        <f>'2024 Monthly'!G86</f>
        <v>0</v>
      </c>
      <c r="F33" s="100">
        <f t="shared" si="16"/>
        <v>0</v>
      </c>
      <c r="G33" s="9">
        <f>'2024 Monthly'!M86</f>
        <v>0</v>
      </c>
      <c r="H33" s="100">
        <f t="shared" ref="H33:J33" si="19">G33/G$8</f>
        <v>0</v>
      </c>
      <c r="I33" s="9">
        <f>'2024 Monthly'!T86</f>
        <v>0</v>
      </c>
      <c r="J33" s="100">
        <f t="shared" si="19"/>
        <v>0</v>
      </c>
    </row>
    <row r="34" spans="1:10" ht="15.75" thickBot="1" x14ac:dyDescent="0.3">
      <c r="A34" t="s">
        <v>447</v>
      </c>
      <c r="C34" s="97" t="e">
        <f>C28-C31-C32-C33</f>
        <v>#REF!</v>
      </c>
      <c r="D34" s="102" t="e">
        <f t="shared" si="16"/>
        <v>#REF!</v>
      </c>
      <c r="E34" s="97" t="e">
        <f>E28-E31-E32-E33</f>
        <v>#REF!</v>
      </c>
      <c r="F34" s="102" t="e">
        <f t="shared" si="16"/>
        <v>#REF!</v>
      </c>
      <c r="G34" s="97" t="e">
        <f>G28-G31-G32-G33</f>
        <v>#REF!</v>
      </c>
      <c r="H34" s="102" t="e">
        <f t="shared" ref="H34:J34" si="20">G34/G$8</f>
        <v>#REF!</v>
      </c>
      <c r="I34" s="97" t="e">
        <f>I28-I31-I32-I33</f>
        <v>#REF!</v>
      </c>
      <c r="J34" s="102" t="e">
        <f t="shared" si="20"/>
        <v>#REF!</v>
      </c>
    </row>
    <row r="35" spans="1:10" ht="15.75" thickTop="1" x14ac:dyDescent="0.25"/>
  </sheetData>
  <mergeCells count="6">
    <mergeCell ref="A1:E1"/>
    <mergeCell ref="A2:E2"/>
    <mergeCell ref="C5:J5"/>
    <mergeCell ref="C4:F4"/>
    <mergeCell ref="G4:H4"/>
    <mergeCell ref="I4:J4"/>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BD92-950C-48C2-BFDF-98751D76A49A}">
  <dimension ref="A1:F43"/>
  <sheetViews>
    <sheetView workbookViewId="0">
      <selection activeCell="E51" sqref="E51"/>
    </sheetView>
  </sheetViews>
  <sheetFormatPr defaultColWidth="8.85546875" defaultRowHeight="15" x14ac:dyDescent="0.25"/>
  <cols>
    <col min="1" max="1" width="4" customWidth="1"/>
    <col min="2" max="2" width="28.42578125" customWidth="1"/>
    <col min="3" max="3" width="12.7109375" customWidth="1"/>
    <col min="4" max="4" width="11.42578125" customWidth="1"/>
    <col min="5" max="5" width="12.7109375" customWidth="1"/>
    <col min="6" max="6" width="11.42578125" customWidth="1"/>
  </cols>
  <sheetData>
    <row r="1" spans="1:6" x14ac:dyDescent="0.25">
      <c r="A1" s="45" t="s">
        <v>146</v>
      </c>
      <c r="B1" s="45"/>
      <c r="C1" s="45"/>
      <c r="D1" s="51"/>
      <c r="E1" s="45"/>
      <c r="F1" s="51"/>
    </row>
    <row r="2" spans="1:6" x14ac:dyDescent="0.25">
      <c r="A2" s="45" t="s">
        <v>466</v>
      </c>
      <c r="B2" s="45"/>
      <c r="C2" s="45"/>
      <c r="D2" s="51"/>
      <c r="E2" s="45"/>
      <c r="F2" s="51"/>
    </row>
    <row r="3" spans="1:6" x14ac:dyDescent="0.25">
      <c r="A3" s="45"/>
      <c r="B3" s="45"/>
      <c r="C3" s="255" t="s">
        <v>464</v>
      </c>
      <c r="D3" s="255"/>
      <c r="E3" s="255"/>
      <c r="F3" s="255"/>
    </row>
    <row r="4" spans="1:6" x14ac:dyDescent="0.25">
      <c r="A4" s="68"/>
      <c r="B4" s="68"/>
      <c r="C4" s="255">
        <v>2023</v>
      </c>
      <c r="D4" s="255"/>
      <c r="E4" s="255">
        <v>2022</v>
      </c>
      <c r="F4" s="255"/>
    </row>
    <row r="5" spans="1:6" x14ac:dyDescent="0.25">
      <c r="A5" t="s">
        <v>149</v>
      </c>
      <c r="D5" s="41"/>
      <c r="F5" s="41"/>
    </row>
    <row r="6" spans="1:6" x14ac:dyDescent="0.25">
      <c r="B6" t="s">
        <v>153</v>
      </c>
      <c r="C6" s="8">
        <v>72718</v>
      </c>
      <c r="D6" s="41">
        <f t="shared" ref="D6:F9" si="0">C6/C$10</f>
        <v>0.10438719642616183</v>
      </c>
      <c r="E6" s="8">
        <v>92509</v>
      </c>
      <c r="F6" s="41">
        <f t="shared" si="0"/>
        <v>0.12327432732079656</v>
      </c>
    </row>
    <row r="7" spans="1:6" x14ac:dyDescent="0.25">
      <c r="B7" t="s">
        <v>288</v>
      </c>
      <c r="C7" s="8">
        <f>65107+46128</f>
        <v>111235</v>
      </c>
      <c r="D7" s="41">
        <f t="shared" si="0"/>
        <v>0.15967861869776548</v>
      </c>
      <c r="E7" s="8">
        <f>62366+75286</f>
        <v>137652</v>
      </c>
      <c r="F7" s="41">
        <f t="shared" si="0"/>
        <v>0.18343034412178585</v>
      </c>
    </row>
    <row r="8" spans="1:6" x14ac:dyDescent="0.25">
      <c r="B8" t="s">
        <v>150</v>
      </c>
      <c r="C8" s="8">
        <v>204747</v>
      </c>
      <c r="D8" s="41">
        <f t="shared" si="0"/>
        <v>0.29391574722444724</v>
      </c>
      <c r="E8" s="8">
        <v>169379</v>
      </c>
      <c r="F8" s="41">
        <f t="shared" si="0"/>
        <v>0.22570865847938254</v>
      </c>
    </row>
    <row r="9" spans="1:6" x14ac:dyDescent="0.25">
      <c r="B9" t="s">
        <v>151</v>
      </c>
      <c r="C9" s="9">
        <v>307918</v>
      </c>
      <c r="D9" s="43">
        <f t="shared" si="0"/>
        <v>0.44201843765162541</v>
      </c>
      <c r="E9" s="9">
        <v>350892</v>
      </c>
      <c r="F9" s="43">
        <f t="shared" si="0"/>
        <v>0.46758667007803506</v>
      </c>
    </row>
    <row r="10" spans="1:6" x14ac:dyDescent="0.25">
      <c r="A10" s="45"/>
      <c r="B10" s="45" t="s">
        <v>290</v>
      </c>
      <c r="C10" s="49">
        <f>SUM(C6:C9)</f>
        <v>696618</v>
      </c>
      <c r="D10" s="51">
        <f t="shared" ref="D10" si="1">C10/C$10</f>
        <v>1</v>
      </c>
      <c r="E10" s="49">
        <f>SUM(E6:E9)</f>
        <v>750432</v>
      </c>
      <c r="F10" s="51">
        <f t="shared" ref="F10" si="2">E10/E$10</f>
        <v>1</v>
      </c>
    </row>
    <row r="11" spans="1:6" s="45" customFormat="1" x14ac:dyDescent="0.25">
      <c r="A11" s="45" t="s">
        <v>155</v>
      </c>
      <c r="C11" s="49">
        <v>372326</v>
      </c>
      <c r="D11" s="47">
        <f>C11/C$10</f>
        <v>0.53447657109061208</v>
      </c>
      <c r="E11" s="49">
        <v>439232</v>
      </c>
      <c r="F11" s="51">
        <f>E11/E$10</f>
        <v>0.58530553068099445</v>
      </c>
    </row>
    <row r="12" spans="1:6" x14ac:dyDescent="0.25">
      <c r="A12" s="45" t="s">
        <v>191</v>
      </c>
      <c r="B12" s="45"/>
      <c r="C12" s="46">
        <f>C10-C11</f>
        <v>324292</v>
      </c>
      <c r="D12" s="50">
        <f>C12/C$10</f>
        <v>0.46552342890938792</v>
      </c>
      <c r="E12" s="46">
        <f>E10-E11</f>
        <v>311200</v>
      </c>
      <c r="F12" s="50">
        <f>E12/E$10</f>
        <v>0.41469446931900561</v>
      </c>
    </row>
    <row r="13" spans="1:6" x14ac:dyDescent="0.25">
      <c r="C13" s="8"/>
      <c r="D13" s="41"/>
      <c r="E13" s="8"/>
      <c r="F13" s="41"/>
    </row>
    <row r="14" spans="1:6" x14ac:dyDescent="0.25">
      <c r="A14" t="s">
        <v>157</v>
      </c>
      <c r="C14" s="8"/>
      <c r="D14" s="41"/>
      <c r="E14" s="8"/>
      <c r="F14" s="41"/>
    </row>
    <row r="15" spans="1:6" x14ac:dyDescent="0.25">
      <c r="B15" t="s">
        <v>158</v>
      </c>
      <c r="C15" s="8"/>
      <c r="D15" s="41"/>
      <c r="E15" s="8"/>
      <c r="F15" s="41"/>
    </row>
    <row r="16" spans="1:6" x14ac:dyDescent="0.25">
      <c r="B16" t="s">
        <v>159</v>
      </c>
      <c r="C16" s="8">
        <v>129607</v>
      </c>
      <c r="D16" s="41">
        <f t="shared" ref="D16:D42" si="3">C16/C$10</f>
        <v>0.18605175289757084</v>
      </c>
      <c r="E16" s="8">
        <v>115382</v>
      </c>
      <c r="F16" s="41">
        <f t="shared" ref="F16:F37" si="4">E16/E$10</f>
        <v>0.15375410430258837</v>
      </c>
    </row>
    <row r="17" spans="2:6" x14ac:dyDescent="0.25">
      <c r="B17" t="s">
        <v>160</v>
      </c>
      <c r="C17" s="8">
        <v>34626</v>
      </c>
      <c r="D17" s="41">
        <f t="shared" si="3"/>
        <v>4.9705864620207922E-2</v>
      </c>
      <c r="E17" s="8">
        <v>21259</v>
      </c>
      <c r="F17" s="41">
        <f t="shared" si="4"/>
        <v>2.8329015820220887E-2</v>
      </c>
    </row>
    <row r="18" spans="2:6" x14ac:dyDescent="0.25">
      <c r="B18" t="s">
        <v>161</v>
      </c>
      <c r="C18" s="8">
        <v>10032</v>
      </c>
      <c r="D18" s="41">
        <f t="shared" si="3"/>
        <v>1.4401006003290182E-2</v>
      </c>
      <c r="E18" s="8">
        <v>9035</v>
      </c>
      <c r="F18" s="41">
        <f t="shared" si="4"/>
        <v>1.2039731781160717E-2</v>
      </c>
    </row>
    <row r="19" spans="2:6" x14ac:dyDescent="0.25">
      <c r="B19" t="s">
        <v>162</v>
      </c>
      <c r="C19" s="9">
        <v>4147</v>
      </c>
      <c r="D19" s="43">
        <f t="shared" si="3"/>
        <v>5.9530474377635948E-3</v>
      </c>
      <c r="E19" s="9">
        <v>6169</v>
      </c>
      <c r="F19" s="43">
        <f t="shared" si="4"/>
        <v>8.2205982687305439E-3</v>
      </c>
    </row>
    <row r="20" spans="2:6" x14ac:dyDescent="0.25">
      <c r="B20" t="s">
        <v>163</v>
      </c>
      <c r="C20" s="10">
        <f>SUM(C16:C19)</f>
        <v>178412</v>
      </c>
      <c r="D20" s="106">
        <f t="shared" si="3"/>
        <v>0.25611167095883253</v>
      </c>
      <c r="E20" s="10">
        <f>SUM(E16:E19)</f>
        <v>151845</v>
      </c>
      <c r="F20" s="106">
        <f t="shared" si="4"/>
        <v>0.20234345017270053</v>
      </c>
    </row>
    <row r="21" spans="2:6" x14ac:dyDescent="0.25">
      <c r="B21" t="s">
        <v>164</v>
      </c>
      <c r="C21" s="8">
        <v>58892</v>
      </c>
      <c r="D21" s="41">
        <f t="shared" si="3"/>
        <v>8.4539876948341849E-2</v>
      </c>
      <c r="E21" s="8">
        <v>46619</v>
      </c>
      <c r="F21" s="41">
        <f t="shared" si="4"/>
        <v>6.212288388554859E-2</v>
      </c>
    </row>
    <row r="22" spans="2:6" x14ac:dyDescent="0.25">
      <c r="B22" t="s">
        <v>165</v>
      </c>
      <c r="C22" s="8">
        <v>46647</v>
      </c>
      <c r="D22" s="41">
        <f t="shared" si="3"/>
        <v>6.6962094002738948E-2</v>
      </c>
      <c r="E22" s="8">
        <v>34822</v>
      </c>
      <c r="F22" s="41">
        <f t="shared" si="4"/>
        <v>4.6402605432604153E-2</v>
      </c>
    </row>
    <row r="23" spans="2:6" x14ac:dyDescent="0.25">
      <c r="B23" t="s">
        <v>467</v>
      </c>
      <c r="C23" s="8">
        <f>SUM(C24:C35)</f>
        <v>81756</v>
      </c>
      <c r="D23" s="41">
        <f t="shared" si="3"/>
        <v>0.11736130849332059</v>
      </c>
      <c r="E23" s="8">
        <f>SUM(E24:E35)</f>
        <v>56628</v>
      </c>
      <c r="F23" s="41">
        <f t="shared" si="4"/>
        <v>7.5460534731994378E-2</v>
      </c>
    </row>
    <row r="24" spans="2:6" hidden="1" x14ac:dyDescent="0.25">
      <c r="B24" t="s">
        <v>166</v>
      </c>
      <c r="C24" s="8">
        <v>17745</v>
      </c>
      <c r="D24" s="41">
        <f t="shared" si="3"/>
        <v>2.5473071324599708E-2</v>
      </c>
      <c r="E24" s="8">
        <v>14657</v>
      </c>
      <c r="F24" s="41">
        <f t="shared" si="4"/>
        <v>1.9531416570721931E-2</v>
      </c>
    </row>
    <row r="25" spans="2:6" hidden="1" x14ac:dyDescent="0.25">
      <c r="B25" t="s">
        <v>167</v>
      </c>
      <c r="C25" s="8">
        <v>11836</v>
      </c>
      <c r="D25" s="41">
        <f t="shared" si="3"/>
        <v>1.6990660591601137E-2</v>
      </c>
      <c r="E25" s="8">
        <v>9654</v>
      </c>
      <c r="F25" s="41">
        <f t="shared" si="4"/>
        <v>1.2864589996162211E-2</v>
      </c>
    </row>
    <row r="26" spans="2:6" hidden="1" x14ac:dyDescent="0.25">
      <c r="B26" t="s">
        <v>168</v>
      </c>
      <c r="C26" s="8">
        <v>10026</v>
      </c>
      <c r="D26" s="41">
        <f t="shared" si="3"/>
        <v>1.4392392961422185E-2</v>
      </c>
      <c r="E26" s="8">
        <v>5512</v>
      </c>
      <c r="F26" s="41">
        <f t="shared" si="4"/>
        <v>7.3451025542620781E-3</v>
      </c>
    </row>
    <row r="27" spans="2:6" hidden="1" x14ac:dyDescent="0.25">
      <c r="B27" t="s">
        <v>169</v>
      </c>
      <c r="C27" s="8">
        <v>7765</v>
      </c>
      <c r="D27" s="41">
        <f t="shared" si="3"/>
        <v>1.1146711684165497E-2</v>
      </c>
      <c r="E27" s="8">
        <v>6891</v>
      </c>
      <c r="F27" s="41">
        <f t="shared" si="4"/>
        <v>9.1827107586030451E-3</v>
      </c>
    </row>
    <row r="28" spans="2:6" hidden="1" x14ac:dyDescent="0.25">
      <c r="B28" t="s">
        <v>170</v>
      </c>
      <c r="C28" s="8">
        <v>5418</v>
      </c>
      <c r="D28" s="41">
        <f t="shared" si="3"/>
        <v>7.7775768068008575E-3</v>
      </c>
      <c r="E28" s="8">
        <v>4528</v>
      </c>
      <c r="F28" s="41">
        <f t="shared" si="4"/>
        <v>6.0338578312225492E-3</v>
      </c>
    </row>
    <row r="29" spans="2:6" hidden="1" x14ac:dyDescent="0.25">
      <c r="B29" t="s">
        <v>171</v>
      </c>
      <c r="C29" s="8">
        <v>13153</v>
      </c>
      <c r="D29" s="41">
        <f t="shared" si="3"/>
        <v>1.8881223281626371E-2</v>
      </c>
      <c r="E29" s="8">
        <v>2789</v>
      </c>
      <c r="F29" s="41">
        <f t="shared" si="4"/>
        <v>3.7165259477207795E-3</v>
      </c>
    </row>
    <row r="30" spans="2:6" hidden="1" x14ac:dyDescent="0.25">
      <c r="B30" t="s">
        <v>172</v>
      </c>
      <c r="C30" s="8">
        <v>4291</v>
      </c>
      <c r="D30" s="41">
        <f t="shared" si="3"/>
        <v>6.1597604425955117E-3</v>
      </c>
      <c r="E30" s="8">
        <v>6105</v>
      </c>
      <c r="F30" s="41">
        <f t="shared" si="4"/>
        <v>8.1353140591019571E-3</v>
      </c>
    </row>
    <row r="31" spans="2:6" hidden="1" x14ac:dyDescent="0.25">
      <c r="B31" t="s">
        <v>173</v>
      </c>
      <c r="C31" s="8">
        <v>849</v>
      </c>
      <c r="D31" s="41">
        <f t="shared" si="3"/>
        <v>1.2187454243215076E-3</v>
      </c>
      <c r="E31" s="8">
        <v>2320</v>
      </c>
      <c r="F31" s="41">
        <f t="shared" si="4"/>
        <v>3.0915525990362885E-3</v>
      </c>
    </row>
    <row r="32" spans="2:6" hidden="1" x14ac:dyDescent="0.25">
      <c r="B32" t="s">
        <v>174</v>
      </c>
      <c r="C32" s="8">
        <v>1453</v>
      </c>
      <c r="D32" s="41">
        <f t="shared" si="3"/>
        <v>2.0857916390331572E-3</v>
      </c>
      <c r="E32" s="8">
        <v>1029</v>
      </c>
      <c r="F32" s="41">
        <f t="shared" si="4"/>
        <v>1.3712101829346296E-3</v>
      </c>
    </row>
    <row r="33" spans="1:6" hidden="1" x14ac:dyDescent="0.25">
      <c r="B33" t="s">
        <v>465</v>
      </c>
      <c r="C33" s="8">
        <v>9042</v>
      </c>
      <c r="D33" s="41">
        <f t="shared" si="3"/>
        <v>1.2979854095070756E-2</v>
      </c>
      <c r="E33" s="8">
        <v>2959</v>
      </c>
      <c r="F33" s="41">
        <f t="shared" si="4"/>
        <v>3.9430621295467143E-3</v>
      </c>
    </row>
    <row r="34" spans="1:6" hidden="1" x14ac:dyDescent="0.25">
      <c r="B34" t="s">
        <v>175</v>
      </c>
      <c r="C34" s="8">
        <v>0</v>
      </c>
      <c r="D34" s="41">
        <f t="shared" si="3"/>
        <v>0</v>
      </c>
      <c r="E34" s="8">
        <v>0</v>
      </c>
      <c r="F34" s="41">
        <f t="shared" si="4"/>
        <v>0</v>
      </c>
    </row>
    <row r="35" spans="1:6" hidden="1" x14ac:dyDescent="0.25">
      <c r="B35" t="s">
        <v>176</v>
      </c>
      <c r="C35" s="9">
        <v>178</v>
      </c>
      <c r="D35" s="43">
        <f t="shared" si="3"/>
        <v>2.5552024208389679E-4</v>
      </c>
      <c r="E35" s="9">
        <v>184</v>
      </c>
      <c r="F35" s="43">
        <f t="shared" si="4"/>
        <v>2.4519210268218842E-4</v>
      </c>
    </row>
    <row r="36" spans="1:6" x14ac:dyDescent="0.25">
      <c r="A36" s="45"/>
      <c r="B36" s="45" t="s">
        <v>177</v>
      </c>
      <c r="C36" s="46">
        <f>SUM(C20:C35)-C23</f>
        <v>365707</v>
      </c>
      <c r="D36" s="50">
        <f t="shared" si="3"/>
        <v>0.52497495040323394</v>
      </c>
      <c r="E36" s="46">
        <f>SUM(E20:E35)-E23</f>
        <v>289914</v>
      </c>
      <c r="F36" s="50">
        <f t="shared" si="4"/>
        <v>0.38632947422284764</v>
      </c>
    </row>
    <row r="37" spans="1:6" x14ac:dyDescent="0.25">
      <c r="A37" s="45" t="s">
        <v>178</v>
      </c>
      <c r="B37" s="45"/>
      <c r="C37" s="49">
        <f>C12-C36</f>
        <v>-41415</v>
      </c>
      <c r="D37" s="51">
        <f t="shared" si="3"/>
        <v>-5.9451521493845978E-2</v>
      </c>
      <c r="E37" s="49">
        <f>E12-E36</f>
        <v>21286</v>
      </c>
      <c r="F37" s="51">
        <f t="shared" si="4"/>
        <v>2.8364995096157947E-2</v>
      </c>
    </row>
    <row r="38" spans="1:6" x14ac:dyDescent="0.25">
      <c r="A38" t="s">
        <v>179</v>
      </c>
      <c r="C38" s="8"/>
      <c r="D38" s="41"/>
      <c r="E38" s="8"/>
      <c r="F38" s="41"/>
    </row>
    <row r="39" spans="1:6" hidden="1" x14ac:dyDescent="0.25">
      <c r="B39" t="s">
        <v>180</v>
      </c>
      <c r="C39" s="8"/>
      <c r="D39" s="41">
        <f t="shared" si="3"/>
        <v>0</v>
      </c>
      <c r="E39" s="8"/>
      <c r="F39" s="41">
        <f>E39/E$10</f>
        <v>0</v>
      </c>
    </row>
    <row r="40" spans="1:6" x14ac:dyDescent="0.25">
      <c r="B40" t="s">
        <v>181</v>
      </c>
      <c r="C40" s="8">
        <v>22470</v>
      </c>
      <c r="D40" s="41">
        <f t="shared" si="3"/>
        <v>3.2255841795646965E-2</v>
      </c>
      <c r="E40" s="8">
        <v>2092</v>
      </c>
      <c r="F40" s="41">
        <f>E40/E$10</f>
        <v>2.7877276022344462E-3</v>
      </c>
    </row>
    <row r="41" spans="1:6" hidden="1" x14ac:dyDescent="0.25">
      <c r="B41" t="s">
        <v>182</v>
      </c>
      <c r="C41" s="9">
        <f>QB!F131</f>
        <v>0</v>
      </c>
      <c r="D41" s="43">
        <f t="shared" si="3"/>
        <v>0</v>
      </c>
      <c r="E41" s="9"/>
      <c r="F41" s="43">
        <f>E41/E$10</f>
        <v>0</v>
      </c>
    </row>
    <row r="42" spans="1:6" ht="15.75" thickBot="1" x14ac:dyDescent="0.3">
      <c r="A42" s="45" t="s">
        <v>144</v>
      </c>
      <c r="B42" s="45"/>
      <c r="C42" s="52">
        <f>C37-C39-C40-C41</f>
        <v>-63885</v>
      </c>
      <c r="D42" s="107">
        <f t="shared" si="3"/>
        <v>-9.1707363289492944E-2</v>
      </c>
      <c r="E42" s="52">
        <f>E37-E39-E40-E41</f>
        <v>19194</v>
      </c>
      <c r="F42" s="107">
        <f>E42/E$10</f>
        <v>2.55772674939235E-2</v>
      </c>
    </row>
    <row r="43" spans="1:6" ht="15.75" thickTop="1" x14ac:dyDescent="0.25"/>
  </sheetData>
  <mergeCells count="3">
    <mergeCell ref="C3:F3"/>
    <mergeCell ref="C4:D4"/>
    <mergeCell ref="E4: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0B8E-C9A0-44B7-88F4-0D03FCBF5774}">
  <sheetPr>
    <pageSetUpPr fitToPage="1"/>
  </sheetPr>
  <dimension ref="A1:BM146"/>
  <sheetViews>
    <sheetView tabSelected="1" zoomScale="159" zoomScaleNormal="135" workbookViewId="0">
      <pane xSplit="2" ySplit="5" topLeftCell="C54" activePane="bottomRight" state="frozen"/>
      <selection pane="topRight" activeCell="C1" sqref="C1"/>
      <selection pane="bottomLeft" activeCell="A5" sqref="A5"/>
      <selection pane="bottomRight" activeCell="BO69" sqref="BO69"/>
    </sheetView>
  </sheetViews>
  <sheetFormatPr defaultColWidth="8.85546875" defaultRowHeight="15" x14ac:dyDescent="0.25"/>
  <cols>
    <col min="1" max="1" width="3.140625" customWidth="1"/>
    <col min="2" max="2" width="32.85546875"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9" width="10.7109375" hidden="1" customWidth="1"/>
    <col min="10" max="10" width="8" style="41" hidden="1" customWidth="1"/>
    <col min="11" max="14" width="10.7109375" hidden="1" customWidth="1"/>
    <col min="15" max="15" width="10.7109375" customWidth="1"/>
    <col min="16" max="16" width="8" style="41" hidden="1" customWidth="1"/>
    <col min="17" max="17" width="1.42578125" style="112" customWidth="1"/>
    <col min="18" max="22" width="9.7109375" customWidth="1"/>
    <col min="23" max="23" width="8" style="41" hidden="1" customWidth="1"/>
    <col min="24" max="24" width="11.140625" hidden="1" customWidth="1"/>
    <col min="25" max="25" width="1.42578125" style="112" customWidth="1"/>
    <col min="26" max="29" width="9.7109375" customWidth="1"/>
    <col min="30" max="30" width="10" customWidth="1"/>
    <col min="31" max="31" width="1.42578125" style="112" hidden="1" customWidth="1"/>
    <col min="32" max="33" width="10.7109375" style="108" hidden="1" customWidth="1"/>
    <col min="34" max="47" width="9.7109375" style="108" hidden="1" customWidth="1"/>
    <col min="48" max="48" width="10.7109375" style="108" hidden="1" customWidth="1"/>
    <col min="49" max="49" width="8" style="143" hidden="1" customWidth="1"/>
    <col min="50" max="50" width="8.85546875" style="143" hidden="1" customWidth="1"/>
    <col min="51" max="51" width="1.42578125" style="112" hidden="1" customWidth="1"/>
    <col min="52" max="63" width="9.7109375" style="108" hidden="1" customWidth="1"/>
    <col min="64" max="64" width="10.7109375" style="108" hidden="1" customWidth="1"/>
    <col min="65" max="65" width="8.85546875" hidden="1" customWidth="1"/>
  </cols>
  <sheetData>
    <row r="1" spans="1:65" s="45" customFormat="1" x14ac:dyDescent="0.25">
      <c r="A1" s="45" t="s">
        <v>146</v>
      </c>
      <c r="C1" s="45" t="s">
        <v>491</v>
      </c>
      <c r="D1" s="51"/>
      <c r="F1" s="51"/>
      <c r="H1" s="51"/>
      <c r="J1" s="51"/>
      <c r="P1" s="51"/>
      <c r="Q1" s="110"/>
      <c r="W1" s="51"/>
      <c r="Y1" s="110"/>
      <c r="AE1" s="110"/>
      <c r="AF1" s="139"/>
      <c r="AG1" s="139"/>
      <c r="AH1" s="139"/>
      <c r="AI1" s="139"/>
      <c r="AJ1" s="139"/>
      <c r="AK1" s="139"/>
      <c r="AL1" s="139"/>
      <c r="AM1" s="139"/>
      <c r="AN1" s="139"/>
      <c r="AO1" s="139"/>
      <c r="AP1" s="139"/>
      <c r="AQ1" s="139"/>
      <c r="AR1" s="139"/>
      <c r="AS1" s="139"/>
      <c r="AT1" s="139"/>
      <c r="AU1" s="139"/>
      <c r="AV1" s="139"/>
      <c r="AW1" s="141"/>
      <c r="AX1" s="141"/>
      <c r="AY1" s="110"/>
      <c r="AZ1" s="139"/>
      <c r="BA1" s="139"/>
      <c r="BB1" s="139"/>
      <c r="BC1" s="139"/>
      <c r="BD1" s="139"/>
      <c r="BE1" s="139"/>
      <c r="BF1" s="139"/>
      <c r="BG1" s="139"/>
      <c r="BH1" s="139"/>
      <c r="BI1" s="139"/>
      <c r="BJ1" s="139"/>
      <c r="BK1" s="139"/>
      <c r="BL1" s="139"/>
    </row>
    <row r="2" spans="1:65" s="45" customFormat="1" x14ac:dyDescent="0.25">
      <c r="A2" s="45" t="s">
        <v>2135</v>
      </c>
      <c r="D2" s="51"/>
      <c r="F2" s="51"/>
      <c r="H2" s="51"/>
      <c r="J2" s="51"/>
      <c r="P2" s="51"/>
      <c r="Q2" s="110"/>
      <c r="W2" s="51"/>
      <c r="Y2" s="110"/>
      <c r="AE2" s="110"/>
      <c r="AF2" s="139"/>
      <c r="AG2" s="139"/>
      <c r="AH2" s="139"/>
      <c r="AI2" s="139"/>
      <c r="AJ2" s="258" t="s">
        <v>1885</v>
      </c>
      <c r="AK2" s="258"/>
      <c r="AL2" s="258"/>
      <c r="AM2" s="258"/>
      <c r="AN2" s="258"/>
      <c r="AO2" s="258"/>
      <c r="AP2" s="258"/>
      <c r="AQ2" s="258"/>
      <c r="AR2" s="258"/>
      <c r="AS2" s="258"/>
      <c r="AT2" s="258"/>
      <c r="AU2" s="258"/>
      <c r="AV2" s="139"/>
      <c r="AW2" s="141"/>
      <c r="AX2" s="141"/>
      <c r="AY2" s="110"/>
      <c r="AZ2" s="256" t="s">
        <v>2134</v>
      </c>
      <c r="BA2" s="256"/>
      <c r="BB2" s="256"/>
      <c r="BC2" s="256"/>
      <c r="BD2" s="256"/>
      <c r="BE2" s="256"/>
      <c r="BF2" s="256"/>
      <c r="BG2" s="256"/>
      <c r="BH2" s="256"/>
      <c r="BI2" s="256"/>
      <c r="BJ2" s="256"/>
      <c r="BK2" s="256"/>
      <c r="BL2" s="139"/>
    </row>
    <row r="3" spans="1:65" s="45" customFormat="1" hidden="1" x14ac:dyDescent="0.25">
      <c r="D3" s="51"/>
      <c r="F3" s="51"/>
      <c r="H3" s="51"/>
      <c r="J3" s="51"/>
      <c r="K3" s="259" t="s">
        <v>477</v>
      </c>
      <c r="L3" s="259"/>
      <c r="M3" s="259"/>
      <c r="N3" s="259"/>
      <c r="O3" s="259"/>
      <c r="P3" s="51"/>
      <c r="Q3" s="110"/>
      <c r="R3" s="259" t="s">
        <v>477</v>
      </c>
      <c r="S3" s="259"/>
      <c r="T3" s="259"/>
      <c r="U3" s="259"/>
      <c r="V3" s="259"/>
      <c r="W3" s="51"/>
      <c r="Y3" s="110"/>
      <c r="AE3" s="110"/>
      <c r="AF3" s="257"/>
      <c r="AG3" s="257"/>
      <c r="AH3" s="257"/>
      <c r="AI3" s="257"/>
      <c r="AJ3" s="257"/>
      <c r="AK3" s="257"/>
      <c r="AL3" s="257"/>
      <c r="AM3" s="257"/>
      <c r="AN3" s="257"/>
      <c r="AO3" s="257"/>
      <c r="AP3" s="257"/>
      <c r="AQ3" s="257"/>
      <c r="AR3" s="257"/>
      <c r="AS3" s="257"/>
      <c r="AT3" s="257"/>
      <c r="AU3" s="257"/>
      <c r="AV3" s="257"/>
      <c r="AW3" s="141"/>
      <c r="AX3" s="141"/>
      <c r="AY3" s="110"/>
    </row>
    <row r="4" spans="1:65" s="45" customFormat="1" x14ac:dyDescent="0.25">
      <c r="A4" s="45" t="s">
        <v>2140</v>
      </c>
      <c r="D4" s="51"/>
      <c r="F4" s="51"/>
      <c r="H4" s="51"/>
      <c r="J4" s="51"/>
      <c r="K4" s="259">
        <v>2023</v>
      </c>
      <c r="L4" s="259"/>
      <c r="M4" s="259"/>
      <c r="N4" s="259"/>
      <c r="O4" s="109"/>
      <c r="P4" s="51"/>
      <c r="Q4" s="110"/>
      <c r="R4" s="259">
        <v>2024</v>
      </c>
      <c r="S4" s="259"/>
      <c r="T4" s="259"/>
      <c r="U4" s="259"/>
      <c r="V4" s="109"/>
      <c r="W4" s="51"/>
      <c r="Y4" s="110"/>
      <c r="Z4" s="255">
        <v>2025</v>
      </c>
      <c r="AA4" s="255"/>
      <c r="AB4" s="255"/>
      <c r="AC4" s="255"/>
      <c r="AE4" s="110"/>
      <c r="AF4" s="226"/>
      <c r="AG4" s="226"/>
      <c r="AH4" s="226"/>
      <c r="AI4" s="226"/>
      <c r="AJ4" s="260" t="s">
        <v>1865</v>
      </c>
      <c r="AK4" s="260"/>
      <c r="AL4" s="260"/>
      <c r="AM4" s="260"/>
      <c r="AN4" s="260"/>
      <c r="AO4" s="260"/>
      <c r="AP4" s="260"/>
      <c r="AQ4" s="260"/>
      <c r="AR4" s="257" t="s">
        <v>1886</v>
      </c>
      <c r="AS4" s="257"/>
      <c r="AT4" s="257"/>
      <c r="AU4" s="257"/>
      <c r="AV4" s="226"/>
      <c r="AW4" s="141"/>
      <c r="AX4" s="141"/>
      <c r="AY4" s="110"/>
      <c r="AZ4" s="257" t="s">
        <v>1886</v>
      </c>
      <c r="BA4" s="257"/>
      <c r="BB4" s="257"/>
      <c r="BC4" s="257"/>
      <c r="BD4" s="257"/>
      <c r="BE4" s="257"/>
      <c r="BF4" s="257"/>
      <c r="BG4" s="257"/>
      <c r="BH4" s="257"/>
      <c r="BI4" s="257"/>
      <c r="BJ4" s="257"/>
      <c r="BK4" s="257"/>
      <c r="BL4" s="226"/>
    </row>
    <row r="5" spans="1:65" s="68" customFormat="1" ht="15" customHeight="1" x14ac:dyDescent="0.25">
      <c r="C5" s="68">
        <v>2019</v>
      </c>
      <c r="D5" s="69"/>
      <c r="E5" s="68">
        <v>2020</v>
      </c>
      <c r="F5" s="69"/>
      <c r="G5" s="68">
        <v>2021</v>
      </c>
      <c r="H5" s="69"/>
      <c r="I5" s="68">
        <v>2022</v>
      </c>
      <c r="J5" s="69"/>
      <c r="K5" s="228" t="s">
        <v>187</v>
      </c>
      <c r="L5" s="228" t="s">
        <v>188</v>
      </c>
      <c r="M5" s="228" t="s">
        <v>189</v>
      </c>
      <c r="N5" s="228" t="s">
        <v>190</v>
      </c>
      <c r="O5" s="68">
        <v>2023</v>
      </c>
      <c r="P5" s="69"/>
      <c r="Q5" s="111"/>
      <c r="R5" s="68" t="s">
        <v>187</v>
      </c>
      <c r="S5" s="109" t="s">
        <v>188</v>
      </c>
      <c r="T5" s="109" t="s">
        <v>189</v>
      </c>
      <c r="U5" s="109" t="s">
        <v>190</v>
      </c>
      <c r="V5" s="68">
        <v>2024</v>
      </c>
      <c r="W5" s="69"/>
      <c r="X5" s="68" t="s">
        <v>193</v>
      </c>
      <c r="Y5" s="111"/>
      <c r="Z5" s="68" t="s">
        <v>187</v>
      </c>
      <c r="AA5" s="109" t="s">
        <v>188</v>
      </c>
      <c r="AB5" s="109" t="s">
        <v>189</v>
      </c>
      <c r="AC5" s="109" t="s">
        <v>190</v>
      </c>
      <c r="AD5" s="68">
        <v>2025</v>
      </c>
      <c r="AE5" s="111"/>
      <c r="AF5" s="109" t="s">
        <v>493</v>
      </c>
      <c r="AG5" s="109" t="s">
        <v>281</v>
      </c>
      <c r="AH5" s="109" t="s">
        <v>282</v>
      </c>
      <c r="AI5" s="109" t="s">
        <v>283</v>
      </c>
      <c r="AJ5" s="109" t="s">
        <v>494</v>
      </c>
      <c r="AK5" s="109" t="s">
        <v>495</v>
      </c>
      <c r="AL5" s="109" t="s">
        <v>496</v>
      </c>
      <c r="AM5" s="109" t="s">
        <v>497</v>
      </c>
      <c r="AN5" s="109" t="s">
        <v>498</v>
      </c>
      <c r="AO5" s="109" t="s">
        <v>499</v>
      </c>
      <c r="AP5" s="109" t="s">
        <v>240</v>
      </c>
      <c r="AQ5" s="109" t="s">
        <v>1764</v>
      </c>
      <c r="AR5" s="226" t="s">
        <v>1765</v>
      </c>
      <c r="AS5" s="226" t="s">
        <v>281</v>
      </c>
      <c r="AT5" s="226" t="s">
        <v>282</v>
      </c>
      <c r="AU5" s="226" t="s">
        <v>283</v>
      </c>
      <c r="AV5" s="226" t="s">
        <v>1766</v>
      </c>
      <c r="AW5" s="142"/>
      <c r="AX5" s="142" t="s">
        <v>500</v>
      </c>
      <c r="AY5" s="111"/>
      <c r="AZ5" s="226" t="s">
        <v>494</v>
      </c>
      <c r="BA5" s="226" t="s">
        <v>495</v>
      </c>
      <c r="BB5" s="226" t="s">
        <v>496</v>
      </c>
      <c r="BC5" s="226" t="s">
        <v>497</v>
      </c>
      <c r="BD5" s="226" t="s">
        <v>498</v>
      </c>
      <c r="BE5" s="226" t="s">
        <v>499</v>
      </c>
      <c r="BF5" s="226" t="s">
        <v>240</v>
      </c>
      <c r="BG5" s="226" t="s">
        <v>1764</v>
      </c>
      <c r="BH5" s="226" t="s">
        <v>1765</v>
      </c>
      <c r="BI5" s="226" t="s">
        <v>281</v>
      </c>
      <c r="BJ5" s="226" t="s">
        <v>282</v>
      </c>
      <c r="BK5" s="226" t="s">
        <v>283</v>
      </c>
      <c r="BL5" s="226" t="s">
        <v>2137</v>
      </c>
    </row>
    <row r="6" spans="1:65" hidden="1" x14ac:dyDescent="0.25">
      <c r="A6" t="s">
        <v>149</v>
      </c>
      <c r="K6" s="229"/>
      <c r="L6" s="229"/>
      <c r="M6" s="229"/>
      <c r="N6" s="229"/>
      <c r="AZ6" s="104"/>
      <c r="BA6" s="104"/>
      <c r="BB6" s="104"/>
      <c r="BC6" s="104"/>
      <c r="BD6" s="104"/>
      <c r="BE6" s="104"/>
    </row>
    <row r="7" spans="1:65" hidden="1" x14ac:dyDescent="0.25">
      <c r="B7" t="s">
        <v>153</v>
      </c>
      <c r="C7" s="8"/>
      <c r="E7" s="8"/>
      <c r="G7" s="8"/>
      <c r="I7" s="8"/>
      <c r="K7" s="230"/>
      <c r="L7" s="230"/>
      <c r="M7" s="230"/>
      <c r="N7" s="230"/>
      <c r="O7" s="8"/>
      <c r="Q7" s="113"/>
      <c r="R7" s="8"/>
      <c r="S7" s="8"/>
      <c r="T7" s="8"/>
      <c r="U7" s="8"/>
      <c r="V7" s="8"/>
      <c r="Y7" s="113"/>
      <c r="Z7" s="8"/>
      <c r="AA7" s="8"/>
      <c r="AB7" s="8"/>
      <c r="AC7" s="8"/>
      <c r="AD7" s="8"/>
      <c r="AE7" s="113"/>
      <c r="AF7" s="121"/>
      <c r="AG7" s="121"/>
      <c r="AH7" s="121"/>
      <c r="AI7" s="121"/>
      <c r="AJ7" s="178"/>
      <c r="AK7" s="178"/>
      <c r="AL7" s="178"/>
      <c r="AM7" s="178"/>
      <c r="AN7" s="178"/>
      <c r="AO7" s="178"/>
      <c r="AP7" s="178"/>
      <c r="AQ7" s="178"/>
      <c r="AR7" s="178"/>
      <c r="AS7" s="178"/>
      <c r="AT7" s="178"/>
      <c r="AU7" s="178"/>
      <c r="AV7" s="121">
        <f>SUM(AJ7:AU7)</f>
        <v>0</v>
      </c>
      <c r="AW7" s="143">
        <f>AV7/AV$15</f>
        <v>0</v>
      </c>
      <c r="AY7" s="113"/>
      <c r="AZ7" s="178"/>
      <c r="BA7" s="178"/>
      <c r="BB7" s="178"/>
      <c r="BC7" s="178"/>
      <c r="BD7" s="178"/>
      <c r="BE7" s="178"/>
      <c r="BF7" s="178"/>
      <c r="BG7" s="178"/>
      <c r="BH7" s="178"/>
      <c r="BI7" s="178"/>
      <c r="BJ7" s="178"/>
      <c r="BK7" s="178"/>
      <c r="BL7" s="121">
        <f>SUM(AZ7:BK7)</f>
        <v>0</v>
      </c>
    </row>
    <row r="8" spans="1:65" hidden="1" x14ac:dyDescent="0.25">
      <c r="B8" t="s">
        <v>288</v>
      </c>
      <c r="C8" s="8"/>
      <c r="E8" s="8"/>
      <c r="G8" s="8"/>
      <c r="I8" s="8"/>
      <c r="K8" s="230"/>
      <c r="L8" s="230"/>
      <c r="M8" s="230"/>
      <c r="N8" s="230"/>
      <c r="O8" s="8"/>
      <c r="Q8" s="113"/>
      <c r="R8" s="8"/>
      <c r="S8" s="8"/>
      <c r="T8" s="8"/>
      <c r="U8" s="8"/>
      <c r="V8" s="8"/>
      <c r="Y8" s="113"/>
      <c r="Z8" s="8"/>
      <c r="AA8" s="8"/>
      <c r="AB8" s="8"/>
      <c r="AC8" s="8"/>
      <c r="AD8" s="8"/>
      <c r="AE8" s="113"/>
      <c r="AF8" s="121"/>
      <c r="AG8" s="121"/>
      <c r="AH8" s="121"/>
      <c r="AI8" s="121"/>
      <c r="AJ8" s="178"/>
      <c r="AK8" s="178"/>
      <c r="AL8" s="178"/>
      <c r="AM8" s="178"/>
      <c r="AN8" s="178"/>
      <c r="AO8" s="178"/>
      <c r="AP8" s="178"/>
      <c r="AQ8" s="178"/>
      <c r="AR8" s="178"/>
      <c r="AS8" s="178"/>
      <c r="AT8" s="178"/>
      <c r="AU8" s="178"/>
      <c r="AV8" s="121">
        <f t="shared" ref="AV8:AV11" si="0">SUM(AJ8:AU8)</f>
        <v>0</v>
      </c>
      <c r="AW8" s="143">
        <f>AV8/AV$15</f>
        <v>0</v>
      </c>
      <c r="AY8" s="113"/>
      <c r="AZ8" s="178"/>
      <c r="BA8" s="178"/>
      <c r="BB8" s="178"/>
      <c r="BC8" s="178"/>
      <c r="BD8" s="178"/>
      <c r="BE8" s="178"/>
      <c r="BF8" s="178"/>
      <c r="BG8" s="178"/>
      <c r="BH8" s="178"/>
      <c r="BI8" s="178"/>
      <c r="BJ8" s="178"/>
      <c r="BK8" s="178"/>
      <c r="BL8" s="121">
        <f t="shared" ref="BL8:BL11" si="1">SUM(AZ8:BK8)</f>
        <v>0</v>
      </c>
    </row>
    <row r="9" spans="1:65" hidden="1" x14ac:dyDescent="0.25">
      <c r="B9" t="s">
        <v>501</v>
      </c>
      <c r="C9" s="8"/>
      <c r="E9" s="8"/>
      <c r="G9" s="8"/>
      <c r="I9" s="8"/>
      <c r="K9" s="230"/>
      <c r="L9" s="230"/>
      <c r="M9" s="230"/>
      <c r="N9" s="230"/>
      <c r="O9" s="8"/>
      <c r="Q9" s="113"/>
      <c r="R9" s="8"/>
      <c r="S9" s="8"/>
      <c r="T9" s="8"/>
      <c r="U9" s="8"/>
      <c r="V9" s="8"/>
      <c r="Y9" s="113"/>
      <c r="Z9" s="8"/>
      <c r="AA9" s="8"/>
      <c r="AB9" s="8"/>
      <c r="AC9" s="8"/>
      <c r="AD9" s="8"/>
      <c r="AE9" s="113"/>
      <c r="AF9" s="121"/>
      <c r="AG9" s="121"/>
      <c r="AH9" s="121"/>
      <c r="AI9" s="121"/>
      <c r="AJ9" s="178"/>
      <c r="AK9" s="178"/>
      <c r="AL9" s="178"/>
      <c r="AM9" s="178"/>
      <c r="AN9" s="178"/>
      <c r="AO9" s="178"/>
      <c r="AP9" s="178"/>
      <c r="AQ9" s="178"/>
      <c r="AR9" s="178"/>
      <c r="AS9" s="178"/>
      <c r="AT9" s="178"/>
      <c r="AU9" s="178"/>
      <c r="AV9" s="121">
        <f t="shared" si="0"/>
        <v>0</v>
      </c>
      <c r="AW9" s="143">
        <f>AV9/AV$15</f>
        <v>0</v>
      </c>
      <c r="AY9" s="113"/>
      <c r="AZ9" s="178"/>
      <c r="BA9" s="178"/>
      <c r="BB9" s="178"/>
      <c r="BC9" s="178"/>
      <c r="BD9" s="178"/>
      <c r="BE9" s="178"/>
      <c r="BF9" s="178"/>
      <c r="BG9" s="178"/>
      <c r="BH9" s="178"/>
      <c r="BI9" s="178"/>
      <c r="BJ9" s="178"/>
      <c r="BK9" s="178"/>
      <c r="BL9" s="121">
        <f t="shared" si="1"/>
        <v>0</v>
      </c>
    </row>
    <row r="10" spans="1:65" hidden="1" x14ac:dyDescent="0.25">
      <c r="B10" t="s">
        <v>150</v>
      </c>
      <c r="C10" s="8"/>
      <c r="E10" s="8"/>
      <c r="G10" s="8"/>
      <c r="I10" s="8"/>
      <c r="K10" s="230"/>
      <c r="L10" s="230"/>
      <c r="M10" s="230"/>
      <c r="N10" s="230"/>
      <c r="O10" s="8"/>
      <c r="Q10" s="113"/>
      <c r="R10" s="8"/>
      <c r="S10" s="8"/>
      <c r="T10" s="8"/>
      <c r="U10" s="8"/>
      <c r="V10" s="8"/>
      <c r="Y10" s="113"/>
      <c r="Z10" s="8"/>
      <c r="AA10" s="8"/>
      <c r="AB10" s="8"/>
      <c r="AC10" s="8"/>
      <c r="AD10" s="8"/>
      <c r="AE10" s="113"/>
      <c r="AF10" s="121"/>
      <c r="AG10" s="121"/>
      <c r="AH10" s="121"/>
      <c r="AI10" s="121"/>
      <c r="AJ10" s="178"/>
      <c r="AK10" s="178"/>
      <c r="AL10" s="178"/>
      <c r="AM10" s="178"/>
      <c r="AN10" s="178"/>
      <c r="AO10" s="178"/>
      <c r="AP10" s="178"/>
      <c r="AQ10" s="178"/>
      <c r="AR10" s="178"/>
      <c r="AS10" s="178"/>
      <c r="AT10" s="178"/>
      <c r="AU10" s="178"/>
      <c r="AV10" s="121">
        <f t="shared" si="0"/>
        <v>0</v>
      </c>
      <c r="AW10" s="143">
        <f>AV10/AV$15</f>
        <v>0</v>
      </c>
      <c r="AY10" s="113"/>
      <c r="AZ10" s="178"/>
      <c r="BA10" s="178"/>
      <c r="BB10" s="178"/>
      <c r="BC10" s="178"/>
      <c r="BD10" s="178"/>
      <c r="BE10" s="178"/>
      <c r="BF10" s="178"/>
      <c r="BG10" s="178"/>
      <c r="BH10" s="178"/>
      <c r="BI10" s="178"/>
      <c r="BJ10" s="178"/>
      <c r="BK10" s="178"/>
      <c r="BL10" s="121">
        <f t="shared" si="1"/>
        <v>0</v>
      </c>
    </row>
    <row r="11" spans="1:65" hidden="1" x14ac:dyDescent="0.25">
      <c r="B11" t="s">
        <v>151</v>
      </c>
      <c r="C11" s="9"/>
      <c r="D11" s="43"/>
      <c r="E11" s="9"/>
      <c r="F11" s="43"/>
      <c r="G11" s="9"/>
      <c r="H11" s="43"/>
      <c r="I11" s="9"/>
      <c r="J11" s="43"/>
      <c r="K11" s="231"/>
      <c r="L11" s="231"/>
      <c r="M11" s="231"/>
      <c r="N11" s="231"/>
      <c r="O11" s="9"/>
      <c r="P11" s="43"/>
      <c r="Q11" s="113"/>
      <c r="R11" s="9"/>
      <c r="S11" s="9"/>
      <c r="T11" s="9"/>
      <c r="U11" s="9"/>
      <c r="V11" s="9"/>
      <c r="W11" s="43"/>
      <c r="Y11" s="113"/>
      <c r="Z11" s="8"/>
      <c r="AA11" s="8"/>
      <c r="AB11" s="8"/>
      <c r="AC11" s="8"/>
      <c r="AD11" s="8"/>
      <c r="AE11" s="113"/>
      <c r="AF11" s="122"/>
      <c r="AG11" s="122"/>
      <c r="AH11" s="122"/>
      <c r="AI11" s="122"/>
      <c r="AJ11" s="201"/>
      <c r="AK11" s="201"/>
      <c r="AL11" s="201"/>
      <c r="AM11" s="201"/>
      <c r="AN11" s="201"/>
      <c r="AO11" s="201"/>
      <c r="AP11" s="201"/>
      <c r="AQ11" s="201"/>
      <c r="AR11" s="201"/>
      <c r="AS11" s="201"/>
      <c r="AT11" s="201"/>
      <c r="AU11" s="201"/>
      <c r="AV11" s="122">
        <f t="shared" si="0"/>
        <v>0</v>
      </c>
      <c r="AW11" s="144">
        <f>AV11/AV$15</f>
        <v>0</v>
      </c>
      <c r="AY11" s="113"/>
      <c r="AZ11" s="201"/>
      <c r="BA11" s="201"/>
      <c r="BB11" s="201"/>
      <c r="BC11" s="201"/>
      <c r="BD11" s="201"/>
      <c r="BE11" s="201"/>
      <c r="BF11" s="201"/>
      <c r="BG11" s="201"/>
      <c r="BH11" s="201"/>
      <c r="BI11" s="201"/>
      <c r="BJ11" s="201"/>
      <c r="BK11" s="201"/>
      <c r="BL11" s="122">
        <f t="shared" si="1"/>
        <v>0</v>
      </c>
    </row>
    <row r="12" spans="1:65" hidden="1" x14ac:dyDescent="0.25">
      <c r="B12" t="s">
        <v>186</v>
      </c>
      <c r="C12" s="8">
        <f>QB!F20+QB!F30+QB!F33+QB!F34+QB!F40</f>
        <v>1176162.07</v>
      </c>
      <c r="E12" s="8">
        <f>QB!K20+QB!K30+QB!K33+QB!K34+QB!K40</f>
        <v>1985300.71</v>
      </c>
      <c r="G12" s="8">
        <f>QB!P20+QB!P30+QB!P33+QB!P34+QB!P40</f>
        <v>1946199.25</v>
      </c>
      <c r="I12" s="8"/>
      <c r="K12" s="229"/>
      <c r="L12" s="229"/>
      <c r="M12" s="229"/>
      <c r="N12" s="229"/>
      <c r="AZ12" s="104"/>
      <c r="BA12" s="104"/>
      <c r="BB12" s="104"/>
      <c r="BC12" s="104"/>
      <c r="BD12" s="104"/>
      <c r="BE12" s="104"/>
    </row>
    <row r="13" spans="1:65" hidden="1" x14ac:dyDescent="0.25">
      <c r="B13" t="s">
        <v>192</v>
      </c>
      <c r="C13" s="8">
        <f>QB!F24+QB!F29</f>
        <v>98761.520000000019</v>
      </c>
      <c r="E13" s="8">
        <f>QB!K24+QB!K29</f>
        <v>182871.54</v>
      </c>
      <c r="G13" s="8">
        <f>QB!P24+QB!P29</f>
        <v>249354.49999999997</v>
      </c>
      <c r="I13" s="8"/>
      <c r="K13" s="229"/>
      <c r="L13" s="229"/>
      <c r="M13" s="229"/>
      <c r="N13" s="229"/>
      <c r="AZ13" s="104"/>
      <c r="BA13" s="104"/>
      <c r="BB13" s="104"/>
      <c r="BC13" s="104"/>
      <c r="BD13" s="104"/>
      <c r="BE13" s="104"/>
    </row>
    <row r="14" spans="1:65" hidden="1" x14ac:dyDescent="0.25">
      <c r="B14" t="s">
        <v>154</v>
      </c>
      <c r="C14" s="9">
        <f>QB!F42+QB!F43+QB!F44</f>
        <v>5945.28</v>
      </c>
      <c r="E14" s="9">
        <f>QB!K42+QB!K43+QB!K44</f>
        <v>1082.8899999999999</v>
      </c>
      <c r="G14" s="9">
        <f>QB!P42+QB!P43+QB!P44</f>
        <v>6343.26</v>
      </c>
      <c r="I14" s="8"/>
      <c r="K14" s="229"/>
      <c r="L14" s="229"/>
      <c r="M14" s="229"/>
      <c r="N14" s="229"/>
      <c r="AZ14" s="104"/>
      <c r="BA14" s="104"/>
      <c r="BB14" s="104"/>
      <c r="BC14" s="104"/>
      <c r="BD14" s="104"/>
      <c r="BE14" s="104"/>
    </row>
    <row r="15" spans="1:65" s="45" customFormat="1" x14ac:dyDescent="0.25">
      <c r="A15" t="s">
        <v>149</v>
      </c>
      <c r="C15" s="46">
        <f>SUM(C12:C14)</f>
        <v>1280868.8700000001</v>
      </c>
      <c r="D15" s="47">
        <f t="shared" ref="D15" si="2">C15/C$15</f>
        <v>1</v>
      </c>
      <c r="E15" s="46">
        <f>SUM(E12:E14)</f>
        <v>2169255.14</v>
      </c>
      <c r="F15" s="47">
        <f>E15/E$15</f>
        <v>1</v>
      </c>
      <c r="G15" s="46">
        <f>SUM(G12:G14)</f>
        <v>2201897.0099999998</v>
      </c>
      <c r="H15" s="47">
        <f>G15/G$15</f>
        <v>1</v>
      </c>
      <c r="I15" s="48">
        <v>2321440</v>
      </c>
      <c r="J15" s="47">
        <f>I15/I$15</f>
        <v>1</v>
      </c>
      <c r="K15" s="232">
        <v>570041</v>
      </c>
      <c r="L15" s="232">
        <v>405174</v>
      </c>
      <c r="M15" s="232">
        <v>347143</v>
      </c>
      <c r="N15" s="232">
        <v>432361</v>
      </c>
      <c r="O15" s="48">
        <f>SUM(K15:N15)</f>
        <v>1754719</v>
      </c>
      <c r="P15" s="47">
        <f>O15/O$15</f>
        <v>1</v>
      </c>
      <c r="Q15" s="114"/>
      <c r="R15" s="48">
        <f>SUM(AJ15:AL15)</f>
        <v>232955</v>
      </c>
      <c r="S15" s="48">
        <f>SUM(AM15:AO15)</f>
        <v>218307</v>
      </c>
      <c r="T15" s="48">
        <f>SUM(AP15:AR15)</f>
        <v>177640</v>
      </c>
      <c r="U15" s="48">
        <f>SUM(AS15:AU15)</f>
        <v>320000</v>
      </c>
      <c r="V15" s="48">
        <f>SUM(R15:U15)</f>
        <v>948902</v>
      </c>
      <c r="W15" s="47">
        <f>V15/V$15</f>
        <v>1</v>
      </c>
      <c r="Y15" s="114"/>
      <c r="Z15" s="48">
        <f>SUM(AZ15:BB15)</f>
        <v>270000</v>
      </c>
      <c r="AA15" s="48">
        <f>SUM(BC15:BE15)</f>
        <v>350000</v>
      </c>
      <c r="AB15" s="48">
        <f>SUM(BF15:BH15)</f>
        <v>390000</v>
      </c>
      <c r="AC15" s="48">
        <f>SUM(BI15:BK15)</f>
        <v>485000</v>
      </c>
      <c r="AD15" s="48">
        <f>SUM(Z15:AC15)</f>
        <v>1495000</v>
      </c>
      <c r="AE15" s="114"/>
      <c r="AF15" s="126">
        <v>347143</v>
      </c>
      <c r="AG15" s="126">
        <v>155912</v>
      </c>
      <c r="AH15" s="126">
        <v>147384</v>
      </c>
      <c r="AI15" s="126">
        <v>129065</v>
      </c>
      <c r="AJ15" s="48">
        <v>97342</v>
      </c>
      <c r="AK15" s="126">
        <v>69706</v>
      </c>
      <c r="AL15" s="216">
        <v>65907</v>
      </c>
      <c r="AM15" s="126">
        <v>58908</v>
      </c>
      <c r="AN15" s="126">
        <v>77566</v>
      </c>
      <c r="AO15" s="126">
        <v>81833</v>
      </c>
      <c r="AP15" s="126">
        <v>64514</v>
      </c>
      <c r="AQ15" s="126">
        <v>34126</v>
      </c>
      <c r="AR15" s="173">
        <v>79000</v>
      </c>
      <c r="AS15" s="173">
        <v>120000</v>
      </c>
      <c r="AT15" s="173">
        <v>100000</v>
      </c>
      <c r="AU15" s="173">
        <v>100000</v>
      </c>
      <c r="AV15" s="173">
        <f>SUM(AJ15:AU15)</f>
        <v>948902</v>
      </c>
      <c r="AW15" s="174">
        <f t="shared" ref="AW15" si="3">AV15/AV$15</f>
        <v>1</v>
      </c>
      <c r="AX15" s="143" t="s">
        <v>1772</v>
      </c>
      <c r="AY15" s="117"/>
      <c r="AZ15" s="173">
        <v>100000</v>
      </c>
      <c r="BA15" s="173">
        <v>80000</v>
      </c>
      <c r="BB15" s="173">
        <v>90000</v>
      </c>
      <c r="BC15" s="173">
        <v>110000</v>
      </c>
      <c r="BD15" s="173">
        <v>120000</v>
      </c>
      <c r="BE15" s="173">
        <v>120000</v>
      </c>
      <c r="BF15" s="173">
        <v>120000</v>
      </c>
      <c r="BG15" s="173">
        <v>130000</v>
      </c>
      <c r="BH15" s="173">
        <v>140000</v>
      </c>
      <c r="BI15" s="173">
        <v>180000</v>
      </c>
      <c r="BJ15" s="173">
        <v>180000</v>
      </c>
      <c r="BK15" s="173">
        <v>125000</v>
      </c>
      <c r="BL15" s="173">
        <f>SUM(AZ15:BK15)</f>
        <v>1495000</v>
      </c>
      <c r="BM15" s="174">
        <f t="shared" ref="BM15" si="4">BL15/BL$15</f>
        <v>1</v>
      </c>
    </row>
    <row r="16" spans="1:65" x14ac:dyDescent="0.25">
      <c r="A16" t="s">
        <v>155</v>
      </c>
      <c r="C16" s="8"/>
      <c r="E16" s="8"/>
      <c r="G16" s="8"/>
      <c r="I16" s="8"/>
      <c r="K16" s="229"/>
      <c r="L16" s="229"/>
      <c r="M16" s="229"/>
      <c r="N16" s="229"/>
      <c r="BM16" s="143"/>
    </row>
    <row r="17" spans="1:65" x14ac:dyDescent="0.25">
      <c r="B17" t="s">
        <v>184</v>
      </c>
      <c r="C17" s="8">
        <f>QB!F47+QB!F48+QB!F50+QB!F51</f>
        <v>497738.93</v>
      </c>
      <c r="D17" s="41">
        <f t="shared" ref="D17:D18" si="5">C17/C$15</f>
        <v>0.38859475911847241</v>
      </c>
      <c r="E17" s="8">
        <v>725353</v>
      </c>
      <c r="F17" s="41">
        <f>E17/E$15</f>
        <v>0.33437883198930668</v>
      </c>
      <c r="G17" s="8">
        <f>QB!P47+QB!P48+QB!P50+QB!P51</f>
        <v>943998.9</v>
      </c>
      <c r="H17" s="41">
        <f t="shared" ref="H17:H25" si="6">G17/G$15</f>
        <v>0.42872073294654234</v>
      </c>
      <c r="I17" s="8">
        <v>1012654</v>
      </c>
      <c r="J17" s="41">
        <f>I17/I$15</f>
        <v>0.43621803708043283</v>
      </c>
      <c r="K17" s="230">
        <v>342783</v>
      </c>
      <c r="L17" s="230">
        <v>213990</v>
      </c>
      <c r="M17" s="230">
        <v>225540</v>
      </c>
      <c r="N17" s="230">
        <v>184128</v>
      </c>
      <c r="O17" s="8">
        <f>SUM(K17:N17)</f>
        <v>966441</v>
      </c>
      <c r="P17" s="41">
        <f>O17/O$15</f>
        <v>0.55076681793495141</v>
      </c>
      <c r="Q17" s="113"/>
      <c r="R17" s="8">
        <f>SUM(AJ17:AL17)</f>
        <v>101494</v>
      </c>
      <c r="S17" s="8">
        <f>SUM(AM17:AO17)</f>
        <v>125394</v>
      </c>
      <c r="T17" s="8">
        <f>SUM(AP17:AR17)</f>
        <v>63093</v>
      </c>
      <c r="U17" s="8">
        <f>SUM(AS17:AU17)</f>
        <v>134400</v>
      </c>
      <c r="V17" s="8">
        <f>SUM(R17:U17)</f>
        <v>424381</v>
      </c>
      <c r="W17" s="41">
        <f>V17/V$15</f>
        <v>0.44723375016598133</v>
      </c>
      <c r="Y17" s="113"/>
      <c r="Z17" s="8">
        <f>SUM(AZ17:BB17)</f>
        <v>113400</v>
      </c>
      <c r="AA17" s="8">
        <f>SUM(BC17:BE17)</f>
        <v>147000</v>
      </c>
      <c r="AB17" s="8">
        <f>SUM(BF17:BH17)</f>
        <v>163800</v>
      </c>
      <c r="AC17" s="8">
        <f>SUM(BI17:BK17)</f>
        <v>203700</v>
      </c>
      <c r="AD17" s="8">
        <f>SUM(Z17:AC17)</f>
        <v>627900</v>
      </c>
      <c r="AE17" s="113"/>
      <c r="AF17" s="121">
        <v>199547</v>
      </c>
      <c r="AG17" s="121">
        <v>51354</v>
      </c>
      <c r="AH17" s="121">
        <v>56556</v>
      </c>
      <c r="AI17" s="121">
        <v>54070</v>
      </c>
      <c r="AJ17" s="121">
        <v>40909</v>
      </c>
      <c r="AK17" s="121">
        <v>27875</v>
      </c>
      <c r="AL17" s="121">
        <v>32710</v>
      </c>
      <c r="AM17" s="121">
        <v>44532</v>
      </c>
      <c r="AN17" s="121">
        <v>47512</v>
      </c>
      <c r="AO17" s="121">
        <v>33350</v>
      </c>
      <c r="AP17" s="121">
        <v>21398</v>
      </c>
      <c r="AQ17" s="121">
        <v>11321</v>
      </c>
      <c r="AR17" s="178">
        <v>30374</v>
      </c>
      <c r="AS17" s="178">
        <f>AS15*0.42</f>
        <v>50400</v>
      </c>
      <c r="AT17" s="178">
        <f t="shared" ref="AT17:AU17" si="7">AT15*0.42</f>
        <v>42000</v>
      </c>
      <c r="AU17" s="178">
        <f t="shared" si="7"/>
        <v>42000</v>
      </c>
      <c r="AV17" s="178">
        <f t="shared" ref="AV17:AV23" si="8">SUM(AJ17:AU17)</f>
        <v>424381</v>
      </c>
      <c r="AW17" s="175">
        <f t="shared" ref="AW17:AW25" si="9">AV17/AV$15</f>
        <v>0.44723375016598133</v>
      </c>
      <c r="AX17" s="175" t="s">
        <v>2126</v>
      </c>
      <c r="AY17" s="195"/>
      <c r="AZ17" s="178">
        <f>AZ15*0.42</f>
        <v>42000</v>
      </c>
      <c r="BA17" s="178">
        <f t="shared" ref="BA17:BK17" si="10">BA15*0.42</f>
        <v>33600</v>
      </c>
      <c r="BB17" s="178">
        <f t="shared" si="10"/>
        <v>37800</v>
      </c>
      <c r="BC17" s="178">
        <f t="shared" si="10"/>
        <v>46200</v>
      </c>
      <c r="BD17" s="178">
        <f t="shared" si="10"/>
        <v>50400</v>
      </c>
      <c r="BE17" s="178">
        <f t="shared" si="10"/>
        <v>50400</v>
      </c>
      <c r="BF17" s="178">
        <f t="shared" si="10"/>
        <v>50400</v>
      </c>
      <c r="BG17" s="178">
        <f t="shared" si="10"/>
        <v>54600</v>
      </c>
      <c r="BH17" s="178">
        <f t="shared" si="10"/>
        <v>58800</v>
      </c>
      <c r="BI17" s="178">
        <f t="shared" si="10"/>
        <v>75600</v>
      </c>
      <c r="BJ17" s="178">
        <f t="shared" si="10"/>
        <v>75600</v>
      </c>
      <c r="BK17" s="178">
        <f t="shared" si="10"/>
        <v>52500</v>
      </c>
      <c r="BL17" s="178">
        <f t="shared" ref="BL17:BL23" si="11">SUM(AZ17:BK17)</f>
        <v>627900</v>
      </c>
      <c r="BM17" s="175">
        <f t="shared" ref="BM17:BM23" si="12">BL17/BL$15</f>
        <v>0.42</v>
      </c>
    </row>
    <row r="18" spans="1:65" x14ac:dyDescent="0.25">
      <c r="B18" t="s">
        <v>183</v>
      </c>
      <c r="C18" s="8">
        <f>QB!F49</f>
        <v>115308.88</v>
      </c>
      <c r="D18" s="41">
        <f t="shared" si="5"/>
        <v>9.0023953818160946E-2</v>
      </c>
      <c r="E18" s="8">
        <f>QB!K49</f>
        <v>198278.66999999998</v>
      </c>
      <c r="F18" s="41">
        <f>E18/E$15</f>
        <v>9.1404033736667778E-2</v>
      </c>
      <c r="G18" s="8">
        <f>QB!P49</f>
        <v>268052.96999999997</v>
      </c>
      <c r="H18" s="41">
        <f t="shared" si="6"/>
        <v>0.12173728779440052</v>
      </c>
      <c r="I18" s="8">
        <v>214975</v>
      </c>
      <c r="J18" s="41">
        <f>I18/I$15</f>
        <v>9.2604159487214829E-2</v>
      </c>
      <c r="K18" s="230">
        <v>46962</v>
      </c>
      <c r="L18" s="230">
        <v>32407</v>
      </c>
      <c r="M18" s="230">
        <v>27976</v>
      </c>
      <c r="N18" s="230">
        <v>27158</v>
      </c>
      <c r="O18" s="8">
        <f t="shared" ref="O18:O23" si="13">SUM(K18:N18)</f>
        <v>134503</v>
      </c>
      <c r="P18" s="41">
        <f>O18/O$15</f>
        <v>7.6652159120634125E-2</v>
      </c>
      <c r="Q18" s="113"/>
      <c r="R18" s="8">
        <f t="shared" ref="R18:R23" si="14">SUM(AJ18:AL18)</f>
        <v>18015</v>
      </c>
      <c r="S18" s="8">
        <f t="shared" ref="S18:S23" si="15">SUM(AM18:AO18)</f>
        <v>12763</v>
      </c>
      <c r="T18" s="8">
        <f t="shared" ref="T18:T23" si="16">SUM(AP18:AR18)</f>
        <v>11467</v>
      </c>
      <c r="U18" s="8">
        <f t="shared" ref="U18:U23" si="17">SUM(AS18:AU18)</f>
        <v>19200</v>
      </c>
      <c r="V18" s="8">
        <f t="shared" ref="V18:V23" si="18">SUM(R18:U18)</f>
        <v>61445</v>
      </c>
      <c r="W18" s="41">
        <f>V18/V$15</f>
        <v>6.4753789116262797E-2</v>
      </c>
      <c r="Y18" s="113"/>
      <c r="Z18" s="8">
        <f t="shared" ref="Z18:Z23" si="19">SUM(AZ18:BB18)</f>
        <v>16200</v>
      </c>
      <c r="AA18" s="8">
        <f t="shared" ref="AA18:AA23" si="20">SUM(BC18:BE18)</f>
        <v>21000</v>
      </c>
      <c r="AB18" s="8">
        <f t="shared" ref="AB18:AB23" si="21">SUM(BF18:BH18)</f>
        <v>23400</v>
      </c>
      <c r="AC18" s="8">
        <f t="shared" ref="AC18:AC23" si="22">SUM(BI18:BK18)</f>
        <v>29100</v>
      </c>
      <c r="AD18" s="8">
        <f t="shared" ref="AD18:AD23" si="23">SUM(Z18:AC18)</f>
        <v>89700</v>
      </c>
      <c r="AE18" s="113"/>
      <c r="AF18" s="121">
        <v>27976</v>
      </c>
      <c r="AG18" s="121">
        <v>8573</v>
      </c>
      <c r="AH18" s="121">
        <v>10446</v>
      </c>
      <c r="AI18" s="121">
        <v>8139</v>
      </c>
      <c r="AJ18" s="121">
        <v>8646</v>
      </c>
      <c r="AK18" s="121">
        <v>5159</v>
      </c>
      <c r="AL18" s="121">
        <v>4210</v>
      </c>
      <c r="AM18" s="121">
        <v>4062</v>
      </c>
      <c r="AN18" s="121">
        <v>5030</v>
      </c>
      <c r="AO18" s="121">
        <v>3671</v>
      </c>
      <c r="AP18" s="121">
        <v>4688</v>
      </c>
      <c r="AQ18" s="121">
        <v>3279</v>
      </c>
      <c r="AR18" s="178">
        <v>3500</v>
      </c>
      <c r="AS18" s="178">
        <f>0.06*AS15</f>
        <v>7200</v>
      </c>
      <c r="AT18" s="178">
        <f t="shared" ref="AT18:AU18" si="24">0.06*AT15</f>
        <v>6000</v>
      </c>
      <c r="AU18" s="178">
        <f t="shared" si="24"/>
        <v>6000</v>
      </c>
      <c r="AV18" s="178">
        <f t="shared" si="8"/>
        <v>61445</v>
      </c>
      <c r="AW18" s="175">
        <f t="shared" si="9"/>
        <v>6.4753789116262797E-2</v>
      </c>
      <c r="AX18" s="175" t="s">
        <v>538</v>
      </c>
      <c r="AY18" s="195"/>
      <c r="AZ18" s="178">
        <f t="shared" ref="AZ18:BK18" si="25">0.06*AZ15</f>
        <v>6000</v>
      </c>
      <c r="BA18" s="178">
        <f t="shared" si="25"/>
        <v>4800</v>
      </c>
      <c r="BB18" s="178">
        <f t="shared" si="25"/>
        <v>5400</v>
      </c>
      <c r="BC18" s="178">
        <f t="shared" si="25"/>
        <v>6600</v>
      </c>
      <c r="BD18" s="178">
        <f t="shared" si="25"/>
        <v>7200</v>
      </c>
      <c r="BE18" s="178">
        <f t="shared" si="25"/>
        <v>7200</v>
      </c>
      <c r="BF18" s="178">
        <f t="shared" si="25"/>
        <v>7200</v>
      </c>
      <c r="BG18" s="178">
        <f t="shared" si="25"/>
        <v>7800</v>
      </c>
      <c r="BH18" s="178">
        <f t="shared" si="25"/>
        <v>8400</v>
      </c>
      <c r="BI18" s="178">
        <f t="shared" si="25"/>
        <v>10800</v>
      </c>
      <c r="BJ18" s="178">
        <f t="shared" si="25"/>
        <v>10800</v>
      </c>
      <c r="BK18" s="178">
        <f t="shared" si="25"/>
        <v>7500</v>
      </c>
      <c r="BL18" s="178">
        <f t="shared" si="11"/>
        <v>89700</v>
      </c>
      <c r="BM18" s="175">
        <f t="shared" si="12"/>
        <v>0.06</v>
      </c>
    </row>
    <row r="19" spans="1:65" x14ac:dyDescent="0.25">
      <c r="B19" t="s">
        <v>1791</v>
      </c>
      <c r="C19" s="8"/>
      <c r="E19" s="8"/>
      <c r="G19" s="8"/>
      <c r="I19" s="8">
        <v>-100</v>
      </c>
      <c r="J19" s="41">
        <f>I19/I$15</f>
        <v>-4.3076711006961198E-5</v>
      </c>
      <c r="K19" s="230"/>
      <c r="L19" s="230"/>
      <c r="M19" s="230"/>
      <c r="N19" s="230"/>
      <c r="O19" s="8">
        <f t="shared" si="13"/>
        <v>0</v>
      </c>
      <c r="Q19" s="113"/>
      <c r="R19" s="8">
        <f t="shared" si="14"/>
        <v>6240</v>
      </c>
      <c r="S19" s="8">
        <f t="shared" si="15"/>
        <v>3848</v>
      </c>
      <c r="T19" s="8">
        <f t="shared" si="16"/>
        <v>2171</v>
      </c>
      <c r="U19" s="8">
        <f t="shared" si="17"/>
        <v>0</v>
      </c>
      <c r="V19" s="8">
        <f t="shared" si="18"/>
        <v>12259</v>
      </c>
      <c r="W19" s="41">
        <f t="shared" ref="W19:W22" si="26">V19/V$15</f>
        <v>1.2919142335035652E-2</v>
      </c>
      <c r="Y19" s="113"/>
      <c r="Z19" s="8">
        <f t="shared" si="19"/>
        <v>0</v>
      </c>
      <c r="AA19" s="8">
        <f t="shared" si="20"/>
        <v>0</v>
      </c>
      <c r="AB19" s="8">
        <f t="shared" si="21"/>
        <v>0</v>
      </c>
      <c r="AC19" s="8">
        <f t="shared" si="22"/>
        <v>0</v>
      </c>
      <c r="AD19" s="8">
        <f t="shared" si="23"/>
        <v>0</v>
      </c>
      <c r="AE19" s="113"/>
      <c r="AF19" s="121"/>
      <c r="AG19" s="121"/>
      <c r="AH19" s="121"/>
      <c r="AI19" s="121"/>
      <c r="AJ19" s="121">
        <v>6900</v>
      </c>
      <c r="AK19" s="121">
        <v>-2315</v>
      </c>
      <c r="AL19" s="121">
        <v>1655</v>
      </c>
      <c r="AM19" s="121">
        <v>2783</v>
      </c>
      <c r="AN19" s="121">
        <v>696</v>
      </c>
      <c r="AO19" s="121">
        <v>369</v>
      </c>
      <c r="AP19" s="121">
        <v>1326</v>
      </c>
      <c r="AQ19" s="121">
        <v>845</v>
      </c>
      <c r="AR19" s="178"/>
      <c r="AS19" s="178"/>
      <c r="AT19" s="178"/>
      <c r="AU19" s="178"/>
      <c r="AV19" s="178">
        <f t="shared" si="8"/>
        <v>12259</v>
      </c>
      <c r="AW19" s="175">
        <f t="shared" si="9"/>
        <v>1.2919142335035652E-2</v>
      </c>
      <c r="AX19" s="175"/>
      <c r="AY19" s="195"/>
      <c r="AZ19" s="178"/>
      <c r="BA19" s="178"/>
      <c r="BB19" s="178"/>
      <c r="BC19" s="178"/>
      <c r="BD19" s="178"/>
      <c r="BE19" s="178"/>
      <c r="BF19" s="178"/>
      <c r="BG19" s="178"/>
      <c r="BH19" s="178"/>
      <c r="BI19" s="178"/>
      <c r="BJ19" s="178"/>
      <c r="BK19" s="178"/>
      <c r="BL19" s="178">
        <f t="shared" si="11"/>
        <v>0</v>
      </c>
      <c r="BM19" s="175">
        <f t="shared" si="12"/>
        <v>0</v>
      </c>
    </row>
    <row r="20" spans="1:65" hidden="1" x14ac:dyDescent="0.25">
      <c r="B20" t="s">
        <v>185</v>
      </c>
      <c r="C20" s="8">
        <f>QB!F52</f>
        <v>128054.04000000001</v>
      </c>
      <c r="D20" s="41">
        <f t="shared" ref="D20:D25" si="27">C20/C$15</f>
        <v>9.99743556887287E-2</v>
      </c>
      <c r="E20" s="8">
        <f>QB!K52</f>
        <v>194413.35</v>
      </c>
      <c r="F20" s="41">
        <f>E20/E$15</f>
        <v>8.9622168649096751E-2</v>
      </c>
      <c r="G20" s="8">
        <f>QB!P52</f>
        <v>179567.31000000003</v>
      </c>
      <c r="H20" s="41">
        <f t="shared" si="6"/>
        <v>8.1551184812227007E-2</v>
      </c>
      <c r="I20" s="8"/>
      <c r="J20" s="41">
        <f>I20/I$15</f>
        <v>0</v>
      </c>
      <c r="K20" s="230">
        <f>SUM(I20:J20)</f>
        <v>0</v>
      </c>
      <c r="L20" s="230">
        <f>SUM(I20:K20)</f>
        <v>0</v>
      </c>
      <c r="M20" s="230">
        <f>SUM(J20:L20)</f>
        <v>0</v>
      </c>
      <c r="N20" s="230">
        <f>SUM(K20:M20)</f>
        <v>0</v>
      </c>
      <c r="O20" s="8">
        <f t="shared" si="13"/>
        <v>0</v>
      </c>
      <c r="P20" s="41">
        <f>O20/O$15</f>
        <v>0</v>
      </c>
      <c r="Q20" s="113"/>
      <c r="R20" s="8">
        <f t="shared" si="14"/>
        <v>0</v>
      </c>
      <c r="S20" s="8">
        <f t="shared" si="15"/>
        <v>0</v>
      </c>
      <c r="T20" s="8">
        <f t="shared" si="16"/>
        <v>0</v>
      </c>
      <c r="U20" s="8">
        <f t="shared" si="17"/>
        <v>0</v>
      </c>
      <c r="V20" s="8">
        <f t="shared" si="18"/>
        <v>0</v>
      </c>
      <c r="W20" s="41">
        <f t="shared" si="26"/>
        <v>0</v>
      </c>
      <c r="Y20" s="113"/>
      <c r="Z20" s="8">
        <f t="shared" si="19"/>
        <v>0</v>
      </c>
      <c r="AA20" s="8">
        <f t="shared" si="20"/>
        <v>0</v>
      </c>
      <c r="AB20" s="8">
        <f t="shared" si="21"/>
        <v>0</v>
      </c>
      <c r="AC20" s="8">
        <f t="shared" si="22"/>
        <v>0</v>
      </c>
      <c r="AD20" s="8">
        <f t="shared" si="23"/>
        <v>0</v>
      </c>
      <c r="AE20" s="113"/>
      <c r="AF20" s="121"/>
      <c r="AG20" s="121"/>
      <c r="AH20" s="121"/>
      <c r="AI20" s="121"/>
      <c r="AJ20" s="121"/>
      <c r="AK20" s="121"/>
      <c r="AL20" s="121"/>
      <c r="AM20" s="121"/>
      <c r="AN20" s="121"/>
      <c r="AO20" s="121"/>
      <c r="AP20" s="121"/>
      <c r="AQ20" s="178"/>
      <c r="AR20" s="178"/>
      <c r="AS20" s="178"/>
      <c r="AT20" s="178"/>
      <c r="AU20" s="178"/>
      <c r="AV20" s="178">
        <f t="shared" si="8"/>
        <v>0</v>
      </c>
      <c r="AW20" s="175">
        <f t="shared" si="9"/>
        <v>0</v>
      </c>
      <c r="AX20" s="175"/>
      <c r="AY20" s="195"/>
      <c r="AZ20" s="178"/>
      <c r="BA20" s="178"/>
      <c r="BB20" s="178"/>
      <c r="BC20" s="178"/>
      <c r="BD20" s="178"/>
      <c r="BE20" s="178"/>
      <c r="BF20" s="178"/>
      <c r="BG20" s="178"/>
      <c r="BH20" s="178"/>
      <c r="BI20" s="178"/>
      <c r="BJ20" s="178"/>
      <c r="BK20" s="178"/>
      <c r="BL20" s="178">
        <f t="shared" si="11"/>
        <v>0</v>
      </c>
      <c r="BM20" s="175">
        <f t="shared" si="12"/>
        <v>0</v>
      </c>
    </row>
    <row r="21" spans="1:65" hidden="1" x14ac:dyDescent="0.25">
      <c r="B21" t="s">
        <v>1771</v>
      </c>
      <c r="C21" s="8"/>
      <c r="E21" s="8"/>
      <c r="G21" s="8"/>
      <c r="I21" s="8"/>
      <c r="K21" s="230"/>
      <c r="L21" s="230"/>
      <c r="M21" s="230"/>
      <c r="N21" s="230"/>
      <c r="O21" s="8">
        <f t="shared" si="13"/>
        <v>0</v>
      </c>
      <c r="Q21" s="113"/>
      <c r="R21" s="8">
        <f t="shared" si="14"/>
        <v>0</v>
      </c>
      <c r="S21" s="8">
        <f t="shared" si="15"/>
        <v>0</v>
      </c>
      <c r="T21" s="8">
        <f t="shared" si="16"/>
        <v>0</v>
      </c>
      <c r="U21" s="8">
        <f t="shared" si="17"/>
        <v>0</v>
      </c>
      <c r="V21" s="8">
        <f t="shared" si="18"/>
        <v>0</v>
      </c>
      <c r="W21" s="41">
        <f t="shared" si="26"/>
        <v>0</v>
      </c>
      <c r="Y21" s="113"/>
      <c r="Z21" s="8">
        <f t="shared" si="19"/>
        <v>0</v>
      </c>
      <c r="AA21" s="8">
        <f t="shared" si="20"/>
        <v>0</v>
      </c>
      <c r="AB21" s="8">
        <f t="shared" si="21"/>
        <v>0</v>
      </c>
      <c r="AC21" s="8">
        <f t="shared" si="22"/>
        <v>0</v>
      </c>
      <c r="AD21" s="8">
        <f t="shared" si="23"/>
        <v>0</v>
      </c>
      <c r="AE21" s="113"/>
      <c r="AF21" s="121"/>
      <c r="AG21" s="121"/>
      <c r="AH21" s="121"/>
      <c r="AI21" s="121"/>
      <c r="AJ21" s="121"/>
      <c r="AK21" s="121"/>
      <c r="AL21" s="121"/>
      <c r="AM21" s="121"/>
      <c r="AN21" s="121"/>
      <c r="AO21" s="121"/>
      <c r="AP21" s="121"/>
      <c r="AQ21" s="178"/>
      <c r="AR21" s="178"/>
      <c r="AS21" s="178"/>
      <c r="AT21" s="178"/>
      <c r="AU21" s="178"/>
      <c r="AV21" s="178">
        <f t="shared" si="8"/>
        <v>0</v>
      </c>
      <c r="AW21" s="175">
        <f t="shared" si="9"/>
        <v>0</v>
      </c>
      <c r="AX21" s="175"/>
      <c r="AY21" s="195"/>
      <c r="AZ21" s="178"/>
      <c r="BA21" s="178"/>
      <c r="BB21" s="178"/>
      <c r="BC21" s="178"/>
      <c r="BD21" s="178"/>
      <c r="BE21" s="178"/>
      <c r="BF21" s="178"/>
      <c r="BG21" s="178"/>
      <c r="BH21" s="178"/>
      <c r="BI21" s="178"/>
      <c r="BJ21" s="178"/>
      <c r="BK21" s="178"/>
      <c r="BL21" s="178">
        <f t="shared" si="11"/>
        <v>0</v>
      </c>
      <c r="BM21" s="175">
        <f t="shared" si="12"/>
        <v>0</v>
      </c>
    </row>
    <row r="22" spans="1:65" ht="17.25" x14ac:dyDescent="0.25">
      <c r="A22" s="202"/>
      <c r="B22" t="s">
        <v>539</v>
      </c>
      <c r="C22" s="8">
        <v>25822</v>
      </c>
      <c r="D22" s="41">
        <f t="shared" si="27"/>
        <v>2.0159752965188387E-2</v>
      </c>
      <c r="E22" s="8">
        <v>62660</v>
      </c>
      <c r="F22" s="41">
        <f>E22/E$15</f>
        <v>2.8885491081514735E-2</v>
      </c>
      <c r="G22" s="8"/>
      <c r="I22" s="8">
        <v>82476</v>
      </c>
      <c r="J22" s="41">
        <f>I22/I$15</f>
        <v>3.5527948170101319E-2</v>
      </c>
      <c r="K22" s="230">
        <v>18624</v>
      </c>
      <c r="L22" s="230">
        <v>15910</v>
      </c>
      <c r="M22" s="230">
        <v>46676</v>
      </c>
      <c r="N22" s="230">
        <v>34766</v>
      </c>
      <c r="O22" s="8">
        <f t="shared" si="13"/>
        <v>115976</v>
      </c>
      <c r="P22" s="41">
        <f>O22/O$15</f>
        <v>6.6093773418991877E-2</v>
      </c>
      <c r="Q22" s="113"/>
      <c r="R22" s="8">
        <f t="shared" si="14"/>
        <v>42841</v>
      </c>
      <c r="S22" s="8">
        <f t="shared" si="15"/>
        <v>11937</v>
      </c>
      <c r="T22" s="8">
        <f t="shared" si="16"/>
        <v>13016</v>
      </c>
      <c r="U22" s="8">
        <f t="shared" si="17"/>
        <v>19200</v>
      </c>
      <c r="V22" s="8">
        <f t="shared" si="18"/>
        <v>86994</v>
      </c>
      <c r="W22" s="41">
        <f t="shared" si="26"/>
        <v>9.1678592731388495E-2</v>
      </c>
      <c r="Y22" s="113"/>
      <c r="Z22" s="8">
        <f t="shared" si="19"/>
        <v>16200</v>
      </c>
      <c r="AA22" s="8">
        <f t="shared" si="20"/>
        <v>17500</v>
      </c>
      <c r="AB22" s="8">
        <f t="shared" si="21"/>
        <v>19500</v>
      </c>
      <c r="AC22" s="8">
        <f t="shared" si="22"/>
        <v>24250</v>
      </c>
      <c r="AD22" s="8">
        <f t="shared" si="23"/>
        <v>77450</v>
      </c>
      <c r="AE22" s="113"/>
      <c r="AF22" s="121">
        <v>52288</v>
      </c>
      <c r="AG22" s="121">
        <v>20454</v>
      </c>
      <c r="AH22" s="121">
        <v>12986</v>
      </c>
      <c r="AI22" s="121">
        <v>2493</v>
      </c>
      <c r="AJ22" s="121">
        <v>19221</v>
      </c>
      <c r="AK22" s="121">
        <v>18623</v>
      </c>
      <c r="AL22" s="121">
        <v>4997</v>
      </c>
      <c r="AM22" s="121">
        <v>7371</v>
      </c>
      <c r="AN22" s="121">
        <v>2440</v>
      </c>
      <c r="AO22" s="121">
        <v>2126</v>
      </c>
      <c r="AP22" s="121">
        <v>5444</v>
      </c>
      <c r="AQ22" s="121">
        <v>3298</v>
      </c>
      <c r="AR22" s="178">
        <v>4274</v>
      </c>
      <c r="AS22" s="178">
        <f t="shared" ref="AS22:AU22" si="28">AS15*0.06</f>
        <v>7200</v>
      </c>
      <c r="AT22" s="178">
        <f t="shared" si="28"/>
        <v>6000</v>
      </c>
      <c r="AU22" s="178">
        <f t="shared" si="28"/>
        <v>6000</v>
      </c>
      <c r="AV22" s="178">
        <f t="shared" si="8"/>
        <v>86994</v>
      </c>
      <c r="AW22" s="175">
        <f t="shared" si="9"/>
        <v>9.1678592731388495E-2</v>
      </c>
      <c r="AX22" s="175" t="s">
        <v>1887</v>
      </c>
      <c r="AY22" s="195"/>
      <c r="AZ22" s="178">
        <f t="shared" ref="AZ22:BB22" si="29">AZ15*0.06</f>
        <v>6000</v>
      </c>
      <c r="BA22" s="178">
        <f t="shared" si="29"/>
        <v>4800</v>
      </c>
      <c r="BB22" s="178">
        <f t="shared" si="29"/>
        <v>5400</v>
      </c>
      <c r="BC22" s="178">
        <f>BC15*0.05</f>
        <v>5500</v>
      </c>
      <c r="BD22" s="178">
        <f t="shared" ref="BD22:BK22" si="30">BD15*0.05</f>
        <v>6000</v>
      </c>
      <c r="BE22" s="178">
        <f t="shared" si="30"/>
        <v>6000</v>
      </c>
      <c r="BF22" s="178">
        <f t="shared" si="30"/>
        <v>6000</v>
      </c>
      <c r="BG22" s="178">
        <f t="shared" si="30"/>
        <v>6500</v>
      </c>
      <c r="BH22" s="178">
        <f t="shared" si="30"/>
        <v>7000</v>
      </c>
      <c r="BI22" s="178">
        <f t="shared" si="30"/>
        <v>9000</v>
      </c>
      <c r="BJ22" s="178">
        <f t="shared" si="30"/>
        <v>9000</v>
      </c>
      <c r="BK22" s="178">
        <f t="shared" si="30"/>
        <v>6250</v>
      </c>
      <c r="BL22" s="178">
        <f t="shared" si="11"/>
        <v>77450</v>
      </c>
      <c r="BM22" s="175">
        <f t="shared" si="12"/>
        <v>5.1806020066889634E-2</v>
      </c>
    </row>
    <row r="23" spans="1:65" x14ac:dyDescent="0.25">
      <c r="B23" t="s">
        <v>154</v>
      </c>
      <c r="C23" s="9"/>
      <c r="D23" s="43">
        <f t="shared" si="27"/>
        <v>0</v>
      </c>
      <c r="E23" s="9">
        <v>33331</v>
      </c>
      <c r="F23" s="43">
        <f>E23/E$15</f>
        <v>1.5365181985923517E-2</v>
      </c>
      <c r="G23" s="9">
        <f>QB!P53+QB!P54+QB!P55+QB!P56+QB!P57+QB!P58+QB!P59+QB!P60+QB!P61+QB!P62+QB!P64</f>
        <v>76433.53</v>
      </c>
      <c r="H23" s="43">
        <f t="shared" si="6"/>
        <v>3.4712581766029107E-2</v>
      </c>
      <c r="I23" s="9">
        <v>1566</v>
      </c>
      <c r="J23" s="43">
        <f>I23/I$15</f>
        <v>6.7458129436901229E-4</v>
      </c>
      <c r="K23" s="231">
        <v>7237</v>
      </c>
      <c r="L23" s="231">
        <v>1331</v>
      </c>
      <c r="M23" s="231">
        <v>9057</v>
      </c>
      <c r="N23" s="231">
        <v>4257</v>
      </c>
      <c r="O23" s="8">
        <f t="shared" si="13"/>
        <v>21882</v>
      </c>
      <c r="P23" s="43">
        <f>O23/O$15</f>
        <v>1.2470372749141031E-2</v>
      </c>
      <c r="Q23" s="113"/>
      <c r="R23" s="8">
        <f t="shared" si="14"/>
        <v>7098</v>
      </c>
      <c r="S23" s="8">
        <f t="shared" si="15"/>
        <v>6573</v>
      </c>
      <c r="T23" s="8">
        <f t="shared" si="16"/>
        <v>9959</v>
      </c>
      <c r="U23" s="8">
        <f t="shared" si="17"/>
        <v>9600</v>
      </c>
      <c r="V23" s="8">
        <f t="shared" si="18"/>
        <v>33230</v>
      </c>
      <c r="W23" s="43">
        <f>V23/V$15</f>
        <v>3.5019422448261256E-2</v>
      </c>
      <c r="Y23" s="113"/>
      <c r="Z23" s="8">
        <f t="shared" si="19"/>
        <v>8100</v>
      </c>
      <c r="AA23" s="8">
        <f t="shared" si="20"/>
        <v>10500</v>
      </c>
      <c r="AB23" s="8">
        <f t="shared" si="21"/>
        <v>11700</v>
      </c>
      <c r="AC23" s="8">
        <f t="shared" si="22"/>
        <v>14550</v>
      </c>
      <c r="AD23" s="8">
        <f t="shared" si="23"/>
        <v>44850</v>
      </c>
      <c r="AE23" s="113"/>
      <c r="AF23" s="122">
        <v>29434</v>
      </c>
      <c r="AG23" s="122">
        <v>10167</v>
      </c>
      <c r="AH23" s="122">
        <v>6575</v>
      </c>
      <c r="AI23" s="122">
        <v>9120</v>
      </c>
      <c r="AJ23" s="122">
        <v>1408</v>
      </c>
      <c r="AK23" s="122">
        <v>97</v>
      </c>
      <c r="AL23" s="122">
        <v>5593</v>
      </c>
      <c r="AM23" s="122">
        <v>5783</v>
      </c>
      <c r="AN23" s="122">
        <v>484</v>
      </c>
      <c r="AO23" s="122">
        <v>306</v>
      </c>
      <c r="AP23" s="122">
        <v>2519</v>
      </c>
      <c r="AQ23" s="122">
        <v>440</v>
      </c>
      <c r="AR23" s="201">
        <v>7000</v>
      </c>
      <c r="AS23" s="201">
        <f t="shared" ref="AS23:AU23" si="31">AS15*0.03</f>
        <v>3600</v>
      </c>
      <c r="AT23" s="201">
        <f t="shared" si="31"/>
        <v>3000</v>
      </c>
      <c r="AU23" s="201">
        <f t="shared" si="31"/>
        <v>3000</v>
      </c>
      <c r="AV23" s="178">
        <f t="shared" si="8"/>
        <v>33230</v>
      </c>
      <c r="AW23" s="246">
        <f t="shared" si="9"/>
        <v>3.5019422448261256E-2</v>
      </c>
      <c r="AX23" s="175" t="s">
        <v>301</v>
      </c>
      <c r="AY23" s="195"/>
      <c r="AZ23" s="201">
        <f t="shared" ref="AZ23:BK23" si="32">AZ15*0.03</f>
        <v>3000</v>
      </c>
      <c r="BA23" s="201">
        <f t="shared" si="32"/>
        <v>2400</v>
      </c>
      <c r="BB23" s="201">
        <f t="shared" si="32"/>
        <v>2700</v>
      </c>
      <c r="BC23" s="201">
        <f t="shared" si="32"/>
        <v>3300</v>
      </c>
      <c r="BD23" s="201">
        <f t="shared" si="32"/>
        <v>3600</v>
      </c>
      <c r="BE23" s="201">
        <f t="shared" si="32"/>
        <v>3600</v>
      </c>
      <c r="BF23" s="201">
        <f t="shared" si="32"/>
        <v>3600</v>
      </c>
      <c r="BG23" s="201">
        <f t="shared" si="32"/>
        <v>3900</v>
      </c>
      <c r="BH23" s="201">
        <f t="shared" si="32"/>
        <v>4200</v>
      </c>
      <c r="BI23" s="201">
        <f t="shared" si="32"/>
        <v>5400</v>
      </c>
      <c r="BJ23" s="201">
        <f t="shared" si="32"/>
        <v>5400</v>
      </c>
      <c r="BK23" s="201">
        <f t="shared" si="32"/>
        <v>3750</v>
      </c>
      <c r="BL23" s="178">
        <f t="shared" si="11"/>
        <v>44850</v>
      </c>
      <c r="BM23" s="246">
        <f t="shared" si="12"/>
        <v>0.03</v>
      </c>
    </row>
    <row r="24" spans="1:65" s="45" customFormat="1" x14ac:dyDescent="0.25">
      <c r="A24" s="45" t="s">
        <v>156</v>
      </c>
      <c r="B24" s="45" t="s">
        <v>291</v>
      </c>
      <c r="C24" s="46">
        <f>SUM(C17:C23)</f>
        <v>766923.85000000009</v>
      </c>
      <c r="D24" s="50">
        <f t="shared" si="27"/>
        <v>0.59875282159055054</v>
      </c>
      <c r="E24" s="46">
        <f>SUM(E17:E23)</f>
        <v>1214036.02</v>
      </c>
      <c r="F24" s="50">
        <f>E24/E$15</f>
        <v>0.55965570744250948</v>
      </c>
      <c r="G24" s="46">
        <f>SUM(G17:G23)</f>
        <v>1468052.7100000002</v>
      </c>
      <c r="H24" s="50">
        <f t="shared" si="6"/>
        <v>0.66672178731919907</v>
      </c>
      <c r="I24" s="46">
        <f>SUM(I17:I23)</f>
        <v>1311571</v>
      </c>
      <c r="J24" s="50">
        <f>I24/I$15</f>
        <v>0.56498164932111106</v>
      </c>
      <c r="K24" s="233">
        <f>SUM(K17:K23)</f>
        <v>415606</v>
      </c>
      <c r="L24" s="233">
        <f>SUM(L17:L23)</f>
        <v>263638</v>
      </c>
      <c r="M24" s="233">
        <f>SUM(M17:M23)</f>
        <v>309249</v>
      </c>
      <c r="N24" s="233">
        <f>SUM(N17:N23)</f>
        <v>250309</v>
      </c>
      <c r="O24" s="46">
        <f>SUM(O17:O23)</f>
        <v>1238802</v>
      </c>
      <c r="P24" s="50">
        <f>O24/O$15</f>
        <v>0.70598312322371848</v>
      </c>
      <c r="Q24" s="115"/>
      <c r="R24" s="46">
        <f>SUM(R17:R23)</f>
        <v>175688</v>
      </c>
      <c r="S24" s="46">
        <f>SUM(S17:S23)</f>
        <v>160515</v>
      </c>
      <c r="T24" s="46">
        <f>SUM(T17:T23)</f>
        <v>99706</v>
      </c>
      <c r="U24" s="46">
        <f>SUM(U17:U23)</f>
        <v>182400</v>
      </c>
      <c r="V24" s="46">
        <f>SUM(V17:V23)</f>
        <v>618309</v>
      </c>
      <c r="W24" s="50">
        <f>V24/V$15</f>
        <v>0.65160469679692945</v>
      </c>
      <c r="Y24" s="115"/>
      <c r="Z24" s="46">
        <f>SUM(Z17:Z23)</f>
        <v>153900</v>
      </c>
      <c r="AA24" s="46">
        <f>SUM(AA17:AA23)</f>
        <v>196000</v>
      </c>
      <c r="AB24" s="46">
        <f>SUM(AB17:AB23)</f>
        <v>218400</v>
      </c>
      <c r="AC24" s="46">
        <f>SUM(AC17:AC23)</f>
        <v>271600</v>
      </c>
      <c r="AD24" s="46">
        <f>SUM(AD17:AD23)</f>
        <v>839900</v>
      </c>
      <c r="AE24" s="115"/>
      <c r="AF24" s="127">
        <f t="shared" ref="AF24:AV24" si="33">SUM(AF17:AF23)</f>
        <v>309245</v>
      </c>
      <c r="AG24" s="127">
        <f t="shared" si="33"/>
        <v>90548</v>
      </c>
      <c r="AH24" s="127">
        <f t="shared" si="33"/>
        <v>86563</v>
      </c>
      <c r="AI24" s="127">
        <f t="shared" si="33"/>
        <v>73822</v>
      </c>
      <c r="AJ24" s="127">
        <f t="shared" si="33"/>
        <v>77084</v>
      </c>
      <c r="AK24" s="127">
        <f t="shared" si="33"/>
        <v>49439</v>
      </c>
      <c r="AL24" s="127">
        <f t="shared" si="33"/>
        <v>49165</v>
      </c>
      <c r="AM24" s="127">
        <f t="shared" si="33"/>
        <v>64531</v>
      </c>
      <c r="AN24" s="127">
        <f t="shared" si="33"/>
        <v>56162</v>
      </c>
      <c r="AO24" s="127">
        <f t="shared" si="33"/>
        <v>39822</v>
      </c>
      <c r="AP24" s="127">
        <f t="shared" si="33"/>
        <v>35375</v>
      </c>
      <c r="AQ24" s="127">
        <f t="shared" si="33"/>
        <v>19183</v>
      </c>
      <c r="AR24" s="210">
        <f t="shared" si="33"/>
        <v>45148</v>
      </c>
      <c r="AS24" s="210">
        <f t="shared" si="33"/>
        <v>68400</v>
      </c>
      <c r="AT24" s="210">
        <f t="shared" si="33"/>
        <v>57000</v>
      </c>
      <c r="AU24" s="210">
        <f t="shared" si="33"/>
        <v>57000</v>
      </c>
      <c r="AV24" s="210">
        <f t="shared" si="33"/>
        <v>618309</v>
      </c>
      <c r="AW24" s="247">
        <f t="shared" si="9"/>
        <v>0.65160469679692945</v>
      </c>
      <c r="AX24" s="248"/>
      <c r="AY24" s="249"/>
      <c r="AZ24" s="210">
        <f t="shared" ref="AZ24:BL24" si="34">SUM(AZ17:AZ23)</f>
        <v>57000</v>
      </c>
      <c r="BA24" s="210">
        <f t="shared" si="34"/>
        <v>45600</v>
      </c>
      <c r="BB24" s="210">
        <f t="shared" si="34"/>
        <v>51300</v>
      </c>
      <c r="BC24" s="210">
        <f t="shared" si="34"/>
        <v>61600</v>
      </c>
      <c r="BD24" s="210">
        <f t="shared" si="34"/>
        <v>67200</v>
      </c>
      <c r="BE24" s="210">
        <f t="shared" si="34"/>
        <v>67200</v>
      </c>
      <c r="BF24" s="210">
        <f t="shared" si="34"/>
        <v>67200</v>
      </c>
      <c r="BG24" s="210">
        <f t="shared" si="34"/>
        <v>72800</v>
      </c>
      <c r="BH24" s="210">
        <f t="shared" si="34"/>
        <v>78400</v>
      </c>
      <c r="BI24" s="210">
        <f t="shared" si="34"/>
        <v>100800</v>
      </c>
      <c r="BJ24" s="210">
        <f t="shared" si="34"/>
        <v>100800</v>
      </c>
      <c r="BK24" s="210">
        <f t="shared" si="34"/>
        <v>70000</v>
      </c>
      <c r="BL24" s="210">
        <f t="shared" si="34"/>
        <v>839900</v>
      </c>
      <c r="BM24" s="247">
        <f t="shared" ref="BM24:BM25" si="35">BL24/BL$15</f>
        <v>0.56180602006688962</v>
      </c>
    </row>
    <row r="25" spans="1:65" s="45" customFormat="1" x14ac:dyDescent="0.25">
      <c r="A25" s="45" t="s">
        <v>191</v>
      </c>
      <c r="C25" s="46">
        <f>C15-C24</f>
        <v>513945.02</v>
      </c>
      <c r="D25" s="50">
        <f t="shared" si="27"/>
        <v>0.40124717840944951</v>
      </c>
      <c r="E25" s="46">
        <f>E15-E24</f>
        <v>955219.12000000011</v>
      </c>
      <c r="F25" s="50">
        <f>E25/E$15</f>
        <v>0.44034429255749052</v>
      </c>
      <c r="G25" s="46">
        <f>G15-G24</f>
        <v>733844.29999999958</v>
      </c>
      <c r="H25" s="50">
        <f t="shared" si="6"/>
        <v>0.33327821268080093</v>
      </c>
      <c r="I25" s="46">
        <f>I15-I24</f>
        <v>1009869</v>
      </c>
      <c r="J25" s="50">
        <f>I25/I$15</f>
        <v>0.43501835067888894</v>
      </c>
      <c r="K25" s="233">
        <f>K15-K24</f>
        <v>154435</v>
      </c>
      <c r="L25" s="233">
        <f>L15-L24</f>
        <v>141536</v>
      </c>
      <c r="M25" s="233">
        <f>M15-M24</f>
        <v>37894</v>
      </c>
      <c r="N25" s="233">
        <f>N15-N24</f>
        <v>182052</v>
      </c>
      <c r="O25" s="46">
        <f>O15-O24</f>
        <v>515917</v>
      </c>
      <c r="P25" s="50">
        <f>O25/O$15</f>
        <v>0.29401687677628158</v>
      </c>
      <c r="Q25" s="115"/>
      <c r="R25" s="46">
        <f>R15-R24</f>
        <v>57267</v>
      </c>
      <c r="S25" s="46">
        <f>S15-S24</f>
        <v>57792</v>
      </c>
      <c r="T25" s="46">
        <f>T15-T24</f>
        <v>77934</v>
      </c>
      <c r="U25" s="46">
        <f>U15-U24</f>
        <v>137600</v>
      </c>
      <c r="V25" s="46">
        <f>V15-V24</f>
        <v>330593</v>
      </c>
      <c r="W25" s="50">
        <f>V25/V$15</f>
        <v>0.34839530320307049</v>
      </c>
      <c r="Y25" s="115"/>
      <c r="Z25" s="46">
        <f>Z15-Z24</f>
        <v>116100</v>
      </c>
      <c r="AA25" s="46">
        <f>AA15-AA24</f>
        <v>154000</v>
      </c>
      <c r="AB25" s="46">
        <f>AB15-AB24</f>
        <v>171600</v>
      </c>
      <c r="AC25" s="46">
        <f>AC15-AC24</f>
        <v>213400</v>
      </c>
      <c r="AD25" s="46">
        <f>AD15-AD24</f>
        <v>655100</v>
      </c>
      <c r="AE25" s="115"/>
      <c r="AF25" s="127">
        <f t="shared" ref="AF25:AV25" si="36">AF15-AF24</f>
        <v>37898</v>
      </c>
      <c r="AG25" s="127">
        <f t="shared" si="36"/>
        <v>65364</v>
      </c>
      <c r="AH25" s="127">
        <f t="shared" si="36"/>
        <v>60821</v>
      </c>
      <c r="AI25" s="127">
        <f t="shared" si="36"/>
        <v>55243</v>
      </c>
      <c r="AJ25" s="127">
        <f t="shared" si="36"/>
        <v>20258</v>
      </c>
      <c r="AK25" s="127">
        <f t="shared" si="36"/>
        <v>20267</v>
      </c>
      <c r="AL25" s="127">
        <f t="shared" si="36"/>
        <v>16742</v>
      </c>
      <c r="AM25" s="127">
        <f t="shared" si="36"/>
        <v>-5623</v>
      </c>
      <c r="AN25" s="127">
        <f>AN15-AN24</f>
        <v>21404</v>
      </c>
      <c r="AO25" s="127">
        <f t="shared" si="36"/>
        <v>42011</v>
      </c>
      <c r="AP25" s="127">
        <f t="shared" si="36"/>
        <v>29139</v>
      </c>
      <c r="AQ25" s="127">
        <f>AQ15-AQ24</f>
        <v>14943</v>
      </c>
      <c r="AR25" s="210">
        <f t="shared" si="36"/>
        <v>33852</v>
      </c>
      <c r="AS25" s="210">
        <f t="shared" si="36"/>
        <v>51600</v>
      </c>
      <c r="AT25" s="210">
        <f t="shared" si="36"/>
        <v>43000</v>
      </c>
      <c r="AU25" s="210">
        <f t="shared" si="36"/>
        <v>43000</v>
      </c>
      <c r="AV25" s="210">
        <f t="shared" si="36"/>
        <v>330593</v>
      </c>
      <c r="AW25" s="247">
        <f t="shared" si="9"/>
        <v>0.34839530320307049</v>
      </c>
      <c r="AX25" s="248"/>
      <c r="AY25" s="249"/>
      <c r="AZ25" s="210">
        <f t="shared" ref="AZ25:BC25" si="37">AZ15-AZ24</f>
        <v>43000</v>
      </c>
      <c r="BA25" s="210">
        <f t="shared" si="37"/>
        <v>34400</v>
      </c>
      <c r="BB25" s="210">
        <f t="shared" si="37"/>
        <v>38700</v>
      </c>
      <c r="BC25" s="210">
        <f t="shared" si="37"/>
        <v>48400</v>
      </c>
      <c r="BD25" s="210">
        <f>BD15-BD24</f>
        <v>52800</v>
      </c>
      <c r="BE25" s="210">
        <f t="shared" ref="BE25:BF25" si="38">BE15-BE24</f>
        <v>52800</v>
      </c>
      <c r="BF25" s="210">
        <f t="shared" si="38"/>
        <v>52800</v>
      </c>
      <c r="BG25" s="210">
        <f>BG15-BG24</f>
        <v>57200</v>
      </c>
      <c r="BH25" s="210">
        <f t="shared" ref="BH25:BL25" si="39">BH15-BH24</f>
        <v>61600</v>
      </c>
      <c r="BI25" s="210">
        <f t="shared" si="39"/>
        <v>79200</v>
      </c>
      <c r="BJ25" s="210">
        <f t="shared" si="39"/>
        <v>79200</v>
      </c>
      <c r="BK25" s="210">
        <f t="shared" si="39"/>
        <v>55000</v>
      </c>
      <c r="BL25" s="210">
        <f t="shared" si="39"/>
        <v>655100</v>
      </c>
      <c r="BM25" s="247">
        <f t="shared" si="35"/>
        <v>0.43819397993311038</v>
      </c>
    </row>
    <row r="26" spans="1:65" x14ac:dyDescent="0.25">
      <c r="C26" s="8"/>
      <c r="E26" s="8"/>
      <c r="G26" s="8"/>
      <c r="I26" s="8"/>
      <c r="K26" s="236">
        <f>K25/K15</f>
        <v>0.27091910932722385</v>
      </c>
      <c r="L26" s="236">
        <f t="shared" ref="L26:N26" si="40">L25/L15</f>
        <v>0.34932152606040862</v>
      </c>
      <c r="M26" s="236">
        <f t="shared" si="40"/>
        <v>0.10915962586023627</v>
      </c>
      <c r="N26" s="236">
        <f t="shared" si="40"/>
        <v>0.42106480464241686</v>
      </c>
      <c r="Q26" s="113"/>
      <c r="R26" s="128">
        <f>R25/R15</f>
        <v>0.24582859350518341</v>
      </c>
      <c r="S26" s="128">
        <f t="shared" ref="S26:U26" si="41">S25/S15</f>
        <v>0.26472811224559911</v>
      </c>
      <c r="T26" s="128">
        <f t="shared" si="41"/>
        <v>0.43871875703670343</v>
      </c>
      <c r="U26" s="128">
        <f t="shared" si="41"/>
        <v>0.43</v>
      </c>
      <c r="V26" s="128"/>
      <c r="Y26" s="113"/>
      <c r="Z26" s="128">
        <f>Z25/Z15</f>
        <v>0.43</v>
      </c>
      <c r="AA26" s="128">
        <f t="shared" ref="AA26:AC26" si="42">AA25/AA15</f>
        <v>0.44</v>
      </c>
      <c r="AB26" s="128">
        <f t="shared" si="42"/>
        <v>0.44</v>
      </c>
      <c r="AC26" s="128">
        <f t="shared" si="42"/>
        <v>0.44</v>
      </c>
      <c r="AD26" s="128"/>
      <c r="AE26" s="113"/>
      <c r="AF26" s="128">
        <f t="shared" ref="AF26:AI26" si="43">AF25/AF15</f>
        <v>0.10917114848923931</v>
      </c>
      <c r="AG26" s="128">
        <f t="shared" si="43"/>
        <v>0.41923649238031713</v>
      </c>
      <c r="AH26" s="128">
        <f t="shared" si="43"/>
        <v>0.4126703034250665</v>
      </c>
      <c r="AI26" s="128">
        <f t="shared" si="43"/>
        <v>0.42802463874791774</v>
      </c>
      <c r="AJ26" s="128">
        <f>AJ25/AJ15</f>
        <v>0.20811160650079102</v>
      </c>
      <c r="AK26" s="128">
        <f>AK25/AK15</f>
        <v>0.29074972025363671</v>
      </c>
      <c r="AL26" s="128">
        <f>AL25/AL15</f>
        <v>0.25402461043591729</v>
      </c>
      <c r="AM26" s="128">
        <f t="shared" ref="AM26:AU26" si="44">AM25/AM15</f>
        <v>-9.545392815916344E-2</v>
      </c>
      <c r="AN26" s="128">
        <f t="shared" si="44"/>
        <v>0.27594564628832219</v>
      </c>
      <c r="AO26" s="128">
        <f t="shared" si="44"/>
        <v>0.51337479989735191</v>
      </c>
      <c r="AP26" s="128">
        <f t="shared" si="44"/>
        <v>0.45166940509036796</v>
      </c>
      <c r="AQ26" s="128">
        <f>AQ25/AQ15</f>
        <v>0.43787727832151441</v>
      </c>
      <c r="AR26" s="250">
        <f t="shared" si="44"/>
        <v>0.42850632911392406</v>
      </c>
      <c r="AS26" s="250">
        <f t="shared" si="44"/>
        <v>0.43</v>
      </c>
      <c r="AT26" s="250">
        <f t="shared" si="44"/>
        <v>0.43</v>
      </c>
      <c r="AU26" s="250">
        <f t="shared" si="44"/>
        <v>0.43</v>
      </c>
      <c r="AV26" s="104"/>
      <c r="AW26" s="175"/>
      <c r="AX26" s="175" t="s">
        <v>2139</v>
      </c>
      <c r="AY26" s="195"/>
      <c r="AZ26" s="250">
        <f>AZ25/AZ15</f>
        <v>0.43</v>
      </c>
      <c r="BA26" s="250">
        <f>BA25/BA15</f>
        <v>0.43</v>
      </c>
      <c r="BB26" s="250">
        <f>BB25/BB15</f>
        <v>0.43</v>
      </c>
      <c r="BC26" s="250">
        <f t="shared" ref="BC26:BF26" si="45">BC25/BC15</f>
        <v>0.44</v>
      </c>
      <c r="BD26" s="250">
        <f t="shared" si="45"/>
        <v>0.44</v>
      </c>
      <c r="BE26" s="250">
        <f t="shared" si="45"/>
        <v>0.44</v>
      </c>
      <c r="BF26" s="250">
        <f t="shared" si="45"/>
        <v>0.44</v>
      </c>
      <c r="BG26" s="250">
        <f>BG25/BG15</f>
        <v>0.44</v>
      </c>
      <c r="BH26" s="250">
        <f t="shared" ref="BH26:BK26" si="46">BH25/BH15</f>
        <v>0.44</v>
      </c>
      <c r="BI26" s="250">
        <f t="shared" si="46"/>
        <v>0.44</v>
      </c>
      <c r="BJ26" s="250">
        <f t="shared" si="46"/>
        <v>0.44</v>
      </c>
      <c r="BK26" s="250">
        <f t="shared" si="46"/>
        <v>0.44</v>
      </c>
      <c r="BL26" s="104"/>
      <c r="BM26" s="175"/>
    </row>
    <row r="27" spans="1:65" x14ac:dyDescent="0.25">
      <c r="A27" t="s">
        <v>157</v>
      </c>
      <c r="C27" s="8"/>
      <c r="E27" s="8"/>
      <c r="G27" s="8"/>
      <c r="I27" s="8"/>
      <c r="K27" s="230"/>
      <c r="L27" s="229"/>
      <c r="M27" s="229"/>
      <c r="N27" s="229"/>
      <c r="Q27" s="113"/>
      <c r="R27" s="8"/>
      <c r="Y27" s="113"/>
      <c r="Z27" s="8"/>
      <c r="AE27" s="113"/>
      <c r="AJ27" s="128"/>
      <c r="AP27" s="104"/>
      <c r="AQ27" s="104"/>
      <c r="AR27" s="104"/>
      <c r="AS27" s="104"/>
      <c r="AT27" s="104"/>
      <c r="AU27" s="104"/>
      <c r="AV27" s="104"/>
      <c r="AW27" s="175"/>
      <c r="AX27" s="175"/>
      <c r="AY27" s="195"/>
      <c r="AZ27" s="250"/>
      <c r="BA27" s="104"/>
      <c r="BB27" s="104"/>
      <c r="BC27" s="104"/>
      <c r="BD27" s="104"/>
      <c r="BE27" s="104"/>
      <c r="BF27" s="104"/>
      <c r="BG27" s="104"/>
      <c r="BH27" s="104"/>
      <c r="BI27" s="104"/>
      <c r="BJ27" s="104"/>
      <c r="BK27" s="104"/>
      <c r="BL27" s="104"/>
      <c r="BM27" s="175"/>
    </row>
    <row r="28" spans="1:65" x14ac:dyDescent="0.25">
      <c r="B28" t="s">
        <v>158</v>
      </c>
      <c r="C28" s="8"/>
      <c r="E28" s="8"/>
      <c r="G28" s="8"/>
      <c r="I28" s="8"/>
      <c r="K28" s="230"/>
      <c r="L28" s="229"/>
      <c r="M28" s="229"/>
      <c r="N28" s="229"/>
      <c r="Q28" s="113"/>
      <c r="R28" s="8"/>
      <c r="Y28" s="113"/>
      <c r="Z28" s="8"/>
      <c r="AE28" s="113"/>
      <c r="AP28" s="104"/>
      <c r="AQ28" s="104"/>
      <c r="AR28" s="104"/>
      <c r="AS28" s="104"/>
      <c r="AT28" s="104"/>
      <c r="AU28" s="104"/>
      <c r="AV28" s="104"/>
      <c r="AW28" s="175"/>
      <c r="AX28" s="175"/>
      <c r="AY28" s="195"/>
      <c r="AZ28" s="104"/>
      <c r="BA28" s="104"/>
      <c r="BB28" s="104"/>
      <c r="BC28" s="104"/>
      <c r="BD28" s="104"/>
      <c r="BE28" s="104"/>
      <c r="BF28" s="104"/>
      <c r="BG28" s="104"/>
      <c r="BH28" s="104"/>
      <c r="BI28" s="104"/>
      <c r="BJ28" s="104"/>
      <c r="BK28" s="104"/>
      <c r="BL28" s="104"/>
      <c r="BM28" s="175"/>
    </row>
    <row r="29" spans="1:65" x14ac:dyDescent="0.25">
      <c r="B29" t="s">
        <v>159</v>
      </c>
      <c r="C29" s="8">
        <f>QB!F110</f>
        <v>0</v>
      </c>
      <c r="D29" s="41">
        <f t="shared" ref="D29" si="47">C29/C$15</f>
        <v>0</v>
      </c>
      <c r="E29" s="8">
        <f>QB!K110</f>
        <v>216764.24</v>
      </c>
      <c r="F29" s="41">
        <f>E29/E$15</f>
        <v>9.992565466503861E-2</v>
      </c>
      <c r="G29" s="8">
        <f>QB!P110</f>
        <v>391277.16000000003</v>
      </c>
      <c r="H29" s="41">
        <f>G29/G$15</f>
        <v>0.17770002785007646</v>
      </c>
      <c r="I29" s="8">
        <v>410305</v>
      </c>
      <c r="J29" s="41">
        <f>I29/I$15</f>
        <v>0.17674589909711214</v>
      </c>
      <c r="K29" s="230">
        <v>113695</v>
      </c>
      <c r="L29" s="230">
        <v>113361</v>
      </c>
      <c r="M29" s="230">
        <v>88012</v>
      </c>
      <c r="N29" s="230">
        <v>79844</v>
      </c>
      <c r="O29" s="8">
        <f>SUM(K29:N29)</f>
        <v>394912</v>
      </c>
      <c r="P29" s="41">
        <f>O29/O$15</f>
        <v>0.22505711740740256</v>
      </c>
      <c r="Q29" s="113"/>
      <c r="R29" s="8">
        <f>SUM(AJ29:AL29)</f>
        <v>74406</v>
      </c>
      <c r="S29" s="8">
        <f t="shared" ref="S29" si="48">SUM(AM29:AO29)</f>
        <v>40476</v>
      </c>
      <c r="T29" s="8">
        <f t="shared" ref="T29" si="49">SUM(AP29:AR29)</f>
        <v>12500</v>
      </c>
      <c r="U29" s="8">
        <f t="shared" ref="U29" si="50">SUM(AS29:AU29)</f>
        <v>36828</v>
      </c>
      <c r="V29" s="8">
        <f>SUM(R29:U29)</f>
        <v>164210</v>
      </c>
      <c r="W29" s="41">
        <f>V29/V$15</f>
        <v>0.17305264400327958</v>
      </c>
      <c r="Y29" s="113"/>
      <c r="Z29" s="8">
        <f t="shared" ref="Z29:Z69" si="51">SUM(AZ29:BB29)</f>
        <v>41828</v>
      </c>
      <c r="AA29" s="8">
        <f t="shared" ref="AA29:AA69" si="52">SUM(BC29:BE29)</f>
        <v>56424</v>
      </c>
      <c r="AB29" s="8">
        <f t="shared" ref="AB29:AB69" si="53">SUM(BF29:BH29)</f>
        <v>58722</v>
      </c>
      <c r="AC29" s="8">
        <f t="shared" ref="AC29:AC69" si="54">SUM(BI29:BK29)</f>
        <v>58722</v>
      </c>
      <c r="AD29" s="8">
        <f>SUM(Z29:AC29)</f>
        <v>215696</v>
      </c>
      <c r="AE29" s="113"/>
      <c r="AF29" s="121">
        <v>88012</v>
      </c>
      <c r="AG29" s="121">
        <v>32685</v>
      </c>
      <c r="AH29" s="121">
        <v>24892</v>
      </c>
      <c r="AI29" s="121">
        <v>22267</v>
      </c>
      <c r="AJ29" s="121">
        <v>29409</v>
      </c>
      <c r="AK29" s="121">
        <v>22407</v>
      </c>
      <c r="AL29" s="121">
        <v>22590</v>
      </c>
      <c r="AM29" s="121">
        <v>17255</v>
      </c>
      <c r="AN29" s="121">
        <v>14039</v>
      </c>
      <c r="AO29" s="121">
        <v>9182</v>
      </c>
      <c r="AP29" s="121">
        <v>5000</v>
      </c>
      <c r="AQ29" s="121">
        <v>2500</v>
      </c>
      <c r="AR29" s="178">
        <v>5000</v>
      </c>
      <c r="AS29" s="178">
        <f t="shared" ref="AS29:AU29" si="55">SUM(AS30:AS35)</f>
        <v>12276</v>
      </c>
      <c r="AT29" s="178">
        <f t="shared" si="55"/>
        <v>12276</v>
      </c>
      <c r="AU29" s="178">
        <f t="shared" si="55"/>
        <v>12276</v>
      </c>
      <c r="AV29" s="178">
        <f t="shared" ref="AV29" si="56">SUM(AJ29:AU29)</f>
        <v>164210</v>
      </c>
      <c r="AW29" s="175">
        <f t="shared" ref="AW29:AW71" si="57">AV29/AV$15</f>
        <v>0.17305264400327958</v>
      </c>
      <c r="AX29" s="175"/>
      <c r="AY29" s="195"/>
      <c r="AZ29" s="178">
        <f t="shared" ref="AZ29:BK29" si="58">SUM(AZ30:AZ35)</f>
        <v>12276</v>
      </c>
      <c r="BA29" s="178">
        <f t="shared" si="58"/>
        <v>12276</v>
      </c>
      <c r="BB29" s="178">
        <f t="shared" si="58"/>
        <v>17276</v>
      </c>
      <c r="BC29" s="178">
        <f t="shared" si="58"/>
        <v>17276</v>
      </c>
      <c r="BD29" s="178">
        <f t="shared" si="58"/>
        <v>19574</v>
      </c>
      <c r="BE29" s="178">
        <f t="shared" si="58"/>
        <v>19574</v>
      </c>
      <c r="BF29" s="178">
        <f t="shared" si="58"/>
        <v>19574</v>
      </c>
      <c r="BG29" s="178">
        <f t="shared" si="58"/>
        <v>19574</v>
      </c>
      <c r="BH29" s="178">
        <f t="shared" si="58"/>
        <v>19574</v>
      </c>
      <c r="BI29" s="178">
        <f t="shared" si="58"/>
        <v>19574</v>
      </c>
      <c r="BJ29" s="178">
        <f t="shared" si="58"/>
        <v>19574</v>
      </c>
      <c r="BK29" s="178">
        <f t="shared" si="58"/>
        <v>19574</v>
      </c>
      <c r="BL29" s="178">
        <f t="shared" ref="BL29" si="59">SUM(AZ29:BK29)</f>
        <v>215696</v>
      </c>
      <c r="BM29" s="175">
        <f t="shared" ref="BM29:BM71" si="60">BL29/BL$15</f>
        <v>0.14427826086956522</v>
      </c>
    </row>
    <row r="30" spans="1:65" s="39" customFormat="1" hidden="1" x14ac:dyDescent="0.25">
      <c r="B30" s="39" t="s">
        <v>502</v>
      </c>
      <c r="C30" s="40"/>
      <c r="D30" s="41"/>
      <c r="E30" s="40"/>
      <c r="F30" s="41"/>
      <c r="G30" s="40"/>
      <c r="H30" s="41"/>
      <c r="I30" s="40"/>
      <c r="J30" s="41"/>
      <c r="K30" s="234"/>
      <c r="L30" s="234"/>
      <c r="M30" s="234"/>
      <c r="N30" s="234"/>
      <c r="O30" s="40"/>
      <c r="P30" s="41"/>
      <c r="Q30" s="160"/>
      <c r="R30" s="40"/>
      <c r="S30" s="40"/>
      <c r="T30" s="40"/>
      <c r="U30" s="40"/>
      <c r="V30" s="40"/>
      <c r="W30" s="41"/>
      <c r="Y30" s="160"/>
      <c r="Z30" s="8">
        <f t="shared" si="51"/>
        <v>0</v>
      </c>
      <c r="AA30" s="8">
        <f t="shared" si="52"/>
        <v>0</v>
      </c>
      <c r="AB30" s="8">
        <f t="shared" si="53"/>
        <v>0</v>
      </c>
      <c r="AC30" s="8">
        <f t="shared" si="54"/>
        <v>0</v>
      </c>
      <c r="AD30" s="40"/>
      <c r="AE30" s="160"/>
      <c r="AF30" s="157"/>
      <c r="AG30" s="157"/>
      <c r="AH30" s="157">
        <f t="shared" ref="AH30:AO33" si="61">$AX30*2</f>
        <v>4744</v>
      </c>
      <c r="AI30" s="157">
        <f t="shared" si="61"/>
        <v>4744</v>
      </c>
      <c r="AJ30" s="200">
        <f t="shared" si="61"/>
        <v>4744</v>
      </c>
      <c r="AK30" s="200">
        <v>1313</v>
      </c>
      <c r="AL30" s="200"/>
      <c r="AM30" s="200"/>
      <c r="AN30" s="200"/>
      <c r="AO30" s="200"/>
      <c r="AP30" s="200"/>
      <c r="AQ30" s="200"/>
      <c r="AR30" s="200"/>
      <c r="AS30" s="200"/>
      <c r="AT30" s="200"/>
      <c r="AU30" s="200"/>
      <c r="AV30" s="176"/>
      <c r="AW30" s="175"/>
      <c r="AX30" s="177">
        <v>2372</v>
      </c>
      <c r="AY30" s="194"/>
      <c r="AZ30" s="200"/>
      <c r="BA30" s="200"/>
      <c r="BB30" s="200"/>
      <c r="BC30" s="200"/>
      <c r="BD30" s="200"/>
      <c r="BE30" s="200"/>
      <c r="BF30" s="200"/>
      <c r="BG30" s="200"/>
      <c r="BH30" s="200"/>
      <c r="BI30" s="200"/>
      <c r="BJ30" s="200"/>
      <c r="BK30" s="200"/>
      <c r="BL30" s="176"/>
      <c r="BM30" s="175"/>
    </row>
    <row r="31" spans="1:65" s="39" customFormat="1" hidden="1" x14ac:dyDescent="0.25">
      <c r="B31" s="39" t="s">
        <v>2138</v>
      </c>
      <c r="C31" s="40"/>
      <c r="D31" s="41"/>
      <c r="E31" s="40"/>
      <c r="F31" s="41"/>
      <c r="G31" s="40"/>
      <c r="H31" s="41"/>
      <c r="I31" s="40"/>
      <c r="J31" s="41"/>
      <c r="K31" s="234"/>
      <c r="L31" s="234"/>
      <c r="M31" s="234"/>
      <c r="N31" s="234"/>
      <c r="O31" s="40"/>
      <c r="P31" s="41"/>
      <c r="Q31" s="160"/>
      <c r="R31" s="40"/>
      <c r="S31" s="40"/>
      <c r="T31" s="40"/>
      <c r="U31" s="40"/>
      <c r="V31" s="40"/>
      <c r="W31" s="41"/>
      <c r="Y31" s="160"/>
      <c r="Z31" s="8">
        <f t="shared" si="51"/>
        <v>5000</v>
      </c>
      <c r="AA31" s="8">
        <f t="shared" si="52"/>
        <v>15000</v>
      </c>
      <c r="AB31" s="8">
        <f t="shared" si="53"/>
        <v>15000</v>
      </c>
      <c r="AC31" s="8">
        <f t="shared" si="54"/>
        <v>15000</v>
      </c>
      <c r="AD31" s="40"/>
      <c r="AE31" s="160"/>
      <c r="AF31" s="157"/>
      <c r="AG31" s="157"/>
      <c r="AH31" s="157">
        <f t="shared" si="61"/>
        <v>5000</v>
      </c>
      <c r="AI31" s="157">
        <f t="shared" si="61"/>
        <v>5000</v>
      </c>
      <c r="AJ31" s="200">
        <f t="shared" si="61"/>
        <v>5000</v>
      </c>
      <c r="AK31" s="200">
        <f t="shared" si="61"/>
        <v>5000</v>
      </c>
      <c r="AL31" s="200"/>
      <c r="AM31" s="200"/>
      <c r="AN31" s="200"/>
      <c r="AO31" s="200"/>
      <c r="AP31" s="200"/>
      <c r="AQ31" s="200"/>
      <c r="AR31" s="200"/>
      <c r="AS31" s="200"/>
      <c r="AT31" s="200"/>
      <c r="AU31" s="200"/>
      <c r="AV31" s="176"/>
      <c r="AW31" s="175"/>
      <c r="AX31" s="177">
        <v>2500</v>
      </c>
      <c r="AY31" s="194"/>
      <c r="AZ31" s="200"/>
      <c r="BA31" s="200"/>
      <c r="BB31" s="200">
        <v>5000</v>
      </c>
      <c r="BC31" s="200">
        <v>5000</v>
      </c>
      <c r="BD31" s="200">
        <v>5000</v>
      </c>
      <c r="BE31" s="200">
        <v>5000</v>
      </c>
      <c r="BF31" s="200">
        <v>5000</v>
      </c>
      <c r="BG31" s="200">
        <v>5000</v>
      </c>
      <c r="BH31" s="200">
        <v>5000</v>
      </c>
      <c r="BI31" s="200">
        <v>5000</v>
      </c>
      <c r="BJ31" s="200">
        <v>5000</v>
      </c>
      <c r="BK31" s="200">
        <v>5000</v>
      </c>
      <c r="BL31" s="176"/>
      <c r="BM31" s="175"/>
    </row>
    <row r="32" spans="1:65" s="39" customFormat="1" hidden="1" x14ac:dyDescent="0.25">
      <c r="B32" s="39" t="s">
        <v>503</v>
      </c>
      <c r="C32" s="40"/>
      <c r="D32" s="41"/>
      <c r="E32" s="40"/>
      <c r="F32" s="41"/>
      <c r="G32" s="40"/>
      <c r="H32" s="41"/>
      <c r="I32" s="40"/>
      <c r="J32" s="41"/>
      <c r="K32" s="234"/>
      <c r="L32" s="234"/>
      <c r="M32" s="234"/>
      <c r="N32" s="234"/>
      <c r="O32" s="40"/>
      <c r="P32" s="41"/>
      <c r="Q32" s="160"/>
      <c r="R32" s="40"/>
      <c r="S32" s="40"/>
      <c r="T32" s="40"/>
      <c r="U32" s="40"/>
      <c r="V32" s="40"/>
      <c r="W32" s="41"/>
      <c r="Y32" s="160"/>
      <c r="Z32" s="8">
        <f t="shared" si="51"/>
        <v>11328</v>
      </c>
      <c r="AA32" s="8">
        <f t="shared" si="52"/>
        <v>12924</v>
      </c>
      <c r="AB32" s="8">
        <f t="shared" si="53"/>
        <v>13722</v>
      </c>
      <c r="AC32" s="8">
        <f t="shared" si="54"/>
        <v>13722</v>
      </c>
      <c r="AD32" s="40"/>
      <c r="AE32" s="160"/>
      <c r="AF32" s="157"/>
      <c r="AG32" s="157"/>
      <c r="AH32" s="157">
        <f t="shared" si="61"/>
        <v>4574</v>
      </c>
      <c r="AI32" s="157">
        <f t="shared" si="61"/>
        <v>4574</v>
      </c>
      <c r="AJ32" s="200">
        <v>4416</v>
      </c>
      <c r="AK32" s="200">
        <v>4468</v>
      </c>
      <c r="AL32" s="200">
        <f t="shared" si="61"/>
        <v>4574</v>
      </c>
      <c r="AM32" s="200">
        <f>$AX32*2</f>
        <v>4574</v>
      </c>
      <c r="AN32" s="200">
        <f t="shared" si="61"/>
        <v>4574</v>
      </c>
      <c r="AO32" s="200">
        <f t="shared" si="61"/>
        <v>4574</v>
      </c>
      <c r="AP32" s="200">
        <v>3776</v>
      </c>
      <c r="AQ32" s="200">
        <v>3776</v>
      </c>
      <c r="AR32" s="200">
        <v>3776</v>
      </c>
      <c r="AS32" s="200">
        <v>3776</v>
      </c>
      <c r="AT32" s="200">
        <v>3776</v>
      </c>
      <c r="AU32" s="200">
        <v>3776</v>
      </c>
      <c r="AV32" s="176"/>
      <c r="AW32" s="175"/>
      <c r="AX32" s="177">
        <v>2287</v>
      </c>
      <c r="AY32" s="194"/>
      <c r="AZ32" s="200">
        <v>3776</v>
      </c>
      <c r="BA32" s="200">
        <v>3776</v>
      </c>
      <c r="BB32" s="200">
        <v>3776</v>
      </c>
      <c r="BC32" s="200">
        <v>3776</v>
      </c>
      <c r="BD32" s="200">
        <v>4574</v>
      </c>
      <c r="BE32" s="200">
        <v>4574</v>
      </c>
      <c r="BF32" s="200">
        <v>4574</v>
      </c>
      <c r="BG32" s="200">
        <v>4574</v>
      </c>
      <c r="BH32" s="200">
        <v>4574</v>
      </c>
      <c r="BI32" s="200">
        <v>4574</v>
      </c>
      <c r="BJ32" s="200">
        <v>4574</v>
      </c>
      <c r="BK32" s="200">
        <v>4574</v>
      </c>
      <c r="BL32" s="176"/>
      <c r="BM32" s="175"/>
    </row>
    <row r="33" spans="2:65" s="39" customFormat="1" hidden="1" x14ac:dyDescent="0.25">
      <c r="B33" s="39" t="s">
        <v>504</v>
      </c>
      <c r="C33" s="40"/>
      <c r="D33" s="41"/>
      <c r="E33" s="40"/>
      <c r="F33" s="41"/>
      <c r="G33" s="40"/>
      <c r="H33" s="41"/>
      <c r="I33" s="40"/>
      <c r="J33" s="41"/>
      <c r="K33" s="234"/>
      <c r="L33" s="234"/>
      <c r="M33" s="234"/>
      <c r="N33" s="234"/>
      <c r="O33" s="40"/>
      <c r="P33" s="41"/>
      <c r="Q33" s="160"/>
      <c r="R33" s="40"/>
      <c r="S33" s="40"/>
      <c r="T33" s="40"/>
      <c r="U33" s="40"/>
      <c r="V33" s="40"/>
      <c r="W33" s="41"/>
      <c r="Y33" s="160"/>
      <c r="Z33" s="8">
        <f t="shared" si="51"/>
        <v>0</v>
      </c>
      <c r="AA33" s="8">
        <f t="shared" si="52"/>
        <v>0</v>
      </c>
      <c r="AB33" s="8">
        <f t="shared" si="53"/>
        <v>0</v>
      </c>
      <c r="AC33" s="8">
        <f t="shared" si="54"/>
        <v>0</v>
      </c>
      <c r="AD33" s="40"/>
      <c r="AE33" s="160"/>
      <c r="AF33" s="157"/>
      <c r="AG33" s="157"/>
      <c r="AH33" s="157">
        <f t="shared" si="61"/>
        <v>1834</v>
      </c>
      <c r="AI33" s="157">
        <f t="shared" si="61"/>
        <v>1834</v>
      </c>
      <c r="AJ33" s="200">
        <v>1834</v>
      </c>
      <c r="AK33" s="200">
        <v>1834</v>
      </c>
      <c r="AL33" s="200"/>
      <c r="AM33" s="200"/>
      <c r="AN33" s="200"/>
      <c r="AO33" s="200"/>
      <c r="AP33" s="200"/>
      <c r="AQ33" s="200"/>
      <c r="AR33" s="200"/>
      <c r="AS33" s="200"/>
      <c r="AT33" s="200"/>
      <c r="AU33" s="200"/>
      <c r="AV33" s="176"/>
      <c r="AW33" s="175"/>
      <c r="AX33" s="177">
        <v>917</v>
      </c>
      <c r="AY33" s="194"/>
      <c r="AZ33" s="200"/>
      <c r="BA33" s="200"/>
      <c r="BB33" s="200"/>
      <c r="BC33" s="200"/>
      <c r="BD33" s="200"/>
      <c r="BE33" s="200"/>
      <c r="BF33" s="200"/>
      <c r="BG33" s="200"/>
      <c r="BH33" s="200"/>
      <c r="BI33" s="200"/>
      <c r="BJ33" s="200"/>
      <c r="BK33" s="200"/>
      <c r="BL33" s="176"/>
      <c r="BM33" s="175"/>
    </row>
    <row r="34" spans="2:65" s="39" customFormat="1" hidden="1" x14ac:dyDescent="0.25">
      <c r="B34" s="39" t="s">
        <v>505</v>
      </c>
      <c r="C34" s="40"/>
      <c r="D34" s="41"/>
      <c r="E34" s="40"/>
      <c r="F34" s="41"/>
      <c r="G34" s="40"/>
      <c r="H34" s="41"/>
      <c r="I34" s="40"/>
      <c r="J34" s="41"/>
      <c r="K34" s="234"/>
      <c r="L34" s="234"/>
      <c r="M34" s="234"/>
      <c r="N34" s="234"/>
      <c r="O34" s="40"/>
      <c r="P34" s="41"/>
      <c r="Q34" s="160"/>
      <c r="R34" s="40"/>
      <c r="S34" s="40"/>
      <c r="T34" s="40"/>
      <c r="U34" s="40"/>
      <c r="V34" s="40"/>
      <c r="W34" s="41"/>
      <c r="Y34" s="160"/>
      <c r="Z34" s="8">
        <f t="shared" si="51"/>
        <v>15000</v>
      </c>
      <c r="AA34" s="8">
        <f t="shared" si="52"/>
        <v>15000</v>
      </c>
      <c r="AB34" s="8">
        <f t="shared" si="53"/>
        <v>15000</v>
      </c>
      <c r="AC34" s="8">
        <f t="shared" si="54"/>
        <v>15000</v>
      </c>
      <c r="AD34" s="40"/>
      <c r="AE34" s="160"/>
      <c r="AF34" s="157"/>
      <c r="AG34" s="157"/>
      <c r="AH34" s="176">
        <f>$AX34*2</f>
        <v>2490</v>
      </c>
      <c r="AI34" s="176">
        <f>$AX34*AI$144</f>
        <v>2490</v>
      </c>
      <c r="AJ34" s="200">
        <v>6666</v>
      </c>
      <c r="AK34" s="200">
        <v>6667</v>
      </c>
      <c r="AL34" s="200">
        <v>5000</v>
      </c>
      <c r="AM34" s="200">
        <v>5000</v>
      </c>
      <c r="AN34" s="200">
        <v>5000</v>
      </c>
      <c r="AO34" s="200">
        <v>5000</v>
      </c>
      <c r="AP34" s="200">
        <v>5000</v>
      </c>
      <c r="AQ34" s="200">
        <v>5000</v>
      </c>
      <c r="AR34" s="200">
        <v>5000</v>
      </c>
      <c r="AS34" s="200">
        <v>5000</v>
      </c>
      <c r="AT34" s="200">
        <v>5000</v>
      </c>
      <c r="AU34" s="200">
        <v>5000</v>
      </c>
      <c r="AV34" s="176"/>
      <c r="AW34" s="175"/>
      <c r="AX34" s="177">
        <v>1245</v>
      </c>
      <c r="AY34" s="194"/>
      <c r="AZ34" s="200">
        <v>5000</v>
      </c>
      <c r="BA34" s="200">
        <v>5000</v>
      </c>
      <c r="BB34" s="200">
        <v>5000</v>
      </c>
      <c r="BC34" s="200">
        <v>5000</v>
      </c>
      <c r="BD34" s="200">
        <v>5000</v>
      </c>
      <c r="BE34" s="200">
        <v>5000</v>
      </c>
      <c r="BF34" s="200">
        <v>5000</v>
      </c>
      <c r="BG34" s="200">
        <v>5000</v>
      </c>
      <c r="BH34" s="200">
        <v>5000</v>
      </c>
      <c r="BI34" s="200">
        <v>5000</v>
      </c>
      <c r="BJ34" s="200">
        <v>5000</v>
      </c>
      <c r="BK34" s="200">
        <v>5000</v>
      </c>
      <c r="BL34" s="176"/>
      <c r="BM34" s="175"/>
    </row>
    <row r="35" spans="2:65" s="39" customFormat="1" hidden="1" x14ac:dyDescent="0.25">
      <c r="B35" s="39" t="s">
        <v>506</v>
      </c>
      <c r="C35" s="40"/>
      <c r="D35" s="41"/>
      <c r="E35" s="40"/>
      <c r="F35" s="41"/>
      <c r="G35" s="40"/>
      <c r="H35" s="41"/>
      <c r="I35" s="40"/>
      <c r="J35" s="41"/>
      <c r="K35" s="234"/>
      <c r="L35" s="234"/>
      <c r="M35" s="234"/>
      <c r="N35" s="234"/>
      <c r="O35" s="40"/>
      <c r="P35" s="41"/>
      <c r="Q35" s="160"/>
      <c r="R35" s="40"/>
      <c r="S35" s="40"/>
      <c r="T35" s="40"/>
      <c r="U35" s="40"/>
      <c r="V35" s="40"/>
      <c r="W35" s="41"/>
      <c r="Y35" s="160"/>
      <c r="Z35" s="8">
        <f t="shared" si="51"/>
        <v>10500</v>
      </c>
      <c r="AA35" s="8">
        <f t="shared" si="52"/>
        <v>13500</v>
      </c>
      <c r="AB35" s="8">
        <f t="shared" si="53"/>
        <v>15000</v>
      </c>
      <c r="AC35" s="8">
        <f t="shared" si="54"/>
        <v>15000</v>
      </c>
      <c r="AD35" s="40"/>
      <c r="AE35" s="160"/>
      <c r="AF35" s="157"/>
      <c r="AG35" s="157"/>
      <c r="AH35" s="176">
        <f>$AX35*2</f>
        <v>7000</v>
      </c>
      <c r="AI35" s="176">
        <f>$AX35*2</f>
        <v>7000</v>
      </c>
      <c r="AJ35" s="200">
        <v>3625</v>
      </c>
      <c r="AK35" s="200">
        <v>0</v>
      </c>
      <c r="AL35" s="200">
        <v>3000</v>
      </c>
      <c r="AM35" s="200">
        <v>3000</v>
      </c>
      <c r="AN35" s="200">
        <v>3000</v>
      </c>
      <c r="AO35" s="200">
        <v>3500</v>
      </c>
      <c r="AP35" s="200">
        <v>3500</v>
      </c>
      <c r="AQ35" s="200">
        <v>3500</v>
      </c>
      <c r="AR35" s="200">
        <v>3500</v>
      </c>
      <c r="AS35" s="200">
        <v>3500</v>
      </c>
      <c r="AT35" s="200">
        <v>3500</v>
      </c>
      <c r="AU35" s="200">
        <v>3500</v>
      </c>
      <c r="AV35" s="176"/>
      <c r="AW35" s="175"/>
      <c r="AX35" s="177">
        <v>3500</v>
      </c>
      <c r="AY35" s="194"/>
      <c r="AZ35" s="200">
        <v>3500</v>
      </c>
      <c r="BA35" s="200">
        <v>3500</v>
      </c>
      <c r="BB35" s="200">
        <v>3500</v>
      </c>
      <c r="BC35" s="200">
        <v>3500</v>
      </c>
      <c r="BD35" s="200">
        <v>5000</v>
      </c>
      <c r="BE35" s="200">
        <v>5000</v>
      </c>
      <c r="BF35" s="200">
        <v>5000</v>
      </c>
      <c r="BG35" s="200">
        <v>5000</v>
      </c>
      <c r="BH35" s="200">
        <v>5000</v>
      </c>
      <c r="BI35" s="200">
        <v>5000</v>
      </c>
      <c r="BJ35" s="200">
        <v>5000</v>
      </c>
      <c r="BK35" s="200">
        <v>5000</v>
      </c>
      <c r="BL35" s="176"/>
      <c r="BM35" s="175"/>
    </row>
    <row r="36" spans="2:65" x14ac:dyDescent="0.25">
      <c r="B36" t="s">
        <v>160</v>
      </c>
      <c r="C36" s="8">
        <f>QB!F108</f>
        <v>142452.45000000001</v>
      </c>
      <c r="D36" s="41">
        <f t="shared" ref="D36" si="62">C36/C$15</f>
        <v>0.11121548297133647</v>
      </c>
      <c r="E36" s="8">
        <f>QB!K108</f>
        <v>57528.860000000008</v>
      </c>
      <c r="F36" s="41">
        <f>E36/E$15</f>
        <v>2.6520098507176987E-2</v>
      </c>
      <c r="G36" s="8">
        <f>QB!P108</f>
        <v>18232.21</v>
      </c>
      <c r="H36" s="41">
        <f>G36/G$15</f>
        <v>8.2802283291169929E-3</v>
      </c>
      <c r="I36" s="8">
        <v>84566</v>
      </c>
      <c r="J36" s="41">
        <f>I36/I$15</f>
        <v>3.6428251430146809E-2</v>
      </c>
      <c r="K36" s="230">
        <v>30320</v>
      </c>
      <c r="L36" s="230">
        <v>9582</v>
      </c>
      <c r="M36" s="230">
        <v>9031</v>
      </c>
      <c r="N36" s="230">
        <v>16319</v>
      </c>
      <c r="O36" s="8">
        <f t="shared" ref="O36:O42" si="63">SUM(K36:N36)</f>
        <v>65252</v>
      </c>
      <c r="P36" s="41">
        <f>O36/O$15</f>
        <v>3.7186580871353188E-2</v>
      </c>
      <c r="Q36" s="113"/>
      <c r="R36" s="8">
        <f>SUM(AJ36:AL36)</f>
        <v>18540</v>
      </c>
      <c r="S36" s="8">
        <f t="shared" ref="S36" si="64">SUM(AM36:AO36)</f>
        <v>19428</v>
      </c>
      <c r="T36" s="8">
        <f t="shared" ref="T36" si="65">SUM(AP36:AR36)</f>
        <v>20710</v>
      </c>
      <c r="U36" s="8">
        <f t="shared" ref="U36" si="66">SUM(AS36:AU36)</f>
        <v>17160</v>
      </c>
      <c r="V36" s="8">
        <f t="shared" ref="V36" si="67">SUM(R36:U36)</f>
        <v>75838</v>
      </c>
      <c r="W36" s="41">
        <f>V36/V$15</f>
        <v>7.9921846513127809E-2</v>
      </c>
      <c r="Y36" s="113"/>
      <c r="Z36" s="8">
        <f t="shared" si="51"/>
        <v>18671</v>
      </c>
      <c r="AA36" s="8">
        <f t="shared" si="52"/>
        <v>19428</v>
      </c>
      <c r="AB36" s="8">
        <f t="shared" si="53"/>
        <v>19200</v>
      </c>
      <c r="AC36" s="8">
        <f t="shared" si="54"/>
        <v>19200</v>
      </c>
      <c r="AD36" s="8">
        <f t="shared" ref="AD36" si="68">SUM(Z36:AC36)</f>
        <v>76499</v>
      </c>
      <c r="AE36" s="113"/>
      <c r="AF36" s="121">
        <v>9030</v>
      </c>
      <c r="AG36" s="121">
        <v>4939</v>
      </c>
      <c r="AH36" s="121">
        <v>6242</v>
      </c>
      <c r="AI36" s="121">
        <v>5138</v>
      </c>
      <c r="AJ36" s="121">
        <f t="shared" ref="AJ36:AU36" si="69">SUM(AJ37:AJ40)</f>
        <v>7721</v>
      </c>
      <c r="AK36" s="121">
        <f t="shared" si="69"/>
        <v>3588</v>
      </c>
      <c r="AL36" s="121">
        <v>7231</v>
      </c>
      <c r="AM36" s="121">
        <v>6049</v>
      </c>
      <c r="AN36" s="121">
        <v>6115</v>
      </c>
      <c r="AO36" s="121">
        <v>7264</v>
      </c>
      <c r="AP36" s="121">
        <v>8034</v>
      </c>
      <c r="AQ36" s="121">
        <v>6695</v>
      </c>
      <c r="AR36" s="178">
        <v>5981</v>
      </c>
      <c r="AS36" s="178">
        <f t="shared" si="69"/>
        <v>5720</v>
      </c>
      <c r="AT36" s="178">
        <f t="shared" si="69"/>
        <v>5720</v>
      </c>
      <c r="AU36" s="178">
        <f t="shared" si="69"/>
        <v>5720</v>
      </c>
      <c r="AV36" s="178">
        <f t="shared" ref="AV36" si="70">SUM(AJ36:AU36)</f>
        <v>75838</v>
      </c>
      <c r="AW36" s="175">
        <f t="shared" si="57"/>
        <v>7.9921846513127809E-2</v>
      </c>
      <c r="AX36" s="175"/>
      <c r="AY36" s="195"/>
      <c r="AZ36" s="178">
        <f t="shared" ref="AZ36:BA36" si="71">SUM(AZ37:AZ40)</f>
        <v>5720</v>
      </c>
      <c r="BA36" s="178">
        <f t="shared" si="71"/>
        <v>5720</v>
      </c>
      <c r="BB36" s="178">
        <v>7231</v>
      </c>
      <c r="BC36" s="178">
        <v>6049</v>
      </c>
      <c r="BD36" s="178">
        <v>6115</v>
      </c>
      <c r="BE36" s="178">
        <v>7264</v>
      </c>
      <c r="BF36" s="178">
        <f t="shared" ref="BF36:BK36" si="72">SUM(BF37:BF40)</f>
        <v>6400</v>
      </c>
      <c r="BG36" s="178">
        <f t="shared" si="72"/>
        <v>6400</v>
      </c>
      <c r="BH36" s="178">
        <f t="shared" si="72"/>
        <v>6400</v>
      </c>
      <c r="BI36" s="178">
        <f t="shared" si="72"/>
        <v>6400</v>
      </c>
      <c r="BJ36" s="178">
        <f t="shared" si="72"/>
        <v>6400</v>
      </c>
      <c r="BK36" s="178">
        <f t="shared" si="72"/>
        <v>6400</v>
      </c>
      <c r="BL36" s="178">
        <f t="shared" ref="BL36" si="73">SUM(AZ36:BK36)</f>
        <v>76499</v>
      </c>
      <c r="BM36" s="175">
        <f t="shared" si="60"/>
        <v>5.1169899665551841E-2</v>
      </c>
    </row>
    <row r="37" spans="2:65" s="39" customFormat="1" hidden="1" x14ac:dyDescent="0.25">
      <c r="B37" s="39" t="s">
        <v>507</v>
      </c>
      <c r="C37" s="40"/>
      <c r="D37" s="41"/>
      <c r="E37" s="40"/>
      <c r="F37" s="41"/>
      <c r="G37" s="40"/>
      <c r="H37" s="41"/>
      <c r="I37" s="40"/>
      <c r="J37" s="41"/>
      <c r="K37" s="234"/>
      <c r="L37" s="234"/>
      <c r="M37" s="234"/>
      <c r="N37" s="234"/>
      <c r="O37" s="40"/>
      <c r="P37" s="41"/>
      <c r="Q37" s="160"/>
      <c r="R37" s="40"/>
      <c r="S37" s="40"/>
      <c r="T37" s="40"/>
      <c r="U37" s="40"/>
      <c r="V37" s="40"/>
      <c r="W37" s="41"/>
      <c r="Y37" s="160"/>
      <c r="Z37" s="8">
        <f t="shared" si="51"/>
        <v>8580</v>
      </c>
      <c r="AA37" s="8">
        <f t="shared" si="52"/>
        <v>9260</v>
      </c>
      <c r="AB37" s="8">
        <f t="shared" si="53"/>
        <v>9600</v>
      </c>
      <c r="AC37" s="8">
        <f t="shared" si="54"/>
        <v>9600</v>
      </c>
      <c r="AD37" s="40"/>
      <c r="AE37" s="160"/>
      <c r="AF37" s="157"/>
      <c r="AG37" s="157"/>
      <c r="AH37" s="157">
        <v>2860</v>
      </c>
      <c r="AI37" s="157">
        <v>2860</v>
      </c>
      <c r="AJ37" s="200">
        <v>4767</v>
      </c>
      <c r="AK37" s="200">
        <v>1428</v>
      </c>
      <c r="AL37" s="200">
        <v>2860</v>
      </c>
      <c r="AM37" s="200">
        <v>2860</v>
      </c>
      <c r="AN37" s="200">
        <v>2860</v>
      </c>
      <c r="AO37" s="200">
        <v>2860</v>
      </c>
      <c r="AP37" s="200">
        <v>2860</v>
      </c>
      <c r="AQ37" s="200">
        <v>2860</v>
      </c>
      <c r="AR37" s="200">
        <v>2860</v>
      </c>
      <c r="AS37" s="200">
        <v>2860</v>
      </c>
      <c r="AT37" s="200">
        <v>2860</v>
      </c>
      <c r="AU37" s="200">
        <v>2860</v>
      </c>
      <c r="AV37" s="176"/>
      <c r="AW37" s="175"/>
      <c r="AX37" s="177" t="s">
        <v>1856</v>
      </c>
      <c r="AY37" s="194"/>
      <c r="AZ37" s="200">
        <v>2860</v>
      </c>
      <c r="BA37" s="200">
        <v>2860</v>
      </c>
      <c r="BB37" s="200">
        <v>2860</v>
      </c>
      <c r="BC37" s="200">
        <v>2860</v>
      </c>
      <c r="BD37" s="200">
        <v>3200</v>
      </c>
      <c r="BE37" s="200">
        <v>3200</v>
      </c>
      <c r="BF37" s="200">
        <v>3200</v>
      </c>
      <c r="BG37" s="200">
        <v>3200</v>
      </c>
      <c r="BH37" s="200">
        <v>3200</v>
      </c>
      <c r="BI37" s="200">
        <v>3200</v>
      </c>
      <c r="BJ37" s="200">
        <v>3200</v>
      </c>
      <c r="BK37" s="200">
        <v>3200</v>
      </c>
      <c r="BL37" s="176"/>
      <c r="BM37" s="175"/>
    </row>
    <row r="38" spans="2:65" s="39" customFormat="1" hidden="1" x14ac:dyDescent="0.25">
      <c r="B38" s="39" t="s">
        <v>508</v>
      </c>
      <c r="C38" s="40"/>
      <c r="D38" s="41"/>
      <c r="E38" s="40"/>
      <c r="F38" s="41"/>
      <c r="G38" s="40"/>
      <c r="H38" s="41"/>
      <c r="I38" s="40"/>
      <c r="J38" s="41"/>
      <c r="K38" s="234"/>
      <c r="L38" s="234"/>
      <c r="M38" s="234"/>
      <c r="N38" s="234"/>
      <c r="O38" s="40"/>
      <c r="P38" s="41"/>
      <c r="Q38" s="160"/>
      <c r="R38" s="40"/>
      <c r="S38" s="40"/>
      <c r="T38" s="40"/>
      <c r="U38" s="40"/>
      <c r="V38" s="40"/>
      <c r="W38" s="41"/>
      <c r="Y38" s="160"/>
      <c r="Z38" s="8">
        <f t="shared" si="51"/>
        <v>8580</v>
      </c>
      <c r="AA38" s="8">
        <f t="shared" si="52"/>
        <v>9260</v>
      </c>
      <c r="AB38" s="8">
        <f t="shared" si="53"/>
        <v>9600</v>
      </c>
      <c r="AC38" s="8">
        <f t="shared" si="54"/>
        <v>9600</v>
      </c>
      <c r="AD38" s="40"/>
      <c r="AE38" s="160"/>
      <c r="AF38" s="157"/>
      <c r="AG38" s="157"/>
      <c r="AH38" s="157">
        <v>2860</v>
      </c>
      <c r="AI38" s="157">
        <v>2860</v>
      </c>
      <c r="AJ38" s="200">
        <v>2954</v>
      </c>
      <c r="AK38" s="200">
        <v>2160</v>
      </c>
      <c r="AL38" s="200">
        <v>2860</v>
      </c>
      <c r="AM38" s="200">
        <v>2860</v>
      </c>
      <c r="AN38" s="200">
        <v>2860</v>
      </c>
      <c r="AO38" s="200">
        <v>2860</v>
      </c>
      <c r="AP38" s="200">
        <v>2860</v>
      </c>
      <c r="AQ38" s="200">
        <v>2000</v>
      </c>
      <c r="AR38" s="200">
        <v>2000</v>
      </c>
      <c r="AS38" s="200">
        <v>2860</v>
      </c>
      <c r="AT38" s="200">
        <v>2860</v>
      </c>
      <c r="AU38" s="200">
        <v>2860</v>
      </c>
      <c r="AV38" s="176"/>
      <c r="AW38" s="175"/>
      <c r="AX38" s="177" t="s">
        <v>1857</v>
      </c>
      <c r="AY38" s="194"/>
      <c r="AZ38" s="200">
        <v>2860</v>
      </c>
      <c r="BA38" s="200">
        <v>2860</v>
      </c>
      <c r="BB38" s="200">
        <v>2860</v>
      </c>
      <c r="BC38" s="200">
        <v>2860</v>
      </c>
      <c r="BD38" s="200">
        <v>3200</v>
      </c>
      <c r="BE38" s="200">
        <v>3200</v>
      </c>
      <c r="BF38" s="200">
        <v>3200</v>
      </c>
      <c r="BG38" s="200">
        <v>3200</v>
      </c>
      <c r="BH38" s="200">
        <v>3200</v>
      </c>
      <c r="BI38" s="200">
        <v>3200</v>
      </c>
      <c r="BJ38" s="200">
        <v>3200</v>
      </c>
      <c r="BK38" s="200">
        <v>3200</v>
      </c>
      <c r="BL38" s="176"/>
      <c r="BM38" s="175"/>
    </row>
    <row r="39" spans="2:65" s="39" customFormat="1" hidden="1" x14ac:dyDescent="0.25">
      <c r="C39" s="40"/>
      <c r="D39" s="41"/>
      <c r="E39" s="40"/>
      <c r="F39" s="41"/>
      <c r="G39" s="40"/>
      <c r="H39" s="41"/>
      <c r="I39" s="40"/>
      <c r="J39" s="41"/>
      <c r="K39" s="234"/>
      <c r="L39" s="234"/>
      <c r="M39" s="234"/>
      <c r="N39" s="234"/>
      <c r="O39" s="40"/>
      <c r="P39" s="41"/>
      <c r="Q39" s="160"/>
      <c r="R39" s="40"/>
      <c r="S39" s="40"/>
      <c r="T39" s="40"/>
      <c r="U39" s="40"/>
      <c r="V39" s="40"/>
      <c r="W39" s="41"/>
      <c r="Y39" s="160"/>
      <c r="Z39" s="8">
        <f t="shared" si="51"/>
        <v>0</v>
      </c>
      <c r="AA39" s="8">
        <f t="shared" si="52"/>
        <v>0</v>
      </c>
      <c r="AB39" s="8">
        <f t="shared" si="53"/>
        <v>0</v>
      </c>
      <c r="AC39" s="8">
        <f t="shared" si="54"/>
        <v>0</v>
      </c>
      <c r="AD39" s="40"/>
      <c r="AE39" s="160"/>
      <c r="AF39" s="157"/>
      <c r="AG39" s="157"/>
      <c r="AH39" s="157"/>
      <c r="AI39" s="157"/>
      <c r="AJ39" s="157"/>
      <c r="AK39" s="157"/>
      <c r="AL39" s="157"/>
      <c r="AM39" s="157"/>
      <c r="AN39" s="157"/>
      <c r="AO39" s="157"/>
      <c r="AP39" s="176"/>
      <c r="AQ39" s="176"/>
      <c r="AR39" s="176"/>
      <c r="AS39" s="176"/>
      <c r="AT39" s="176"/>
      <c r="AU39" s="176"/>
      <c r="AV39" s="176"/>
      <c r="AW39" s="175"/>
      <c r="AX39" s="177"/>
      <c r="AY39" s="194"/>
      <c r="AZ39" s="176"/>
      <c r="BA39" s="176"/>
      <c r="BB39" s="176"/>
      <c r="BC39" s="176"/>
      <c r="BD39" s="176"/>
      <c r="BE39" s="176"/>
      <c r="BF39" s="176"/>
      <c r="BG39" s="176"/>
      <c r="BH39" s="176"/>
      <c r="BI39" s="176"/>
      <c r="BJ39" s="176"/>
      <c r="BK39" s="176"/>
      <c r="BL39" s="176"/>
      <c r="BM39" s="175"/>
    </row>
    <row r="40" spans="2:65" s="39" customFormat="1" hidden="1" x14ac:dyDescent="0.25">
      <c r="C40" s="40"/>
      <c r="D40" s="41"/>
      <c r="E40" s="40"/>
      <c r="F40" s="41"/>
      <c r="G40" s="40"/>
      <c r="H40" s="41"/>
      <c r="I40" s="40"/>
      <c r="J40" s="41"/>
      <c r="K40" s="234"/>
      <c r="L40" s="234"/>
      <c r="M40" s="234"/>
      <c r="N40" s="234"/>
      <c r="O40" s="40"/>
      <c r="P40" s="41"/>
      <c r="Q40" s="160"/>
      <c r="R40" s="40"/>
      <c r="S40" s="40"/>
      <c r="T40" s="40"/>
      <c r="U40" s="40"/>
      <c r="V40" s="40"/>
      <c r="W40" s="41"/>
      <c r="Y40" s="160"/>
      <c r="Z40" s="8">
        <f t="shared" si="51"/>
        <v>0</v>
      </c>
      <c r="AA40" s="8">
        <f t="shared" si="52"/>
        <v>0</v>
      </c>
      <c r="AB40" s="8">
        <f t="shared" si="53"/>
        <v>0</v>
      </c>
      <c r="AC40" s="8">
        <f t="shared" si="54"/>
        <v>0</v>
      </c>
      <c r="AD40" s="40"/>
      <c r="AE40" s="160"/>
      <c r="AF40" s="157"/>
      <c r="AG40" s="157"/>
      <c r="AH40" s="157"/>
      <c r="AI40" s="157"/>
      <c r="AJ40" s="157"/>
      <c r="AK40" s="157"/>
      <c r="AL40" s="157"/>
      <c r="AM40" s="157"/>
      <c r="AN40" s="157"/>
      <c r="AO40" s="157"/>
      <c r="AP40" s="176"/>
      <c r="AQ40" s="176"/>
      <c r="AR40" s="176"/>
      <c r="AS40" s="176"/>
      <c r="AT40" s="176"/>
      <c r="AU40" s="176"/>
      <c r="AV40" s="176"/>
      <c r="AW40" s="175"/>
      <c r="AX40" s="177"/>
      <c r="AY40" s="194"/>
      <c r="AZ40" s="176"/>
      <c r="BA40" s="176"/>
      <c r="BB40" s="176"/>
      <c r="BC40" s="176"/>
      <c r="BD40" s="176"/>
      <c r="BE40" s="176"/>
      <c r="BF40" s="176"/>
      <c r="BG40" s="176"/>
      <c r="BH40" s="176"/>
      <c r="BI40" s="176"/>
      <c r="BJ40" s="176"/>
      <c r="BK40" s="176"/>
      <c r="BL40" s="176"/>
      <c r="BM40" s="175"/>
    </row>
    <row r="41" spans="2:65" x14ac:dyDescent="0.25">
      <c r="B41" t="s">
        <v>161</v>
      </c>
      <c r="C41" s="8">
        <f>QB!F109</f>
        <v>0</v>
      </c>
      <c r="D41" s="41">
        <f t="shared" ref="D41:D44" si="74">C41/C$15</f>
        <v>0</v>
      </c>
      <c r="E41" s="8">
        <f>QB!K109</f>
        <v>18516.46</v>
      </c>
      <c r="F41" s="41">
        <f>E41/E$15</f>
        <v>8.5358608393109534E-3</v>
      </c>
      <c r="G41" s="8">
        <f>QB!P109</f>
        <v>32796.35</v>
      </c>
      <c r="H41" s="41">
        <f>G41/G$15</f>
        <v>1.4894588552985956E-2</v>
      </c>
      <c r="I41" s="8">
        <v>31028</v>
      </c>
      <c r="J41" s="41">
        <f t="shared" ref="J41:J63" si="75">I41/I$15</f>
        <v>1.336584189123992E-2</v>
      </c>
      <c r="K41" s="230">
        <v>7707</v>
      </c>
      <c r="L41" s="230">
        <v>6925</v>
      </c>
      <c r="M41" s="230">
        <v>5184</v>
      </c>
      <c r="N41" s="230">
        <v>4472</v>
      </c>
      <c r="O41" s="8">
        <f t="shared" si="63"/>
        <v>24288</v>
      </c>
      <c r="P41" s="41">
        <f t="shared" ref="P41:P63" si="76">O41/O$15</f>
        <v>1.3841532461892759E-2</v>
      </c>
      <c r="Q41" s="113"/>
      <c r="R41" s="8">
        <f t="shared" ref="R41:R42" si="77">SUM(AJ41:AL41)</f>
        <v>4724</v>
      </c>
      <c r="S41" s="8">
        <f t="shared" ref="S41:S42" si="78">SUM(AM41:AO41)</f>
        <v>2011</v>
      </c>
      <c r="T41" s="8">
        <f t="shared" ref="T41:T42" si="79">SUM(AP41:AR41)</f>
        <v>684</v>
      </c>
      <c r="U41" s="8">
        <f t="shared" ref="U41:U44" si="80">SUM(AS41:AU41)</f>
        <v>2946.2400000000002</v>
      </c>
      <c r="V41" s="8">
        <f t="shared" ref="V41:V42" si="81">SUM(R41:U41)</f>
        <v>10365.24</v>
      </c>
      <c r="W41" s="41">
        <f t="shared" ref="W41:W44" si="82">V41/V$15</f>
        <v>1.0923404102847291E-2</v>
      </c>
      <c r="Y41" s="113"/>
      <c r="Z41" s="8">
        <f t="shared" si="51"/>
        <v>3346.24</v>
      </c>
      <c r="AA41" s="8">
        <f t="shared" si="52"/>
        <v>4513.92</v>
      </c>
      <c r="AB41" s="8">
        <f t="shared" si="53"/>
        <v>4697.76</v>
      </c>
      <c r="AC41" s="8">
        <f t="shared" si="54"/>
        <v>4697.76</v>
      </c>
      <c r="AD41" s="8">
        <f t="shared" ref="AD41:AD42" si="83">SUM(Z41:AC41)</f>
        <v>17255.68</v>
      </c>
      <c r="AE41" s="113"/>
      <c r="AF41" s="121">
        <v>5184</v>
      </c>
      <c r="AG41" s="121">
        <v>1439</v>
      </c>
      <c r="AH41" s="121">
        <v>1363</v>
      </c>
      <c r="AI41" s="121">
        <v>1670</v>
      </c>
      <c r="AJ41" s="121">
        <v>2184</v>
      </c>
      <c r="AK41" s="121">
        <v>1545</v>
      </c>
      <c r="AL41" s="121">
        <v>995</v>
      </c>
      <c r="AM41" s="121">
        <v>683</v>
      </c>
      <c r="AN41" s="121">
        <v>804</v>
      </c>
      <c r="AO41" s="121">
        <v>524</v>
      </c>
      <c r="AP41" s="121">
        <v>350</v>
      </c>
      <c r="AQ41" s="178"/>
      <c r="AR41" s="178">
        <v>334</v>
      </c>
      <c r="AS41" s="178">
        <f t="shared" ref="AS41:AU41" si="84">AS29*0.08</f>
        <v>982.08</v>
      </c>
      <c r="AT41" s="178">
        <f t="shared" si="84"/>
        <v>982.08</v>
      </c>
      <c r="AU41" s="178">
        <f t="shared" si="84"/>
        <v>982.08</v>
      </c>
      <c r="AV41" s="178">
        <f t="shared" ref="AV41:AV42" si="85">SUM(AJ41:AU41)</f>
        <v>10365.24</v>
      </c>
      <c r="AW41" s="175">
        <f t="shared" si="57"/>
        <v>1.0923404102847291E-2</v>
      </c>
      <c r="AX41" s="175" t="s">
        <v>509</v>
      </c>
      <c r="AY41" s="195"/>
      <c r="AZ41" s="178">
        <f t="shared" ref="AZ41:BK41" si="86">AZ29*0.08</f>
        <v>982.08</v>
      </c>
      <c r="BA41" s="178">
        <f t="shared" si="86"/>
        <v>982.08</v>
      </c>
      <c r="BB41" s="178">
        <f t="shared" si="86"/>
        <v>1382.08</v>
      </c>
      <c r="BC41" s="178">
        <f t="shared" si="86"/>
        <v>1382.08</v>
      </c>
      <c r="BD41" s="178">
        <f t="shared" si="86"/>
        <v>1565.92</v>
      </c>
      <c r="BE41" s="178">
        <f t="shared" si="86"/>
        <v>1565.92</v>
      </c>
      <c r="BF41" s="178">
        <f t="shared" si="86"/>
        <v>1565.92</v>
      </c>
      <c r="BG41" s="178">
        <f t="shared" si="86"/>
        <v>1565.92</v>
      </c>
      <c r="BH41" s="178">
        <f t="shared" si="86"/>
        <v>1565.92</v>
      </c>
      <c r="BI41" s="178">
        <f t="shared" si="86"/>
        <v>1565.92</v>
      </c>
      <c r="BJ41" s="178">
        <f t="shared" si="86"/>
        <v>1565.92</v>
      </c>
      <c r="BK41" s="178">
        <f t="shared" si="86"/>
        <v>1565.92</v>
      </c>
      <c r="BL41" s="178">
        <f t="shared" ref="BL41:BL42" si="87">SUM(AZ41:BK41)</f>
        <v>17255.68</v>
      </c>
      <c r="BM41" s="175">
        <f t="shared" si="60"/>
        <v>1.1542260869565217E-2</v>
      </c>
    </row>
    <row r="42" spans="2:65" x14ac:dyDescent="0.25">
      <c r="B42" t="s">
        <v>162</v>
      </c>
      <c r="C42" s="9">
        <f>QB!F104</f>
        <v>6974.56</v>
      </c>
      <c r="D42" s="43">
        <f t="shared" si="74"/>
        <v>5.4451787871150304E-3</v>
      </c>
      <c r="E42" s="9">
        <f>QB!K104</f>
        <v>10175.58</v>
      </c>
      <c r="F42" s="43">
        <f>E42/E$15</f>
        <v>4.6908175125955909E-3</v>
      </c>
      <c r="G42" s="9">
        <f>QB!P104</f>
        <v>2511.54</v>
      </c>
      <c r="H42" s="43">
        <f>G42/G$15</f>
        <v>1.1406255554159638E-3</v>
      </c>
      <c r="I42" s="9">
        <v>18506</v>
      </c>
      <c r="J42" s="43">
        <f t="shared" si="75"/>
        <v>7.9717761389482382E-3</v>
      </c>
      <c r="K42" s="231">
        <v>3190</v>
      </c>
      <c r="L42" s="231">
        <v>3417</v>
      </c>
      <c r="M42" s="231">
        <v>3692</v>
      </c>
      <c r="N42" s="231">
        <v>4817</v>
      </c>
      <c r="O42" s="9">
        <f t="shared" si="63"/>
        <v>15116</v>
      </c>
      <c r="P42" s="43">
        <f t="shared" si="76"/>
        <v>8.6144847123670511E-3</v>
      </c>
      <c r="Q42" s="116"/>
      <c r="R42" s="9">
        <f t="shared" si="77"/>
        <v>690</v>
      </c>
      <c r="S42" s="9">
        <f t="shared" si="78"/>
        <v>5594</v>
      </c>
      <c r="T42" s="9">
        <f t="shared" si="79"/>
        <v>2856</v>
      </c>
      <c r="U42" s="9">
        <f t="shared" si="80"/>
        <v>3300</v>
      </c>
      <c r="V42" s="9">
        <f t="shared" si="81"/>
        <v>12440</v>
      </c>
      <c r="W42" s="43">
        <f t="shared" si="82"/>
        <v>1.3109889113944328E-2</v>
      </c>
      <c r="Y42" s="116"/>
      <c r="Z42" s="9">
        <f t="shared" si="51"/>
        <v>1050</v>
      </c>
      <c r="AA42" s="9">
        <f t="shared" si="52"/>
        <v>1050</v>
      </c>
      <c r="AB42" s="9">
        <f t="shared" si="53"/>
        <v>1050</v>
      </c>
      <c r="AC42" s="9">
        <f t="shared" si="54"/>
        <v>1050</v>
      </c>
      <c r="AD42" s="9">
        <f t="shared" si="83"/>
        <v>4200</v>
      </c>
      <c r="AE42" s="116"/>
      <c r="AF42" s="122">
        <v>3692</v>
      </c>
      <c r="AG42" s="122"/>
      <c r="AH42" s="122"/>
      <c r="AI42" s="122">
        <v>4817</v>
      </c>
      <c r="AJ42" s="122">
        <v>345</v>
      </c>
      <c r="AK42" s="122">
        <v>138</v>
      </c>
      <c r="AL42" s="122">
        <v>207</v>
      </c>
      <c r="AM42" s="122">
        <v>3311</v>
      </c>
      <c r="AN42" s="122">
        <v>138</v>
      </c>
      <c r="AO42" s="122">
        <v>2145</v>
      </c>
      <c r="AP42" s="122">
        <v>1756</v>
      </c>
      <c r="AQ42" s="201"/>
      <c r="AR42" s="201">
        <v>1100</v>
      </c>
      <c r="AS42" s="201">
        <v>1100</v>
      </c>
      <c r="AT42" s="201">
        <v>1100</v>
      </c>
      <c r="AU42" s="201">
        <v>1100</v>
      </c>
      <c r="AV42" s="201">
        <f t="shared" si="85"/>
        <v>12440</v>
      </c>
      <c r="AW42" s="175">
        <f t="shared" si="57"/>
        <v>1.3109889113944328E-2</v>
      </c>
      <c r="AX42" s="175" t="s">
        <v>1888</v>
      </c>
      <c r="AY42" s="195"/>
      <c r="AZ42" s="201">
        <v>350</v>
      </c>
      <c r="BA42" s="201">
        <v>350</v>
      </c>
      <c r="BB42" s="201">
        <v>350</v>
      </c>
      <c r="BC42" s="201">
        <v>350</v>
      </c>
      <c r="BD42" s="201">
        <v>350</v>
      </c>
      <c r="BE42" s="201">
        <v>350</v>
      </c>
      <c r="BF42" s="201">
        <v>350</v>
      </c>
      <c r="BG42" s="201">
        <v>350</v>
      </c>
      <c r="BH42" s="201">
        <v>350</v>
      </c>
      <c r="BI42" s="201">
        <v>350</v>
      </c>
      <c r="BJ42" s="201">
        <v>350</v>
      </c>
      <c r="BK42" s="201">
        <v>350</v>
      </c>
      <c r="BL42" s="201">
        <f t="shared" si="87"/>
        <v>4200</v>
      </c>
      <c r="BM42" s="175">
        <f t="shared" si="60"/>
        <v>2.8093645484949833E-3</v>
      </c>
    </row>
    <row r="43" spans="2:65" x14ac:dyDescent="0.25">
      <c r="B43" t="s">
        <v>163</v>
      </c>
      <c r="C43" s="8">
        <f>SUM(C29:C42)</f>
        <v>149427.01</v>
      </c>
      <c r="D43" s="41">
        <f t="shared" si="74"/>
        <v>0.11666066175845151</v>
      </c>
      <c r="E43" s="8">
        <f>SUM(E29:E42)</f>
        <v>302985.14</v>
      </c>
      <c r="F43" s="41">
        <f>E43/E$15</f>
        <v>0.13967243152412215</v>
      </c>
      <c r="G43" s="8">
        <f>SUM(G29:G42)</f>
        <v>444817.26</v>
      </c>
      <c r="H43" s="41">
        <f>G43/G$15</f>
        <v>0.20201547028759537</v>
      </c>
      <c r="I43" s="8">
        <f t="shared" ref="I43" si="88">SUM(I29:I42)</f>
        <v>544405</v>
      </c>
      <c r="J43" s="41">
        <f t="shared" si="75"/>
        <v>0.2345117685574471</v>
      </c>
      <c r="K43" s="230">
        <f t="shared" ref="K43:O43" si="89">SUM(K29:K42)</f>
        <v>154912</v>
      </c>
      <c r="L43" s="230">
        <f t="shared" si="89"/>
        <v>133285</v>
      </c>
      <c r="M43" s="230">
        <f t="shared" si="89"/>
        <v>105919</v>
      </c>
      <c r="N43" s="230">
        <f t="shared" si="89"/>
        <v>105452</v>
      </c>
      <c r="O43" s="8">
        <f t="shared" si="89"/>
        <v>499568</v>
      </c>
      <c r="P43" s="41">
        <f t="shared" si="76"/>
        <v>0.28469971545301553</v>
      </c>
      <c r="Q43" s="113"/>
      <c r="R43" s="8">
        <f t="shared" ref="R43:V43" si="90">SUM(R29:R42)</f>
        <v>98360</v>
      </c>
      <c r="S43" s="8">
        <f t="shared" si="90"/>
        <v>67509</v>
      </c>
      <c r="T43" s="8">
        <f t="shared" si="90"/>
        <v>36750</v>
      </c>
      <c r="U43" s="8">
        <f t="shared" si="90"/>
        <v>60234.239999999998</v>
      </c>
      <c r="V43" s="8">
        <f t="shared" si="90"/>
        <v>262853.24</v>
      </c>
      <c r="W43" s="41">
        <f t="shared" si="82"/>
        <v>0.27700778373319901</v>
      </c>
      <c r="Y43" s="113"/>
      <c r="Z43" s="8">
        <f>Z29+Z36+Z41+Z42</f>
        <v>64895.24</v>
      </c>
      <c r="AA43" s="8">
        <f t="shared" ref="AA43:AD43" si="91">AA29+AA36+AA41+AA42</f>
        <v>81415.92</v>
      </c>
      <c r="AB43" s="8">
        <f t="shared" si="91"/>
        <v>83669.759999999995</v>
      </c>
      <c r="AC43" s="8">
        <f t="shared" si="91"/>
        <v>83669.759999999995</v>
      </c>
      <c r="AD43" s="8">
        <f t="shared" si="91"/>
        <v>313650.68</v>
      </c>
      <c r="AE43" s="113"/>
      <c r="AF43" s="121">
        <f t="shared" ref="AF43:AG43" si="92">SUM(AF29:AF42)</f>
        <v>105918</v>
      </c>
      <c r="AG43" s="121">
        <f t="shared" si="92"/>
        <v>39063</v>
      </c>
      <c r="AH43" s="121">
        <f>AH29+AH36+AH41+AH42</f>
        <v>32497</v>
      </c>
      <c r="AI43" s="121">
        <f t="shared" ref="AI43:AU43" si="93">AI29+AI36+AI41+AI42</f>
        <v>33892</v>
      </c>
      <c r="AJ43" s="121">
        <f t="shared" si="93"/>
        <v>39659</v>
      </c>
      <c r="AK43" s="121">
        <f t="shared" si="93"/>
        <v>27678</v>
      </c>
      <c r="AL43" s="121">
        <f t="shared" si="93"/>
        <v>31023</v>
      </c>
      <c r="AM43" s="121">
        <f t="shared" si="93"/>
        <v>27298</v>
      </c>
      <c r="AN43" s="121">
        <f t="shared" si="93"/>
        <v>21096</v>
      </c>
      <c r="AO43" s="121">
        <f t="shared" si="93"/>
        <v>19115</v>
      </c>
      <c r="AP43" s="121">
        <f t="shared" si="93"/>
        <v>15140</v>
      </c>
      <c r="AQ43" s="121">
        <f t="shared" si="93"/>
        <v>9195</v>
      </c>
      <c r="AR43" s="178">
        <f t="shared" si="93"/>
        <v>12415</v>
      </c>
      <c r="AS43" s="178">
        <f t="shared" si="93"/>
        <v>20078.080000000002</v>
      </c>
      <c r="AT43" s="178">
        <f t="shared" si="93"/>
        <v>20078.080000000002</v>
      </c>
      <c r="AU43" s="178">
        <f t="shared" si="93"/>
        <v>20078.080000000002</v>
      </c>
      <c r="AV43" s="178">
        <f>SUM(AV29:AV42)</f>
        <v>262853.24</v>
      </c>
      <c r="AW43" s="175">
        <f t="shared" si="57"/>
        <v>0.27700778373319901</v>
      </c>
      <c r="AX43" s="175"/>
      <c r="AY43" s="195"/>
      <c r="AZ43" s="178">
        <f t="shared" ref="AZ43:BK43" si="94">AZ29+AZ36+AZ41+AZ42</f>
        <v>19328.080000000002</v>
      </c>
      <c r="BA43" s="178">
        <f t="shared" si="94"/>
        <v>19328.080000000002</v>
      </c>
      <c r="BB43" s="178">
        <f t="shared" si="94"/>
        <v>26239.08</v>
      </c>
      <c r="BC43" s="178">
        <f t="shared" si="94"/>
        <v>25057.08</v>
      </c>
      <c r="BD43" s="178">
        <f t="shared" si="94"/>
        <v>27604.92</v>
      </c>
      <c r="BE43" s="178">
        <f t="shared" si="94"/>
        <v>28753.919999999998</v>
      </c>
      <c r="BF43" s="178">
        <f t="shared" si="94"/>
        <v>27889.919999999998</v>
      </c>
      <c r="BG43" s="178">
        <f t="shared" si="94"/>
        <v>27889.919999999998</v>
      </c>
      <c r="BH43" s="178">
        <f t="shared" si="94"/>
        <v>27889.919999999998</v>
      </c>
      <c r="BI43" s="178">
        <f t="shared" si="94"/>
        <v>27889.919999999998</v>
      </c>
      <c r="BJ43" s="178">
        <f t="shared" si="94"/>
        <v>27889.919999999998</v>
      </c>
      <c r="BK43" s="178">
        <f t="shared" si="94"/>
        <v>27889.919999999998</v>
      </c>
      <c r="BL43" s="178">
        <f>SUM(BL29:BL42)</f>
        <v>313650.68</v>
      </c>
      <c r="BM43" s="175">
        <f t="shared" si="60"/>
        <v>0.20979978595317725</v>
      </c>
    </row>
    <row r="44" spans="2:65" x14ac:dyDescent="0.25">
      <c r="B44" t="s">
        <v>164</v>
      </c>
      <c r="C44" s="8">
        <f>QB!F80</f>
        <v>120088.93</v>
      </c>
      <c r="D44" s="41">
        <f t="shared" si="74"/>
        <v>9.3755834662450646E-2</v>
      </c>
      <c r="E44" s="8">
        <f>QB!K80</f>
        <v>126166.54000000001</v>
      </c>
      <c r="F44" s="41">
        <f>E44/E$15</f>
        <v>5.8161226714899011E-2</v>
      </c>
      <c r="G44" s="8">
        <f>QB!P80</f>
        <v>153428.37</v>
      </c>
      <c r="H44" s="41">
        <f>G44/G$15</f>
        <v>6.968008462848134E-2</v>
      </c>
      <c r="I44" s="8">
        <v>182458</v>
      </c>
      <c r="J44" s="41">
        <f t="shared" si="75"/>
        <v>7.859690536908126E-2</v>
      </c>
      <c r="K44" s="230">
        <v>47826</v>
      </c>
      <c r="L44" s="230">
        <v>43028</v>
      </c>
      <c r="M44" s="230">
        <v>32671</v>
      </c>
      <c r="N44" s="230">
        <v>13368</v>
      </c>
      <c r="O44" s="8">
        <f>SUM(K44:N44)</f>
        <v>136893</v>
      </c>
      <c r="P44" s="41">
        <f t="shared" si="76"/>
        <v>7.8014200564306871E-2</v>
      </c>
      <c r="Q44" s="113"/>
      <c r="R44" s="8">
        <f>SUM(AJ44:AL44)</f>
        <v>15741</v>
      </c>
      <c r="S44" s="8">
        <f t="shared" ref="S44" si="95">SUM(AM44:AO44)</f>
        <v>13643</v>
      </c>
      <c r="T44" s="8">
        <f t="shared" ref="T44" si="96">SUM(AP44:AR44)</f>
        <v>9525</v>
      </c>
      <c r="U44" s="8">
        <f t="shared" si="80"/>
        <v>6000</v>
      </c>
      <c r="V44" s="8">
        <f>SUM(R44:U44)</f>
        <v>44909</v>
      </c>
      <c r="W44" s="41">
        <f t="shared" si="82"/>
        <v>4.7327332011103361E-2</v>
      </c>
      <c r="Y44" s="113"/>
      <c r="Z44" s="8">
        <f t="shared" si="51"/>
        <v>6000</v>
      </c>
      <c r="AA44" s="8">
        <f t="shared" si="52"/>
        <v>6000</v>
      </c>
      <c r="AB44" s="8">
        <f t="shared" si="53"/>
        <v>6000</v>
      </c>
      <c r="AC44" s="8">
        <f t="shared" si="54"/>
        <v>6000</v>
      </c>
      <c r="AD44" s="8">
        <f>SUM(Z44:AC44)</f>
        <v>24000</v>
      </c>
      <c r="AE44" s="113"/>
      <c r="AF44" s="121">
        <v>35371</v>
      </c>
      <c r="AG44" s="121">
        <v>-277</v>
      </c>
      <c r="AH44" s="121">
        <f>SUM(AH45:AH51)</f>
        <v>37351</v>
      </c>
      <c r="AI44" s="121">
        <f>SUM(AI45:AI51)</f>
        <v>11703</v>
      </c>
      <c r="AJ44" s="121">
        <f t="shared" ref="AJ44:AU44" si="97">SUM(AJ45:AJ51)</f>
        <v>4931</v>
      </c>
      <c r="AK44" s="121">
        <f t="shared" si="97"/>
        <v>8652</v>
      </c>
      <c r="AL44" s="121">
        <v>2158</v>
      </c>
      <c r="AM44" s="121">
        <f t="shared" si="97"/>
        <v>3074</v>
      </c>
      <c r="AN44" s="121">
        <v>7656</v>
      </c>
      <c r="AO44" s="121">
        <v>2913</v>
      </c>
      <c r="AP44" s="121">
        <v>2482</v>
      </c>
      <c r="AQ44" s="121">
        <v>1815</v>
      </c>
      <c r="AR44" s="178">
        <v>5228</v>
      </c>
      <c r="AS44" s="178">
        <f t="shared" si="97"/>
        <v>2000</v>
      </c>
      <c r="AT44" s="178">
        <f t="shared" si="97"/>
        <v>2000</v>
      </c>
      <c r="AU44" s="178">
        <f t="shared" si="97"/>
        <v>2000</v>
      </c>
      <c r="AV44" s="178">
        <f t="shared" ref="AV44" si="98">SUM(AJ44:AU44)</f>
        <v>44909</v>
      </c>
      <c r="AW44" s="175">
        <f t="shared" si="57"/>
        <v>4.7327332011103361E-2</v>
      </c>
      <c r="AX44" s="175" t="s">
        <v>1772</v>
      </c>
      <c r="AY44" s="195"/>
      <c r="AZ44" s="178">
        <v>2000</v>
      </c>
      <c r="BA44" s="178">
        <v>2000</v>
      </c>
      <c r="BB44" s="178">
        <v>2000</v>
      </c>
      <c r="BC44" s="178">
        <v>2000</v>
      </c>
      <c r="BD44" s="178">
        <v>2000</v>
      </c>
      <c r="BE44" s="178">
        <v>2000</v>
      </c>
      <c r="BF44" s="178">
        <v>2000</v>
      </c>
      <c r="BG44" s="178">
        <f t="shared" ref="BG44:BK44" si="99">SUM(BG45:BG51)</f>
        <v>2000</v>
      </c>
      <c r="BH44" s="178">
        <f t="shared" si="99"/>
        <v>2000</v>
      </c>
      <c r="BI44" s="178">
        <f t="shared" si="99"/>
        <v>2000</v>
      </c>
      <c r="BJ44" s="178">
        <f t="shared" si="99"/>
        <v>2000</v>
      </c>
      <c r="BK44" s="178">
        <f t="shared" si="99"/>
        <v>2000</v>
      </c>
      <c r="BL44" s="178">
        <f t="shared" ref="BL44" si="100">SUM(AZ44:BK44)</f>
        <v>24000</v>
      </c>
      <c r="BM44" s="175">
        <f t="shared" si="60"/>
        <v>1.6053511705685617E-2</v>
      </c>
    </row>
    <row r="45" spans="2:65" s="39" customFormat="1" hidden="1" x14ac:dyDescent="0.25">
      <c r="B45" s="39" t="s">
        <v>544</v>
      </c>
      <c r="C45" s="40"/>
      <c r="D45" s="41"/>
      <c r="E45" s="40"/>
      <c r="F45" s="41"/>
      <c r="G45" s="40"/>
      <c r="H45" s="41"/>
      <c r="I45" s="40"/>
      <c r="J45" s="41"/>
      <c r="K45" s="234"/>
      <c r="L45" s="234"/>
      <c r="M45" s="234"/>
      <c r="N45" s="234"/>
      <c r="O45" s="40"/>
      <c r="P45" s="41"/>
      <c r="Q45" s="160"/>
      <c r="R45" s="40"/>
      <c r="S45" s="40"/>
      <c r="T45" s="40"/>
      <c r="U45" s="40"/>
      <c r="V45" s="40"/>
      <c r="W45" s="41"/>
      <c r="Y45" s="160"/>
      <c r="Z45" s="8">
        <f t="shared" si="51"/>
        <v>4011</v>
      </c>
      <c r="AA45" s="8">
        <f t="shared" si="52"/>
        <v>75</v>
      </c>
      <c r="AB45" s="8">
        <f t="shared" si="53"/>
        <v>3000</v>
      </c>
      <c r="AC45" s="8">
        <f t="shared" si="54"/>
        <v>0</v>
      </c>
      <c r="AD45" s="40"/>
      <c r="AE45" s="160"/>
      <c r="AF45" s="157"/>
      <c r="AG45" s="157"/>
      <c r="AH45" s="176">
        <v>5091</v>
      </c>
      <c r="AI45" s="176"/>
      <c r="AJ45" s="200">
        <v>15</v>
      </c>
      <c r="AK45" s="200">
        <v>3991</v>
      </c>
      <c r="AL45" s="200">
        <v>5</v>
      </c>
      <c r="AM45" s="200">
        <v>75</v>
      </c>
      <c r="AN45" s="200"/>
      <c r="AO45" s="200"/>
      <c r="AP45" s="200">
        <v>3000</v>
      </c>
      <c r="AQ45" s="200"/>
      <c r="AR45" s="200"/>
      <c r="AS45" s="200"/>
      <c r="AT45" s="200"/>
      <c r="AU45" s="200"/>
      <c r="AV45" s="176"/>
      <c r="AW45" s="175"/>
      <c r="AX45" s="175"/>
      <c r="AY45" s="194"/>
      <c r="AZ45" s="200">
        <v>15</v>
      </c>
      <c r="BA45" s="200">
        <v>3991</v>
      </c>
      <c r="BB45" s="200">
        <v>5</v>
      </c>
      <c r="BC45" s="200">
        <v>75</v>
      </c>
      <c r="BD45" s="200"/>
      <c r="BE45" s="200"/>
      <c r="BF45" s="200">
        <v>3000</v>
      </c>
      <c r="BG45" s="200"/>
      <c r="BH45" s="200"/>
      <c r="BI45" s="200"/>
      <c r="BJ45" s="200"/>
      <c r="BK45" s="200"/>
      <c r="BL45" s="176"/>
      <c r="BM45" s="175"/>
    </row>
    <row r="46" spans="2:65" s="39" customFormat="1" hidden="1" x14ac:dyDescent="0.25">
      <c r="B46" s="39" t="s">
        <v>1795</v>
      </c>
      <c r="C46" s="40"/>
      <c r="D46" s="41"/>
      <c r="E46" s="40"/>
      <c r="F46" s="41"/>
      <c r="G46" s="40"/>
      <c r="H46" s="41"/>
      <c r="I46" s="40"/>
      <c r="J46" s="41"/>
      <c r="K46" s="234"/>
      <c r="L46" s="234"/>
      <c r="M46" s="234"/>
      <c r="N46" s="234"/>
      <c r="O46" s="40"/>
      <c r="P46" s="41"/>
      <c r="Q46" s="160"/>
      <c r="R46" s="40"/>
      <c r="S46" s="40"/>
      <c r="T46" s="40"/>
      <c r="U46" s="40"/>
      <c r="V46" s="40"/>
      <c r="W46" s="41"/>
      <c r="Y46" s="160"/>
      <c r="Z46" s="8">
        <f t="shared" si="51"/>
        <v>4428</v>
      </c>
      <c r="AA46" s="8">
        <f t="shared" si="52"/>
        <v>362</v>
      </c>
      <c r="AB46" s="8">
        <f t="shared" si="53"/>
        <v>0</v>
      </c>
      <c r="AC46" s="8">
        <f t="shared" si="54"/>
        <v>0</v>
      </c>
      <c r="AD46" s="40"/>
      <c r="AE46" s="160"/>
      <c r="AF46" s="157"/>
      <c r="AG46" s="157"/>
      <c r="AH46" s="176"/>
      <c r="AI46" s="176"/>
      <c r="AJ46" s="200">
        <v>3487</v>
      </c>
      <c r="AK46" s="200">
        <v>209</v>
      </c>
      <c r="AL46" s="200">
        <v>732</v>
      </c>
      <c r="AM46" s="200">
        <v>362</v>
      </c>
      <c r="AN46" s="200"/>
      <c r="AO46" s="200"/>
      <c r="AP46" s="200"/>
      <c r="AQ46" s="200"/>
      <c r="AR46" s="200"/>
      <c r="AS46" s="200"/>
      <c r="AT46" s="200"/>
      <c r="AU46" s="200"/>
      <c r="AV46" s="176"/>
      <c r="AW46" s="175"/>
      <c r="AX46" s="175"/>
      <c r="AY46" s="194"/>
      <c r="AZ46" s="200">
        <v>3487</v>
      </c>
      <c r="BA46" s="200">
        <v>209</v>
      </c>
      <c r="BB46" s="200">
        <v>732</v>
      </c>
      <c r="BC46" s="200">
        <v>362</v>
      </c>
      <c r="BD46" s="200"/>
      <c r="BE46" s="200"/>
      <c r="BF46" s="200"/>
      <c r="BG46" s="200"/>
      <c r="BH46" s="200"/>
      <c r="BI46" s="200"/>
      <c r="BJ46" s="200"/>
      <c r="BK46" s="200"/>
      <c r="BL46" s="176"/>
      <c r="BM46" s="175"/>
    </row>
    <row r="47" spans="2:65" s="39" customFormat="1" hidden="1" x14ac:dyDescent="0.25">
      <c r="B47" s="39" t="s">
        <v>1880</v>
      </c>
      <c r="C47" s="40"/>
      <c r="D47" s="41"/>
      <c r="E47" s="40"/>
      <c r="F47" s="41"/>
      <c r="G47" s="40"/>
      <c r="H47" s="41"/>
      <c r="I47" s="40"/>
      <c r="J47" s="41"/>
      <c r="K47" s="234"/>
      <c r="L47" s="234"/>
      <c r="M47" s="234"/>
      <c r="N47" s="234"/>
      <c r="O47" s="40"/>
      <c r="P47" s="41"/>
      <c r="Q47" s="160"/>
      <c r="R47" s="40"/>
      <c r="S47" s="40"/>
      <c r="T47" s="40"/>
      <c r="U47" s="40"/>
      <c r="V47" s="40"/>
      <c r="W47" s="41"/>
      <c r="Y47" s="160"/>
      <c r="Z47" s="8">
        <f t="shared" si="51"/>
        <v>741</v>
      </c>
      <c r="AA47" s="8">
        <f t="shared" si="52"/>
        <v>600</v>
      </c>
      <c r="AB47" s="8">
        <f t="shared" si="53"/>
        <v>900</v>
      </c>
      <c r="AC47" s="8">
        <f t="shared" si="54"/>
        <v>900</v>
      </c>
      <c r="AD47" s="40"/>
      <c r="AE47" s="160"/>
      <c r="AF47" s="157"/>
      <c r="AG47" s="157"/>
      <c r="AH47" s="176"/>
      <c r="AI47" s="176"/>
      <c r="AJ47" s="200">
        <v>741</v>
      </c>
      <c r="AK47" s="200"/>
      <c r="AL47" s="200"/>
      <c r="AM47" s="200"/>
      <c r="AN47" s="200">
        <v>300</v>
      </c>
      <c r="AO47" s="200">
        <v>300</v>
      </c>
      <c r="AP47" s="200">
        <v>300</v>
      </c>
      <c r="AQ47" s="200">
        <v>300</v>
      </c>
      <c r="AR47" s="200">
        <v>300</v>
      </c>
      <c r="AS47" s="200">
        <v>300</v>
      </c>
      <c r="AT47" s="200">
        <v>300</v>
      </c>
      <c r="AU47" s="200">
        <v>300</v>
      </c>
      <c r="AV47" s="176"/>
      <c r="AW47" s="175"/>
      <c r="AX47" s="175"/>
      <c r="AY47" s="194"/>
      <c r="AZ47" s="200">
        <v>741</v>
      </c>
      <c r="BA47" s="200"/>
      <c r="BB47" s="200"/>
      <c r="BC47" s="200"/>
      <c r="BD47" s="200">
        <v>300</v>
      </c>
      <c r="BE47" s="200">
        <v>300</v>
      </c>
      <c r="BF47" s="200">
        <v>300</v>
      </c>
      <c r="BG47" s="200">
        <v>300</v>
      </c>
      <c r="BH47" s="200">
        <v>300</v>
      </c>
      <c r="BI47" s="200">
        <v>300</v>
      </c>
      <c r="BJ47" s="200">
        <v>300</v>
      </c>
      <c r="BK47" s="200">
        <v>300</v>
      </c>
      <c r="BL47" s="176"/>
      <c r="BM47" s="175"/>
    </row>
    <row r="48" spans="2:65" s="39" customFormat="1" hidden="1" x14ac:dyDescent="0.25">
      <c r="B48" s="39" t="s">
        <v>545</v>
      </c>
      <c r="C48" s="40"/>
      <c r="D48" s="41"/>
      <c r="E48" s="40"/>
      <c r="F48" s="41"/>
      <c r="G48" s="40"/>
      <c r="H48" s="41"/>
      <c r="I48" s="40"/>
      <c r="J48" s="41"/>
      <c r="K48" s="234"/>
      <c r="L48" s="234"/>
      <c r="M48" s="234"/>
      <c r="N48" s="234"/>
      <c r="O48" s="40"/>
      <c r="P48" s="41"/>
      <c r="Q48" s="160"/>
      <c r="R48" s="40"/>
      <c r="S48" s="40"/>
      <c r="T48" s="40"/>
      <c r="U48" s="40"/>
      <c r="V48" s="40"/>
      <c r="W48" s="41"/>
      <c r="Y48" s="160"/>
      <c r="Z48" s="8">
        <f t="shared" si="51"/>
        <v>328</v>
      </c>
      <c r="AA48" s="8">
        <f t="shared" si="52"/>
        <v>741</v>
      </c>
      <c r="AB48" s="8">
        <f t="shared" si="53"/>
        <v>900</v>
      </c>
      <c r="AC48" s="8">
        <f t="shared" si="54"/>
        <v>900</v>
      </c>
      <c r="AD48" s="40"/>
      <c r="AE48" s="160"/>
      <c r="AF48" s="157"/>
      <c r="AG48" s="157"/>
      <c r="AH48" s="176"/>
      <c r="AI48" s="176"/>
      <c r="AJ48" s="200">
        <v>192</v>
      </c>
      <c r="AK48" s="200">
        <v>30</v>
      </c>
      <c r="AL48" s="200">
        <v>106</v>
      </c>
      <c r="AM48" s="200">
        <v>141</v>
      </c>
      <c r="AN48" s="200">
        <v>300</v>
      </c>
      <c r="AO48" s="200">
        <v>300</v>
      </c>
      <c r="AP48" s="200">
        <v>300</v>
      </c>
      <c r="AQ48" s="200">
        <v>300</v>
      </c>
      <c r="AR48" s="200">
        <v>300</v>
      </c>
      <c r="AS48" s="200">
        <v>300</v>
      </c>
      <c r="AT48" s="200">
        <v>300</v>
      </c>
      <c r="AU48" s="200">
        <v>300</v>
      </c>
      <c r="AV48" s="176"/>
      <c r="AW48" s="175"/>
      <c r="AX48" s="175"/>
      <c r="AY48" s="194"/>
      <c r="AZ48" s="200">
        <v>192</v>
      </c>
      <c r="BA48" s="200">
        <v>30</v>
      </c>
      <c r="BB48" s="200">
        <v>106</v>
      </c>
      <c r="BC48" s="200">
        <v>141</v>
      </c>
      <c r="BD48" s="200">
        <v>300</v>
      </c>
      <c r="BE48" s="200">
        <v>300</v>
      </c>
      <c r="BF48" s="200">
        <v>300</v>
      </c>
      <c r="BG48" s="200">
        <v>300</v>
      </c>
      <c r="BH48" s="200">
        <v>300</v>
      </c>
      <c r="BI48" s="200">
        <v>300</v>
      </c>
      <c r="BJ48" s="200">
        <v>300</v>
      </c>
      <c r="BK48" s="200">
        <v>300</v>
      </c>
      <c r="BL48" s="176"/>
      <c r="BM48" s="175"/>
    </row>
    <row r="49" spans="1:65" s="39" customFormat="1" hidden="1" x14ac:dyDescent="0.25">
      <c r="B49" s="39" t="s">
        <v>546</v>
      </c>
      <c r="C49" s="40"/>
      <c r="D49" s="41"/>
      <c r="E49" s="40"/>
      <c r="F49" s="41"/>
      <c r="G49" s="40"/>
      <c r="H49" s="41"/>
      <c r="I49" s="40"/>
      <c r="J49" s="41"/>
      <c r="K49" s="234"/>
      <c r="L49" s="234"/>
      <c r="M49" s="234"/>
      <c r="N49" s="234"/>
      <c r="O49" s="40"/>
      <c r="P49" s="41"/>
      <c r="Q49" s="160"/>
      <c r="R49" s="40"/>
      <c r="S49" s="40"/>
      <c r="T49" s="40"/>
      <c r="U49" s="40"/>
      <c r="V49" s="40"/>
      <c r="W49" s="41"/>
      <c r="Y49" s="160"/>
      <c r="Z49" s="8">
        <f t="shared" si="51"/>
        <v>0</v>
      </c>
      <c r="AA49" s="8">
        <f t="shared" si="52"/>
        <v>0</v>
      </c>
      <c r="AB49" s="8">
        <f t="shared" si="53"/>
        <v>0</v>
      </c>
      <c r="AC49" s="8">
        <f t="shared" si="54"/>
        <v>0</v>
      </c>
      <c r="AD49" s="40"/>
      <c r="AE49" s="160"/>
      <c r="AF49" s="157"/>
      <c r="AG49" s="157"/>
      <c r="AH49" s="176"/>
      <c r="AI49" s="176"/>
      <c r="AJ49" s="200"/>
      <c r="AK49" s="200"/>
      <c r="AL49" s="200"/>
      <c r="AM49" s="200"/>
      <c r="AN49" s="200"/>
      <c r="AO49" s="200"/>
      <c r="AP49" s="200"/>
      <c r="AQ49" s="200"/>
      <c r="AR49" s="200"/>
      <c r="AS49" s="200"/>
      <c r="AT49" s="200"/>
      <c r="AU49" s="200"/>
      <c r="AV49" s="176"/>
      <c r="AW49" s="175"/>
      <c r="AX49" s="175"/>
      <c r="AY49" s="194"/>
      <c r="AZ49" s="200"/>
      <c r="BA49" s="200"/>
      <c r="BB49" s="200"/>
      <c r="BC49" s="200"/>
      <c r="BD49" s="200"/>
      <c r="BE49" s="200"/>
      <c r="BF49" s="200"/>
      <c r="BG49" s="200"/>
      <c r="BH49" s="200"/>
      <c r="BI49" s="200"/>
      <c r="BJ49" s="200"/>
      <c r="BK49" s="200"/>
      <c r="BL49" s="176"/>
      <c r="BM49" s="175"/>
    </row>
    <row r="50" spans="1:65" s="39" customFormat="1" ht="17.25" hidden="1" x14ac:dyDescent="0.25">
      <c r="A50" s="202" t="s">
        <v>1767</v>
      </c>
      <c r="B50" s="39" t="s">
        <v>1794</v>
      </c>
      <c r="C50" s="40"/>
      <c r="D50" s="41"/>
      <c r="E50" s="40"/>
      <c r="F50" s="41"/>
      <c r="G50" s="40"/>
      <c r="H50" s="41"/>
      <c r="I50" s="40"/>
      <c r="J50" s="41"/>
      <c r="K50" s="234"/>
      <c r="L50" s="234"/>
      <c r="M50" s="234">
        <v>2700</v>
      </c>
      <c r="N50" s="234">
        <v>35410</v>
      </c>
      <c r="O50" s="8">
        <f>SUM(K50:N50)</f>
        <v>38110</v>
      </c>
      <c r="P50" s="41">
        <f t="shared" ref="P50" si="101">O50/O$15</f>
        <v>2.1718577162497244E-2</v>
      </c>
      <c r="Q50" s="160"/>
      <c r="R50" s="40"/>
      <c r="S50" s="40"/>
      <c r="T50" s="8">
        <f t="shared" ref="T50:T59" si="102">SUM(AP50:AR50)</f>
        <v>0</v>
      </c>
      <c r="U50" s="8">
        <f t="shared" ref="U50:U69" si="103">SUM(AS50:AU50)</f>
        <v>0</v>
      </c>
      <c r="V50" s="8">
        <f>SUM(R50:U50)</f>
        <v>0</v>
      </c>
      <c r="W50" s="41">
        <f t="shared" ref="W50" si="104">V50/V$15</f>
        <v>0</v>
      </c>
      <c r="Y50" s="160"/>
      <c r="Z50" s="8">
        <f t="shared" si="51"/>
        <v>0</v>
      </c>
      <c r="AA50" s="8">
        <f t="shared" si="52"/>
        <v>0</v>
      </c>
      <c r="AB50" s="8">
        <f t="shared" si="53"/>
        <v>0</v>
      </c>
      <c r="AC50" s="8">
        <f t="shared" si="54"/>
        <v>0</v>
      </c>
      <c r="AD50" s="8">
        <f>SUM(Z50:AC50)</f>
        <v>0</v>
      </c>
      <c r="AE50" s="160"/>
      <c r="AF50" s="157"/>
      <c r="AG50" s="157"/>
      <c r="AH50" s="176">
        <v>30280</v>
      </c>
      <c r="AI50" s="176">
        <v>5130</v>
      </c>
      <c r="AJ50" s="200"/>
      <c r="AK50" s="200"/>
      <c r="AL50" s="200"/>
      <c r="AM50" s="200"/>
      <c r="AN50" s="200"/>
      <c r="AO50" s="200"/>
      <c r="AP50" s="200"/>
      <c r="AQ50" s="200"/>
      <c r="AR50" s="200"/>
      <c r="AS50" s="200"/>
      <c r="AT50" s="200"/>
      <c r="AU50" s="200"/>
      <c r="AV50" s="176"/>
      <c r="AW50" s="175"/>
      <c r="AX50" s="175"/>
      <c r="AY50" s="194"/>
      <c r="AZ50" s="200"/>
      <c r="BA50" s="200"/>
      <c r="BB50" s="200"/>
      <c r="BC50" s="200"/>
      <c r="BD50" s="200"/>
      <c r="BE50" s="200"/>
      <c r="BF50" s="200"/>
      <c r="BG50" s="200"/>
      <c r="BH50" s="200"/>
      <c r="BI50" s="200"/>
      <c r="BJ50" s="200"/>
      <c r="BK50" s="200"/>
      <c r="BL50" s="176"/>
      <c r="BM50" s="175"/>
    </row>
    <row r="51" spans="1:65" s="39" customFormat="1" hidden="1" x14ac:dyDescent="0.25">
      <c r="B51" s="39" t="s">
        <v>547</v>
      </c>
      <c r="C51" s="40"/>
      <c r="D51" s="41"/>
      <c r="E51" s="40"/>
      <c r="F51" s="41"/>
      <c r="G51" s="40"/>
      <c r="H51" s="41"/>
      <c r="I51" s="40"/>
      <c r="J51" s="41"/>
      <c r="K51" s="234"/>
      <c r="L51" s="234"/>
      <c r="M51" s="234"/>
      <c r="N51" s="234"/>
      <c r="O51" s="40"/>
      <c r="P51" s="41"/>
      <c r="Q51" s="160"/>
      <c r="R51" s="40"/>
      <c r="S51" s="40"/>
      <c r="T51" s="40"/>
      <c r="U51" s="40"/>
      <c r="V51" s="40"/>
      <c r="W51" s="41"/>
      <c r="Y51" s="160"/>
      <c r="Z51" s="8">
        <f t="shared" si="51"/>
        <v>6232</v>
      </c>
      <c r="AA51" s="8">
        <f t="shared" si="52"/>
        <v>5296</v>
      </c>
      <c r="AB51" s="8">
        <f t="shared" si="53"/>
        <v>4200</v>
      </c>
      <c r="AC51" s="8">
        <f t="shared" si="54"/>
        <v>4200</v>
      </c>
      <c r="AD51" s="40"/>
      <c r="AE51" s="160"/>
      <c r="AF51" s="157"/>
      <c r="AG51" s="157"/>
      <c r="AH51" s="176">
        <v>1980</v>
      </c>
      <c r="AI51" s="176">
        <v>6573</v>
      </c>
      <c r="AJ51" s="200">
        <v>496</v>
      </c>
      <c r="AK51" s="200">
        <v>4422</v>
      </c>
      <c r="AL51" s="200">
        <v>1314</v>
      </c>
      <c r="AM51" s="200">
        <v>2496</v>
      </c>
      <c r="AN51" s="200">
        <v>1400</v>
      </c>
      <c r="AO51" s="200">
        <v>1400</v>
      </c>
      <c r="AP51" s="200">
        <v>1400</v>
      </c>
      <c r="AQ51" s="200">
        <v>1400</v>
      </c>
      <c r="AR51" s="200">
        <v>1400</v>
      </c>
      <c r="AS51" s="200">
        <v>1400</v>
      </c>
      <c r="AT51" s="200">
        <v>1400</v>
      </c>
      <c r="AU51" s="200">
        <v>1400</v>
      </c>
      <c r="AV51" s="176"/>
      <c r="AW51" s="175"/>
      <c r="AX51" s="175"/>
      <c r="AY51" s="194"/>
      <c r="AZ51" s="200">
        <v>496</v>
      </c>
      <c r="BA51" s="200">
        <v>4422</v>
      </c>
      <c r="BB51" s="200">
        <v>1314</v>
      </c>
      <c r="BC51" s="200">
        <v>2496</v>
      </c>
      <c r="BD51" s="200">
        <v>1400</v>
      </c>
      <c r="BE51" s="200">
        <v>1400</v>
      </c>
      <c r="BF51" s="200">
        <v>1400</v>
      </c>
      <c r="BG51" s="200">
        <v>1400</v>
      </c>
      <c r="BH51" s="200">
        <v>1400</v>
      </c>
      <c r="BI51" s="200">
        <v>1400</v>
      </c>
      <c r="BJ51" s="200">
        <v>1400</v>
      </c>
      <c r="BK51" s="200">
        <v>1400</v>
      </c>
      <c r="BL51" s="176"/>
      <c r="BM51" s="175"/>
    </row>
    <row r="52" spans="1:65" x14ac:dyDescent="0.25">
      <c r="B52" t="s">
        <v>165</v>
      </c>
      <c r="C52" s="8">
        <f>QB!F85</f>
        <v>38000.699999999997</v>
      </c>
      <c r="D52" s="41">
        <f t="shared" ref="D52:D57" si="105">C52/C$15</f>
        <v>2.9667908159872754E-2</v>
      </c>
      <c r="E52" s="8">
        <f>QB!K85</f>
        <v>32084.48</v>
      </c>
      <c r="F52" s="41">
        <f t="shared" ref="F52:F57" si="106">E52/E$15</f>
        <v>1.4790551562321064E-2</v>
      </c>
      <c r="G52" s="8">
        <f>QB!P85</f>
        <v>84207.42</v>
      </c>
      <c r="H52" s="41">
        <f t="shared" ref="H52:H57" si="107">G52/G$15</f>
        <v>3.8243123823488913E-2</v>
      </c>
      <c r="I52" s="8">
        <v>109406</v>
      </c>
      <c r="J52" s="41">
        <f t="shared" si="75"/>
        <v>4.7128506444275964E-2</v>
      </c>
      <c r="K52" s="230">
        <v>37316</v>
      </c>
      <c r="L52" s="230">
        <v>28264</v>
      </c>
      <c r="M52" s="230">
        <v>28321</v>
      </c>
      <c r="N52" s="230">
        <v>28907</v>
      </c>
      <c r="O52" s="8">
        <f>SUM(K52:N52)</f>
        <v>122808</v>
      </c>
      <c r="P52" s="41">
        <f t="shared" si="76"/>
        <v>6.9987274315716649E-2</v>
      </c>
      <c r="Q52" s="113"/>
      <c r="R52" s="8">
        <f>SUM(AJ52:AL52)</f>
        <v>9705</v>
      </c>
      <c r="S52" s="8">
        <f t="shared" ref="S52:S69" si="108">SUM(AM52:AO52)</f>
        <v>13399</v>
      </c>
      <c r="T52" s="8">
        <f t="shared" si="102"/>
        <v>7634</v>
      </c>
      <c r="U52" s="8">
        <f t="shared" si="103"/>
        <v>7644</v>
      </c>
      <c r="V52" s="8">
        <f>SUM(R52:U52)</f>
        <v>38382</v>
      </c>
      <c r="W52" s="41">
        <f t="shared" ref="W52:W59" si="109">V52/V$15</f>
        <v>4.0448855624711511E-2</v>
      </c>
      <c r="Y52" s="113"/>
      <c r="Z52" s="8">
        <f t="shared" si="51"/>
        <v>6990</v>
      </c>
      <c r="AA52" s="8">
        <f t="shared" si="52"/>
        <v>6990</v>
      </c>
      <c r="AB52" s="8">
        <f t="shared" si="53"/>
        <v>6990</v>
      </c>
      <c r="AC52" s="8">
        <f t="shared" si="54"/>
        <v>6990</v>
      </c>
      <c r="AD52" s="8">
        <f>SUM(Z52:AC52)</f>
        <v>27960</v>
      </c>
      <c r="AE52" s="113"/>
      <c r="AF52" s="121">
        <v>29360</v>
      </c>
      <c r="AG52" s="121">
        <v>9440</v>
      </c>
      <c r="AH52" s="121">
        <v>9372</v>
      </c>
      <c r="AI52" s="121">
        <v>10026</v>
      </c>
      <c r="AJ52" s="121">
        <f>9560-4500</f>
        <v>5060</v>
      </c>
      <c r="AK52" s="121">
        <v>9559</v>
      </c>
      <c r="AL52" s="121">
        <v>-4914</v>
      </c>
      <c r="AM52" s="121">
        <v>4653</v>
      </c>
      <c r="AN52" s="121">
        <v>6034</v>
      </c>
      <c r="AO52" s="121">
        <v>2712</v>
      </c>
      <c r="AP52" s="121">
        <v>2548</v>
      </c>
      <c r="AQ52" s="121">
        <v>2538</v>
      </c>
      <c r="AR52" s="178">
        <v>2548</v>
      </c>
      <c r="AS52" s="178">
        <v>2548</v>
      </c>
      <c r="AT52" s="178">
        <v>2548</v>
      </c>
      <c r="AU52" s="178">
        <v>2548</v>
      </c>
      <c r="AV52" s="178">
        <f t="shared" ref="AV52:AV69" si="110">SUM(AJ52:AU52)</f>
        <v>38382</v>
      </c>
      <c r="AW52" s="175">
        <f t="shared" si="57"/>
        <v>4.0448855624711511E-2</v>
      </c>
      <c r="AX52" s="175" t="s">
        <v>1889</v>
      </c>
      <c r="AY52" s="195"/>
      <c r="AZ52" s="178">
        <v>2330</v>
      </c>
      <c r="BA52" s="178">
        <v>2330</v>
      </c>
      <c r="BB52" s="178">
        <v>2330</v>
      </c>
      <c r="BC52" s="178">
        <v>2330</v>
      </c>
      <c r="BD52" s="178">
        <v>2330</v>
      </c>
      <c r="BE52" s="178">
        <v>2330</v>
      </c>
      <c r="BF52" s="178">
        <v>2330</v>
      </c>
      <c r="BG52" s="178">
        <v>2330</v>
      </c>
      <c r="BH52" s="178">
        <v>2330</v>
      </c>
      <c r="BI52" s="178">
        <v>2330</v>
      </c>
      <c r="BJ52" s="178">
        <v>2330</v>
      </c>
      <c r="BK52" s="178">
        <v>2330</v>
      </c>
      <c r="BL52" s="178">
        <f t="shared" ref="BL52:BL56" si="111">SUM(AZ52:BK52)</f>
        <v>27960</v>
      </c>
      <c r="BM52" s="175">
        <f t="shared" si="60"/>
        <v>1.8702341137123747E-2</v>
      </c>
    </row>
    <row r="53" spans="1:65" x14ac:dyDescent="0.25">
      <c r="B53" t="s">
        <v>1436</v>
      </c>
      <c r="C53" s="8">
        <v>20867</v>
      </c>
      <c r="D53" s="41">
        <f t="shared" si="105"/>
        <v>1.6291285149275272E-2</v>
      </c>
      <c r="E53" s="8">
        <f>QB!K89</f>
        <v>28881.79</v>
      </c>
      <c r="F53" s="41">
        <f t="shared" si="106"/>
        <v>1.331415077343092E-2</v>
      </c>
      <c r="G53" s="8">
        <f>QB!P89</f>
        <v>62978.55</v>
      </c>
      <c r="H53" s="41">
        <f t="shared" si="107"/>
        <v>2.8601950824212258E-2</v>
      </c>
      <c r="I53" s="8">
        <v>65098</v>
      </c>
      <c r="J53" s="41">
        <f t="shared" si="75"/>
        <v>2.8042077331311598E-2</v>
      </c>
      <c r="K53" s="230">
        <v>11546</v>
      </c>
      <c r="L53" s="230">
        <v>6569</v>
      </c>
      <c r="M53" s="230">
        <v>1645</v>
      </c>
      <c r="N53" s="230">
        <v>3394</v>
      </c>
      <c r="O53" s="8">
        <f t="shared" ref="O53:O69" si="112">SUM(K53:N53)</f>
        <v>23154</v>
      </c>
      <c r="P53" s="41">
        <f t="shared" si="76"/>
        <v>1.3195275140919999E-2</v>
      </c>
      <c r="Q53" s="113"/>
      <c r="R53" s="8">
        <f t="shared" ref="R53:R69" si="113">SUM(AJ53:AL53)</f>
        <v>3695</v>
      </c>
      <c r="S53" s="8">
        <f t="shared" si="108"/>
        <v>3293</v>
      </c>
      <c r="T53" s="8">
        <f t="shared" si="102"/>
        <v>4374</v>
      </c>
      <c r="U53" s="8">
        <f t="shared" si="103"/>
        <v>3600</v>
      </c>
      <c r="V53" s="8">
        <f t="shared" ref="V53:V69" si="114">SUM(R53:U53)</f>
        <v>14962</v>
      </c>
      <c r="W53" s="41">
        <f t="shared" si="109"/>
        <v>1.5767697823379022E-2</v>
      </c>
      <c r="Y53" s="113"/>
      <c r="Z53" s="8">
        <f t="shared" si="51"/>
        <v>3600</v>
      </c>
      <c r="AA53" s="8">
        <f t="shared" si="52"/>
        <v>3600</v>
      </c>
      <c r="AB53" s="8">
        <f t="shared" si="53"/>
        <v>3600</v>
      </c>
      <c r="AC53" s="8">
        <f t="shared" si="54"/>
        <v>3600</v>
      </c>
      <c r="AD53" s="8">
        <f t="shared" ref="AD53:AD69" si="115">SUM(Z53:AC53)</f>
        <v>14400</v>
      </c>
      <c r="AE53" s="113"/>
      <c r="AF53" s="121">
        <v>1644</v>
      </c>
      <c r="AG53" s="121">
        <v>1798</v>
      </c>
      <c r="AH53" s="121">
        <v>1032</v>
      </c>
      <c r="AI53" s="121">
        <v>564</v>
      </c>
      <c r="AJ53" s="121">
        <v>251</v>
      </c>
      <c r="AK53" s="121">
        <v>1029</v>
      </c>
      <c r="AL53" s="121">
        <v>2415</v>
      </c>
      <c r="AM53" s="121">
        <v>1007</v>
      </c>
      <c r="AN53" s="121">
        <v>1318</v>
      </c>
      <c r="AO53" s="121">
        <v>968</v>
      </c>
      <c r="AP53" s="121">
        <v>1746</v>
      </c>
      <c r="AQ53" s="121">
        <v>217</v>
      </c>
      <c r="AR53" s="178">
        <v>2411</v>
      </c>
      <c r="AS53" s="178">
        <v>1200</v>
      </c>
      <c r="AT53" s="178">
        <v>1200</v>
      </c>
      <c r="AU53" s="178">
        <v>1200</v>
      </c>
      <c r="AV53" s="178">
        <f t="shared" si="110"/>
        <v>14962</v>
      </c>
      <c r="AW53" s="175">
        <f t="shared" si="57"/>
        <v>1.5767697823379022E-2</v>
      </c>
      <c r="AX53" s="175" t="s">
        <v>541</v>
      </c>
      <c r="AY53" s="195"/>
      <c r="AZ53" s="178">
        <v>1200</v>
      </c>
      <c r="BA53" s="178">
        <v>1200</v>
      </c>
      <c r="BB53" s="178">
        <v>1200</v>
      </c>
      <c r="BC53" s="178">
        <v>1200</v>
      </c>
      <c r="BD53" s="178">
        <v>1200</v>
      </c>
      <c r="BE53" s="178">
        <v>1200</v>
      </c>
      <c r="BF53" s="178">
        <v>1200</v>
      </c>
      <c r="BG53" s="178">
        <f t="shared" ref="BG53" si="116">BF53</f>
        <v>1200</v>
      </c>
      <c r="BH53" s="178">
        <f t="shared" ref="BH53" si="117">BG53</f>
        <v>1200</v>
      </c>
      <c r="BI53" s="178">
        <f t="shared" ref="BI53" si="118">BH53</f>
        <v>1200</v>
      </c>
      <c r="BJ53" s="178">
        <f t="shared" ref="BJ53" si="119">BI53</f>
        <v>1200</v>
      </c>
      <c r="BK53" s="178">
        <f t="shared" ref="BK53" si="120">BJ53</f>
        <v>1200</v>
      </c>
      <c r="BL53" s="178">
        <f t="shared" si="111"/>
        <v>14400</v>
      </c>
      <c r="BM53" s="175">
        <f t="shared" si="60"/>
        <v>9.6321070234113709E-3</v>
      </c>
    </row>
    <row r="54" spans="1:65" x14ac:dyDescent="0.25">
      <c r="B54" t="s">
        <v>167</v>
      </c>
      <c r="C54" s="8">
        <v>10236</v>
      </c>
      <c r="D54" s="41">
        <f t="shared" si="105"/>
        <v>7.9914503660316136E-3</v>
      </c>
      <c r="E54" s="8">
        <f>QB!K113</f>
        <v>6913.83</v>
      </c>
      <c r="F54" s="41">
        <f t="shared" si="106"/>
        <v>3.1871907884473191E-3</v>
      </c>
      <c r="G54" s="8">
        <f>QB!P113</f>
        <v>9268.26</v>
      </c>
      <c r="H54" s="41">
        <f t="shared" si="107"/>
        <v>4.209215943301545E-3</v>
      </c>
      <c r="I54" s="8">
        <v>23884</v>
      </c>
      <c r="J54" s="41">
        <f t="shared" si="75"/>
        <v>1.0288441656902613E-2</v>
      </c>
      <c r="K54" s="230">
        <v>10230</v>
      </c>
      <c r="L54" s="230">
        <v>17117</v>
      </c>
      <c r="M54" s="230">
        <v>9398</v>
      </c>
      <c r="N54" s="230">
        <v>2277</v>
      </c>
      <c r="O54" s="8">
        <f t="shared" si="112"/>
        <v>39022</v>
      </c>
      <c r="P54" s="41">
        <f t="shared" si="76"/>
        <v>2.2238318499999146E-2</v>
      </c>
      <c r="Q54" s="113"/>
      <c r="R54" s="8">
        <f t="shared" si="113"/>
        <v>18</v>
      </c>
      <c r="S54" s="8">
        <f t="shared" si="108"/>
        <v>95</v>
      </c>
      <c r="T54" s="8">
        <f t="shared" si="102"/>
        <v>591</v>
      </c>
      <c r="U54" s="8">
        <f t="shared" si="103"/>
        <v>1500</v>
      </c>
      <c r="V54" s="8">
        <f t="shared" si="114"/>
        <v>2204</v>
      </c>
      <c r="W54" s="41">
        <f t="shared" si="109"/>
        <v>2.3226845343354741E-3</v>
      </c>
      <c r="Y54" s="113"/>
      <c r="Z54" s="8">
        <f t="shared" si="51"/>
        <v>1500</v>
      </c>
      <c r="AA54" s="8">
        <f t="shared" si="52"/>
        <v>1500</v>
      </c>
      <c r="AB54" s="8">
        <f t="shared" si="53"/>
        <v>1500</v>
      </c>
      <c r="AC54" s="8">
        <f t="shared" si="54"/>
        <v>1500</v>
      </c>
      <c r="AD54" s="8">
        <f t="shared" si="115"/>
        <v>6000</v>
      </c>
      <c r="AE54" s="113"/>
      <c r="AF54" s="121">
        <v>9398</v>
      </c>
      <c r="AG54" s="121">
        <v>1514</v>
      </c>
      <c r="AH54" s="121">
        <v>571</v>
      </c>
      <c r="AI54" s="121">
        <v>192</v>
      </c>
      <c r="AJ54" s="121"/>
      <c r="AK54" s="121"/>
      <c r="AL54" s="121">
        <v>18</v>
      </c>
      <c r="AM54" s="121"/>
      <c r="AN54" s="121"/>
      <c r="AO54" s="121">
        <v>95</v>
      </c>
      <c r="AP54" s="121">
        <v>13</v>
      </c>
      <c r="AQ54" s="121">
        <v>78</v>
      </c>
      <c r="AR54" s="178">
        <v>500</v>
      </c>
      <c r="AS54" s="178">
        <v>500</v>
      </c>
      <c r="AT54" s="178">
        <v>500</v>
      </c>
      <c r="AU54" s="178">
        <v>500</v>
      </c>
      <c r="AV54" s="178">
        <f t="shared" si="110"/>
        <v>2204</v>
      </c>
      <c r="AW54" s="175">
        <f t="shared" si="57"/>
        <v>2.3226845343354741E-3</v>
      </c>
      <c r="AX54" s="175" t="s">
        <v>1772</v>
      </c>
      <c r="AY54" s="195"/>
      <c r="AZ54" s="178">
        <v>500</v>
      </c>
      <c r="BA54" s="178">
        <v>500</v>
      </c>
      <c r="BB54" s="178">
        <v>500</v>
      </c>
      <c r="BC54" s="178">
        <v>500</v>
      </c>
      <c r="BD54" s="178">
        <v>500</v>
      </c>
      <c r="BE54" s="178">
        <v>500</v>
      </c>
      <c r="BF54" s="178">
        <v>500</v>
      </c>
      <c r="BG54" s="178">
        <v>500</v>
      </c>
      <c r="BH54" s="178">
        <v>500</v>
      </c>
      <c r="BI54" s="178">
        <v>500</v>
      </c>
      <c r="BJ54" s="178">
        <v>500</v>
      </c>
      <c r="BK54" s="178">
        <v>500</v>
      </c>
      <c r="BL54" s="178">
        <f t="shared" si="111"/>
        <v>6000</v>
      </c>
      <c r="BM54" s="175">
        <f t="shared" si="60"/>
        <v>4.0133779264214043E-3</v>
      </c>
    </row>
    <row r="55" spans="1:65" x14ac:dyDescent="0.25">
      <c r="B55" t="s">
        <v>168</v>
      </c>
      <c r="C55" s="8">
        <f>QB!F100</f>
        <v>9066.619999999999</v>
      </c>
      <c r="D55" s="41">
        <f t="shared" si="105"/>
        <v>7.0784919614761176E-3</v>
      </c>
      <c r="E55" s="8">
        <f>QB!K100</f>
        <v>9832.89</v>
      </c>
      <c r="F55" s="41">
        <f t="shared" si="106"/>
        <v>4.5328416278409738E-3</v>
      </c>
      <c r="G55" s="8">
        <f>QB!P100</f>
        <v>13230.97</v>
      </c>
      <c r="H55" s="41">
        <f t="shared" si="107"/>
        <v>6.0088959383254714E-3</v>
      </c>
      <c r="I55" s="8">
        <v>20486</v>
      </c>
      <c r="J55" s="41">
        <f t="shared" si="75"/>
        <v>8.8246950168860711E-3</v>
      </c>
      <c r="K55" s="230">
        <v>12949</v>
      </c>
      <c r="L55" s="230">
        <v>10819</v>
      </c>
      <c r="M55" s="230">
        <v>17922</v>
      </c>
      <c r="N55" s="230">
        <v>10655</v>
      </c>
      <c r="O55" s="8">
        <f t="shared" si="112"/>
        <v>52345</v>
      </c>
      <c r="P55" s="41">
        <f t="shared" si="76"/>
        <v>2.9830987183702917E-2</v>
      </c>
      <c r="Q55" s="113"/>
      <c r="R55" s="8">
        <f t="shared" si="113"/>
        <v>7703</v>
      </c>
      <c r="S55" s="8">
        <f t="shared" si="108"/>
        <v>5633</v>
      </c>
      <c r="T55" s="8">
        <f t="shared" si="102"/>
        <v>8129</v>
      </c>
      <c r="U55" s="8">
        <f t="shared" si="103"/>
        <v>6600</v>
      </c>
      <c r="V55" s="8">
        <f t="shared" si="114"/>
        <v>28065</v>
      </c>
      <c r="W55" s="41">
        <f t="shared" si="109"/>
        <v>2.9576289226917005E-2</v>
      </c>
      <c r="Y55" s="113"/>
      <c r="Z55" s="8">
        <f t="shared" si="51"/>
        <v>6600</v>
      </c>
      <c r="AA55" s="8">
        <f t="shared" si="52"/>
        <v>6600</v>
      </c>
      <c r="AB55" s="8">
        <f t="shared" si="53"/>
        <v>6600</v>
      </c>
      <c r="AC55" s="8">
        <f t="shared" si="54"/>
        <v>6600</v>
      </c>
      <c r="AD55" s="8">
        <f t="shared" si="115"/>
        <v>26400</v>
      </c>
      <c r="AE55" s="113"/>
      <c r="AF55" s="121">
        <v>17922</v>
      </c>
      <c r="AG55" s="121">
        <v>3465</v>
      </c>
      <c r="AH55" s="121">
        <v>5065</v>
      </c>
      <c r="AI55" s="121">
        <v>2125</v>
      </c>
      <c r="AJ55" s="121">
        <v>2088</v>
      </c>
      <c r="AK55" s="121">
        <v>1427</v>
      </c>
      <c r="AL55" s="121">
        <v>4188</v>
      </c>
      <c r="AM55" s="121">
        <v>649</v>
      </c>
      <c r="AN55" s="121">
        <v>2517</v>
      </c>
      <c r="AO55" s="121">
        <v>2467</v>
      </c>
      <c r="AP55" s="121">
        <v>3594</v>
      </c>
      <c r="AQ55" s="121">
        <v>2964</v>
      </c>
      <c r="AR55" s="178">
        <v>1571</v>
      </c>
      <c r="AS55" s="178">
        <v>2200</v>
      </c>
      <c r="AT55" s="178">
        <v>2200</v>
      </c>
      <c r="AU55" s="178">
        <v>2200</v>
      </c>
      <c r="AV55" s="178">
        <f t="shared" si="110"/>
        <v>28065</v>
      </c>
      <c r="AW55" s="175">
        <f t="shared" si="57"/>
        <v>2.9576289226917005E-2</v>
      </c>
      <c r="AX55" s="175" t="s">
        <v>2124</v>
      </c>
      <c r="AY55" s="195"/>
      <c r="AZ55" s="178">
        <v>2200</v>
      </c>
      <c r="BA55" s="178">
        <v>2200</v>
      </c>
      <c r="BB55" s="178">
        <v>2200</v>
      </c>
      <c r="BC55" s="178">
        <v>2200</v>
      </c>
      <c r="BD55" s="178">
        <v>2200</v>
      </c>
      <c r="BE55" s="178">
        <v>2200</v>
      </c>
      <c r="BF55" s="178">
        <v>2200</v>
      </c>
      <c r="BG55" s="178">
        <v>2200</v>
      </c>
      <c r="BH55" s="178">
        <v>2200</v>
      </c>
      <c r="BI55" s="178">
        <v>2200</v>
      </c>
      <c r="BJ55" s="178">
        <v>2200</v>
      </c>
      <c r="BK55" s="178">
        <v>2200</v>
      </c>
      <c r="BL55" s="178">
        <f t="shared" si="111"/>
        <v>26400</v>
      </c>
      <c r="BM55" s="175">
        <f t="shared" si="60"/>
        <v>1.7658862876254181E-2</v>
      </c>
    </row>
    <row r="56" spans="1:65" x14ac:dyDescent="0.25">
      <c r="B56" t="s">
        <v>169</v>
      </c>
      <c r="C56" s="8">
        <f>QB!F101+QB!F102+QB!F103</f>
        <v>7786.98</v>
      </c>
      <c r="D56" s="41">
        <f t="shared" si="105"/>
        <v>6.0794513649160657E-3</v>
      </c>
      <c r="E56" s="8">
        <f>QB!K101+QB!K102+QB!K103</f>
        <v>9618.1999999999989</v>
      </c>
      <c r="F56" s="41">
        <f t="shared" si="106"/>
        <v>4.433872172362352E-3</v>
      </c>
      <c r="G56" s="8">
        <f>QB!P101+QB!P102+QB!P103</f>
        <v>19428.150000000001</v>
      </c>
      <c r="H56" s="41">
        <f t="shared" si="107"/>
        <v>8.8233690820988964E-3</v>
      </c>
      <c r="I56" s="8">
        <v>16312</v>
      </c>
      <c r="J56" s="41">
        <f t="shared" si="75"/>
        <v>7.0266730994555104E-3</v>
      </c>
      <c r="K56" s="230">
        <v>8122</v>
      </c>
      <c r="L56" s="230">
        <v>4876</v>
      </c>
      <c r="M56" s="230">
        <v>3609</v>
      </c>
      <c r="N56" s="230">
        <v>2133</v>
      </c>
      <c r="O56" s="8">
        <f t="shared" si="112"/>
        <v>18740</v>
      </c>
      <c r="P56" s="41">
        <f t="shared" si="76"/>
        <v>1.0679772658756189E-2</v>
      </c>
      <c r="Q56" s="113"/>
      <c r="R56" s="8">
        <f t="shared" si="113"/>
        <v>6382</v>
      </c>
      <c r="S56" s="8">
        <f t="shared" si="108"/>
        <v>825</v>
      </c>
      <c r="T56" s="8">
        <f t="shared" si="102"/>
        <v>879</v>
      </c>
      <c r="U56" s="8">
        <f t="shared" si="103"/>
        <v>3000</v>
      </c>
      <c r="V56" s="8">
        <f t="shared" si="114"/>
        <v>11086</v>
      </c>
      <c r="W56" s="41">
        <f t="shared" si="109"/>
        <v>1.1682976745754567E-2</v>
      </c>
      <c r="Y56" s="113"/>
      <c r="Z56" s="8">
        <f t="shared" si="51"/>
        <v>2508</v>
      </c>
      <c r="AA56" s="8">
        <f t="shared" si="52"/>
        <v>2508</v>
      </c>
      <c r="AB56" s="8">
        <f t="shared" si="53"/>
        <v>2508</v>
      </c>
      <c r="AC56" s="8">
        <f t="shared" si="54"/>
        <v>2508</v>
      </c>
      <c r="AD56" s="8">
        <f t="shared" si="115"/>
        <v>10032</v>
      </c>
      <c r="AE56" s="113"/>
      <c r="AF56" s="121">
        <v>3610</v>
      </c>
      <c r="AG56" s="121">
        <v>1394</v>
      </c>
      <c r="AH56" s="121">
        <v>364</v>
      </c>
      <c r="AI56" s="121">
        <v>375</v>
      </c>
      <c r="AJ56" s="121">
        <v>3015</v>
      </c>
      <c r="AK56" s="121">
        <f>201+94+1809</f>
        <v>2104</v>
      </c>
      <c r="AL56" s="121">
        <v>1263</v>
      </c>
      <c r="AM56" s="121">
        <v>1316</v>
      </c>
      <c r="AN56" s="121">
        <v>1236</v>
      </c>
      <c r="AO56" s="121">
        <v>-1727</v>
      </c>
      <c r="AP56" s="121">
        <v>297</v>
      </c>
      <c r="AQ56" s="121">
        <v>297</v>
      </c>
      <c r="AR56" s="178">
        <v>285</v>
      </c>
      <c r="AS56" s="178">
        <v>1000</v>
      </c>
      <c r="AT56" s="178">
        <v>1000</v>
      </c>
      <c r="AU56" s="178">
        <v>1000</v>
      </c>
      <c r="AV56" s="178">
        <f t="shared" si="110"/>
        <v>11086</v>
      </c>
      <c r="AW56" s="175">
        <f t="shared" si="57"/>
        <v>1.1682976745754567E-2</v>
      </c>
      <c r="AX56" s="175" t="s">
        <v>1892</v>
      </c>
      <c r="AY56" s="195"/>
      <c r="AZ56" s="178">
        <v>836</v>
      </c>
      <c r="BA56" s="178">
        <v>836</v>
      </c>
      <c r="BB56" s="178">
        <v>836</v>
      </c>
      <c r="BC56" s="178">
        <v>836</v>
      </c>
      <c r="BD56" s="178">
        <v>836</v>
      </c>
      <c r="BE56" s="178">
        <v>836</v>
      </c>
      <c r="BF56" s="178">
        <v>836</v>
      </c>
      <c r="BG56" s="178">
        <v>836</v>
      </c>
      <c r="BH56" s="178">
        <v>836</v>
      </c>
      <c r="BI56" s="178">
        <v>836</v>
      </c>
      <c r="BJ56" s="178">
        <v>836</v>
      </c>
      <c r="BK56" s="178">
        <v>836</v>
      </c>
      <c r="BL56" s="178">
        <f t="shared" si="111"/>
        <v>10032</v>
      </c>
      <c r="BM56" s="175">
        <f t="shared" si="60"/>
        <v>6.7103678929765886E-3</v>
      </c>
    </row>
    <row r="57" spans="1:65" x14ac:dyDescent="0.25">
      <c r="B57" t="s">
        <v>170</v>
      </c>
      <c r="C57" s="8">
        <f>QB!F90</f>
        <v>3827.54</v>
      </c>
      <c r="D57" s="41">
        <f t="shared" si="105"/>
        <v>2.9882371955842753E-3</v>
      </c>
      <c r="E57" s="8">
        <f>QB!K90</f>
        <v>4766.1099999999997</v>
      </c>
      <c r="F57" s="41">
        <f t="shared" si="106"/>
        <v>2.1971182237235584E-3</v>
      </c>
      <c r="G57" s="8">
        <f>QB!P90</f>
        <v>12331.72</v>
      </c>
      <c r="H57" s="41">
        <f t="shared" si="107"/>
        <v>5.6004980905078753E-3</v>
      </c>
      <c r="I57" s="8">
        <v>13550</v>
      </c>
      <c r="J57" s="41">
        <f t="shared" si="75"/>
        <v>5.8368943414432422E-3</v>
      </c>
      <c r="K57" s="230">
        <v>6236</v>
      </c>
      <c r="L57" s="230">
        <v>5636</v>
      </c>
      <c r="M57" s="230">
        <v>5354</v>
      </c>
      <c r="N57" s="230">
        <v>5161</v>
      </c>
      <c r="O57" s="8">
        <f t="shared" si="112"/>
        <v>22387</v>
      </c>
      <c r="P57" s="41">
        <f t="shared" si="76"/>
        <v>1.2758168116946361E-2</v>
      </c>
      <c r="Q57" s="113"/>
      <c r="R57" s="8"/>
      <c r="S57" s="8"/>
      <c r="T57" s="8"/>
      <c r="U57" s="8"/>
      <c r="V57" s="8"/>
      <c r="Y57" s="113"/>
      <c r="Z57" s="8"/>
      <c r="AA57" s="8"/>
      <c r="AB57" s="8"/>
      <c r="AC57" s="8"/>
      <c r="AD57" s="8"/>
      <c r="AE57" s="113"/>
      <c r="AF57" s="121"/>
      <c r="AG57" s="121">
        <v>3400</v>
      </c>
      <c r="AH57" s="121"/>
      <c r="AI57" s="121"/>
      <c r="AJ57" s="121"/>
      <c r="AK57" s="121"/>
      <c r="AL57" s="121"/>
      <c r="AM57" s="121"/>
      <c r="AN57" s="121"/>
      <c r="AO57" s="121"/>
      <c r="AP57" s="178"/>
      <c r="AQ57" s="178"/>
      <c r="AR57" s="178"/>
      <c r="AS57" s="178"/>
      <c r="AT57" s="178"/>
      <c r="AU57" s="178"/>
      <c r="AV57" s="178"/>
      <c r="AW57" s="175"/>
      <c r="AX57" s="175"/>
      <c r="AY57" s="195"/>
      <c r="AZ57" s="178"/>
      <c r="BA57" s="178"/>
      <c r="BB57" s="178"/>
      <c r="BC57" s="178"/>
      <c r="BD57" s="178"/>
      <c r="BE57" s="178"/>
      <c r="BF57" s="178"/>
      <c r="BG57" s="178"/>
      <c r="BH57" s="178"/>
      <c r="BI57" s="178"/>
      <c r="BJ57" s="178"/>
      <c r="BK57" s="178"/>
      <c r="BL57" s="178"/>
      <c r="BM57" s="175"/>
    </row>
    <row r="58" spans="1:65" x14ac:dyDescent="0.25">
      <c r="B58" t="s">
        <v>1437</v>
      </c>
      <c r="C58" s="8"/>
      <c r="E58" s="8"/>
      <c r="G58" s="8"/>
      <c r="I58" s="8"/>
      <c r="K58" s="230"/>
      <c r="L58" s="230"/>
      <c r="M58" s="230"/>
      <c r="N58" s="230"/>
      <c r="O58" s="8">
        <f t="shared" si="112"/>
        <v>0</v>
      </c>
      <c r="Q58" s="113"/>
      <c r="R58" s="8">
        <f t="shared" si="113"/>
        <v>2356</v>
      </c>
      <c r="S58" s="8">
        <f t="shared" si="108"/>
        <v>2611</v>
      </c>
      <c r="T58" s="8">
        <f t="shared" si="102"/>
        <v>1089</v>
      </c>
      <c r="U58" s="8">
        <f t="shared" si="103"/>
        <v>714</v>
      </c>
      <c r="V58" s="8">
        <f t="shared" si="114"/>
        <v>6770</v>
      </c>
      <c r="W58" s="41">
        <f t="shared" si="109"/>
        <v>7.1345618409488021E-3</v>
      </c>
      <c r="Y58" s="113"/>
      <c r="Z58" s="8">
        <f t="shared" si="51"/>
        <v>714</v>
      </c>
      <c r="AA58" s="8">
        <f t="shared" si="52"/>
        <v>714</v>
      </c>
      <c r="AB58" s="8">
        <f t="shared" si="53"/>
        <v>714</v>
      </c>
      <c r="AC58" s="8">
        <f t="shared" si="54"/>
        <v>714</v>
      </c>
      <c r="AD58" s="8">
        <f t="shared" si="115"/>
        <v>2856</v>
      </c>
      <c r="AE58" s="113"/>
      <c r="AF58" s="121">
        <v>2189</v>
      </c>
      <c r="AG58" s="121"/>
      <c r="AH58" s="121"/>
      <c r="AI58" s="121">
        <v>650</v>
      </c>
      <c r="AJ58" s="121">
        <v>792</v>
      </c>
      <c r="AK58" s="121">
        <v>782</v>
      </c>
      <c r="AL58" s="121">
        <v>782</v>
      </c>
      <c r="AM58" s="121">
        <v>610</v>
      </c>
      <c r="AN58" s="121">
        <v>610</v>
      </c>
      <c r="AO58" s="121">
        <v>1391</v>
      </c>
      <c r="AP58" s="121">
        <v>580</v>
      </c>
      <c r="AQ58" s="121">
        <v>238</v>
      </c>
      <c r="AR58" s="178">
        <v>271</v>
      </c>
      <c r="AS58" s="178">
        <v>238</v>
      </c>
      <c r="AT58" s="178">
        <v>238</v>
      </c>
      <c r="AU58" s="178">
        <v>238</v>
      </c>
      <c r="AV58" s="178">
        <f t="shared" si="110"/>
        <v>6770</v>
      </c>
      <c r="AW58" s="175">
        <f t="shared" si="57"/>
        <v>7.1345618409488021E-3</v>
      </c>
      <c r="AX58" s="175" t="s">
        <v>1859</v>
      </c>
      <c r="AY58" s="195"/>
      <c r="AZ58" s="178">
        <v>238</v>
      </c>
      <c r="BA58" s="178">
        <v>238</v>
      </c>
      <c r="BB58" s="178">
        <v>238</v>
      </c>
      <c r="BC58" s="178">
        <v>238</v>
      </c>
      <c r="BD58" s="178">
        <v>238</v>
      </c>
      <c r="BE58" s="178">
        <v>238</v>
      </c>
      <c r="BF58" s="178">
        <v>238</v>
      </c>
      <c r="BG58" s="178">
        <v>238</v>
      </c>
      <c r="BH58" s="178">
        <v>238</v>
      </c>
      <c r="BI58" s="178">
        <v>238</v>
      </c>
      <c r="BJ58" s="178">
        <v>238</v>
      </c>
      <c r="BK58" s="178">
        <v>238</v>
      </c>
      <c r="BL58" s="178">
        <f t="shared" ref="BL58:BL69" si="121">SUM(AZ58:BK58)</f>
        <v>2856</v>
      </c>
      <c r="BM58" s="175">
        <f t="shared" si="60"/>
        <v>1.9103678929765886E-3</v>
      </c>
    </row>
    <row r="59" spans="1:65" x14ac:dyDescent="0.25">
      <c r="B59" t="s">
        <v>1438</v>
      </c>
      <c r="C59" s="8"/>
      <c r="E59" s="8"/>
      <c r="G59" s="8"/>
      <c r="I59" s="8"/>
      <c r="K59" s="230"/>
      <c r="L59" s="230"/>
      <c r="M59" s="230"/>
      <c r="N59" s="230"/>
      <c r="O59" s="8">
        <f t="shared" si="112"/>
        <v>0</v>
      </c>
      <c r="Q59" s="113"/>
      <c r="R59" s="8">
        <f t="shared" si="113"/>
        <v>3231</v>
      </c>
      <c r="S59" s="8">
        <f t="shared" si="108"/>
        <v>1347</v>
      </c>
      <c r="T59" s="8">
        <f t="shared" si="102"/>
        <v>0</v>
      </c>
      <c r="U59" s="8">
        <f t="shared" si="103"/>
        <v>0</v>
      </c>
      <c r="V59" s="8">
        <f t="shared" si="114"/>
        <v>4578</v>
      </c>
      <c r="W59" s="41">
        <f t="shared" si="109"/>
        <v>4.8245235019000908E-3</v>
      </c>
      <c r="Y59" s="113"/>
      <c r="Z59" s="8">
        <f t="shared" si="51"/>
        <v>0</v>
      </c>
      <c r="AA59" s="8">
        <f t="shared" si="52"/>
        <v>0</v>
      </c>
      <c r="AB59" s="8">
        <f t="shared" si="53"/>
        <v>0</v>
      </c>
      <c r="AC59" s="8">
        <f t="shared" si="54"/>
        <v>0</v>
      </c>
      <c r="AD59" s="8">
        <f t="shared" si="115"/>
        <v>0</v>
      </c>
      <c r="AE59" s="113"/>
      <c r="AF59" s="121">
        <v>3165</v>
      </c>
      <c r="AG59" s="121"/>
      <c r="AH59" s="121">
        <v>252</v>
      </c>
      <c r="AI59" s="121">
        <v>858</v>
      </c>
      <c r="AJ59" s="121">
        <v>1298</v>
      </c>
      <c r="AK59" s="121">
        <v>0</v>
      </c>
      <c r="AL59" s="121">
        <v>1933</v>
      </c>
      <c r="AM59" s="121">
        <v>683</v>
      </c>
      <c r="AN59" s="121"/>
      <c r="AO59" s="121">
        <v>664</v>
      </c>
      <c r="AP59" s="178"/>
      <c r="AQ59" s="178"/>
      <c r="AR59" s="178"/>
      <c r="AS59" s="178"/>
      <c r="AT59" s="178"/>
      <c r="AU59" s="178"/>
      <c r="AV59" s="178">
        <f t="shared" si="110"/>
        <v>4578</v>
      </c>
      <c r="AW59" s="175">
        <f t="shared" si="57"/>
        <v>4.8245235019000908E-3</v>
      </c>
      <c r="AX59" s="175" t="s">
        <v>530</v>
      </c>
      <c r="AY59" s="195"/>
      <c r="AZ59" s="178"/>
      <c r="BA59" s="178"/>
      <c r="BB59" s="178"/>
      <c r="BC59" s="178"/>
      <c r="BD59" s="178"/>
      <c r="BE59" s="178"/>
      <c r="BF59" s="178"/>
      <c r="BG59" s="178"/>
      <c r="BH59" s="178"/>
      <c r="BI59" s="178"/>
      <c r="BJ59" s="178"/>
      <c r="BK59" s="178"/>
      <c r="BL59" s="178">
        <f t="shared" si="121"/>
        <v>0</v>
      </c>
      <c r="BM59" s="175">
        <f t="shared" si="60"/>
        <v>0</v>
      </c>
    </row>
    <row r="60" spans="1:65" x14ac:dyDescent="0.25">
      <c r="B60" t="s">
        <v>171</v>
      </c>
      <c r="C60" s="8">
        <f>QB!F106</f>
        <v>8793.32</v>
      </c>
      <c r="D60" s="41">
        <f t="shared" ref="D60:J67" si="122">C60/C$15</f>
        <v>6.865121173567126E-3</v>
      </c>
      <c r="E60" s="8">
        <f>QB!K106</f>
        <v>14641.91</v>
      </c>
      <c r="F60" s="41">
        <f>E60/E$15</f>
        <v>6.7497408350038523E-3</v>
      </c>
      <c r="G60" s="8">
        <f>QB!P106</f>
        <v>25989.679999999997</v>
      </c>
      <c r="H60" s="41">
        <f>G60/G$15</f>
        <v>1.1803313180392573E-2</v>
      </c>
      <c r="I60" s="8">
        <v>19267</v>
      </c>
      <c r="J60" s="41">
        <f t="shared" si="75"/>
        <v>8.2995899097112139E-3</v>
      </c>
      <c r="K60" s="230">
        <v>12052</v>
      </c>
      <c r="L60" s="230">
        <v>9564</v>
      </c>
      <c r="M60" s="230">
        <v>9537</v>
      </c>
      <c r="N60" s="230">
        <v>12881</v>
      </c>
      <c r="O60" s="8">
        <f t="shared" si="112"/>
        <v>44034</v>
      </c>
      <c r="P60" s="41">
        <f t="shared" si="76"/>
        <v>2.509461628898986E-2</v>
      </c>
      <c r="Q60" s="113"/>
      <c r="R60" s="8">
        <f t="shared" si="113"/>
        <v>7487</v>
      </c>
      <c r="S60" s="8">
        <f t="shared" si="108"/>
        <v>17322</v>
      </c>
      <c r="T60" s="8">
        <f t="shared" ref="T60:T69" si="123">SUM(AP60:AR60)</f>
        <v>12441</v>
      </c>
      <c r="U60" s="8">
        <f t="shared" si="103"/>
        <v>12402</v>
      </c>
      <c r="V60" s="8">
        <f t="shared" si="114"/>
        <v>49652</v>
      </c>
      <c r="W60" s="41">
        <f t="shared" ref="W60:W67" si="124">V60/V$15</f>
        <v>5.2325740698196441E-2</v>
      </c>
      <c r="Y60" s="113"/>
      <c r="Z60" s="8">
        <f t="shared" si="51"/>
        <v>12402</v>
      </c>
      <c r="AA60" s="8">
        <f t="shared" si="52"/>
        <v>12402</v>
      </c>
      <c r="AB60" s="8">
        <f t="shared" si="53"/>
        <v>12402</v>
      </c>
      <c r="AC60" s="8">
        <f t="shared" si="54"/>
        <v>12402</v>
      </c>
      <c r="AD60" s="8">
        <f t="shared" si="115"/>
        <v>49608</v>
      </c>
      <c r="AE60" s="113"/>
      <c r="AF60" s="121">
        <v>9537</v>
      </c>
      <c r="AG60" s="121">
        <v>2194</v>
      </c>
      <c r="AH60" s="121">
        <v>1594</v>
      </c>
      <c r="AI60" s="121">
        <v>9094</v>
      </c>
      <c r="AJ60" s="121">
        <v>5893</v>
      </c>
      <c r="AK60" s="121">
        <v>0</v>
      </c>
      <c r="AL60" s="121">
        <v>1594</v>
      </c>
      <c r="AM60" s="121">
        <v>9094</v>
      </c>
      <c r="AN60" s="121">
        <v>4094</v>
      </c>
      <c r="AO60" s="121">
        <v>4134</v>
      </c>
      <c r="AP60" s="121">
        <f t="shared" ref="AP60" si="125">AO60</f>
        <v>4134</v>
      </c>
      <c r="AQ60" s="121">
        <v>4173</v>
      </c>
      <c r="AR60" s="178">
        <v>4134</v>
      </c>
      <c r="AS60" s="178">
        <v>4134</v>
      </c>
      <c r="AT60" s="178">
        <v>4134</v>
      </c>
      <c r="AU60" s="178">
        <v>4134</v>
      </c>
      <c r="AV60" s="178">
        <f t="shared" si="110"/>
        <v>49652</v>
      </c>
      <c r="AW60" s="175">
        <f t="shared" si="57"/>
        <v>5.2325740698196441E-2</v>
      </c>
      <c r="AX60" s="175" t="s">
        <v>1893</v>
      </c>
      <c r="AY60" s="195"/>
      <c r="AZ60" s="178">
        <v>4134</v>
      </c>
      <c r="BA60" s="178">
        <v>4134</v>
      </c>
      <c r="BB60" s="178">
        <v>4134</v>
      </c>
      <c r="BC60" s="178">
        <v>4134</v>
      </c>
      <c r="BD60" s="178">
        <v>4134</v>
      </c>
      <c r="BE60" s="178">
        <v>4134</v>
      </c>
      <c r="BF60" s="178">
        <v>4134</v>
      </c>
      <c r="BG60" s="178">
        <v>4134</v>
      </c>
      <c r="BH60" s="178">
        <f t="shared" ref="BH60" si="126">BG60</f>
        <v>4134</v>
      </c>
      <c r="BI60" s="178">
        <f t="shared" ref="BI60" si="127">BH60</f>
        <v>4134</v>
      </c>
      <c r="BJ60" s="178">
        <f t="shared" ref="BJ60" si="128">BI60</f>
        <v>4134</v>
      </c>
      <c r="BK60" s="178">
        <f t="shared" ref="BK60" si="129">BJ60</f>
        <v>4134</v>
      </c>
      <c r="BL60" s="178">
        <f t="shared" si="121"/>
        <v>49608</v>
      </c>
      <c r="BM60" s="175">
        <f t="shared" si="60"/>
        <v>3.3182608695652177E-2</v>
      </c>
    </row>
    <row r="61" spans="1:65" x14ac:dyDescent="0.25">
      <c r="B61" t="s">
        <v>172</v>
      </c>
      <c r="C61" s="8">
        <f>QB!F115</f>
        <v>5276.76</v>
      </c>
      <c r="D61" s="41">
        <f t="shared" si="122"/>
        <v>4.1196722971337417E-3</v>
      </c>
      <c r="E61" s="8">
        <f>QB!K115</f>
        <v>3200.5699999999997</v>
      </c>
      <c r="F61" s="41">
        <f>E61/E$15</f>
        <v>1.4754234949052602E-3</v>
      </c>
      <c r="G61" s="8">
        <f>QB!P115</f>
        <v>8234.48</v>
      </c>
      <c r="H61" s="41">
        <f>G61/G$15</f>
        <v>3.7397207783119702E-3</v>
      </c>
      <c r="I61" s="8">
        <v>11020</v>
      </c>
      <c r="J61" s="41">
        <f t="shared" si="75"/>
        <v>4.7470535529671237E-3</v>
      </c>
      <c r="K61" s="230">
        <v>1010</v>
      </c>
      <c r="L61" s="230">
        <v>2214</v>
      </c>
      <c r="M61" s="230">
        <v>1118</v>
      </c>
      <c r="N61" s="230">
        <v>738</v>
      </c>
      <c r="O61" s="8">
        <f t="shared" si="112"/>
        <v>5080</v>
      </c>
      <c r="P61" s="41">
        <f t="shared" si="76"/>
        <v>2.8950504325763841E-3</v>
      </c>
      <c r="Q61" s="113"/>
      <c r="R61" s="8">
        <f t="shared" si="113"/>
        <v>361</v>
      </c>
      <c r="S61" s="8">
        <f t="shared" si="108"/>
        <v>777</v>
      </c>
      <c r="T61" s="8">
        <f t="shared" si="123"/>
        <v>268</v>
      </c>
      <c r="U61" s="8">
        <f t="shared" si="103"/>
        <v>600</v>
      </c>
      <c r="V61" s="8">
        <f t="shared" si="114"/>
        <v>2006</v>
      </c>
      <c r="W61" s="41">
        <f t="shared" si="124"/>
        <v>2.1140223121038841E-3</v>
      </c>
      <c r="Y61" s="113"/>
      <c r="Z61" s="8">
        <f t="shared" si="51"/>
        <v>600</v>
      </c>
      <c r="AA61" s="8">
        <f t="shared" si="52"/>
        <v>600</v>
      </c>
      <c r="AB61" s="8">
        <f t="shared" si="53"/>
        <v>600</v>
      </c>
      <c r="AC61" s="8">
        <f t="shared" si="54"/>
        <v>600</v>
      </c>
      <c r="AD61" s="8">
        <f t="shared" si="115"/>
        <v>2400</v>
      </c>
      <c r="AE61" s="113"/>
      <c r="AF61" s="121">
        <v>1118</v>
      </c>
      <c r="AG61" s="121">
        <v>534</v>
      </c>
      <c r="AH61" s="121"/>
      <c r="AI61" s="121">
        <v>204</v>
      </c>
      <c r="AJ61" s="121">
        <v>0</v>
      </c>
      <c r="AK61" s="121">
        <v>0</v>
      </c>
      <c r="AL61" s="121">
        <v>361</v>
      </c>
      <c r="AM61" s="121">
        <v>259</v>
      </c>
      <c r="AN61" s="121">
        <v>354</v>
      </c>
      <c r="AO61" s="121">
        <v>164</v>
      </c>
      <c r="AP61" s="121">
        <v>0</v>
      </c>
      <c r="AQ61" s="121">
        <v>0</v>
      </c>
      <c r="AR61" s="178">
        <v>268</v>
      </c>
      <c r="AS61" s="178">
        <v>200</v>
      </c>
      <c r="AT61" s="178">
        <v>200</v>
      </c>
      <c r="AU61" s="178">
        <v>200</v>
      </c>
      <c r="AV61" s="178">
        <f t="shared" si="110"/>
        <v>2006</v>
      </c>
      <c r="AW61" s="175">
        <f t="shared" si="57"/>
        <v>2.1140223121038841E-3</v>
      </c>
      <c r="AX61" s="175" t="s">
        <v>542</v>
      </c>
      <c r="AY61" s="195"/>
      <c r="AZ61" s="178">
        <v>200</v>
      </c>
      <c r="BA61" s="178">
        <v>200</v>
      </c>
      <c r="BB61" s="178">
        <v>200</v>
      </c>
      <c r="BC61" s="178">
        <v>200</v>
      </c>
      <c r="BD61" s="178">
        <v>200</v>
      </c>
      <c r="BE61" s="178">
        <v>200</v>
      </c>
      <c r="BF61" s="178">
        <v>200</v>
      </c>
      <c r="BG61" s="178">
        <v>200</v>
      </c>
      <c r="BH61" s="178">
        <v>200</v>
      </c>
      <c r="BI61" s="178">
        <v>200</v>
      </c>
      <c r="BJ61" s="178">
        <v>200</v>
      </c>
      <c r="BK61" s="178">
        <v>200</v>
      </c>
      <c r="BL61" s="178">
        <f t="shared" si="121"/>
        <v>2400</v>
      </c>
      <c r="BM61" s="175">
        <f t="shared" si="60"/>
        <v>1.605351170568562E-3</v>
      </c>
    </row>
    <row r="62" spans="1:65" x14ac:dyDescent="0.25">
      <c r="B62" t="s">
        <v>173</v>
      </c>
      <c r="C62" s="8">
        <f>QB!F107</f>
        <v>2966.05</v>
      </c>
      <c r="D62" s="41">
        <f t="shared" si="122"/>
        <v>2.3156546852450242E-3</v>
      </c>
      <c r="E62" s="8">
        <f>QB!K107</f>
        <v>3042.38</v>
      </c>
      <c r="F62" s="41">
        <f>E62/E$15</f>
        <v>1.4024998460992466E-3</v>
      </c>
      <c r="G62" s="8">
        <f>QB!P107</f>
        <v>22007.56</v>
      </c>
      <c r="H62" s="41">
        <f>G62/G$15</f>
        <v>9.9948180591788918E-3</v>
      </c>
      <c r="I62" s="8">
        <v>9262</v>
      </c>
      <c r="J62" s="41">
        <f t="shared" si="75"/>
        <v>3.9897649734647461E-3</v>
      </c>
      <c r="K62" s="230">
        <v>849</v>
      </c>
      <c r="L62" s="230">
        <v>7574</v>
      </c>
      <c r="M62" s="230">
        <v>150</v>
      </c>
      <c r="N62" s="230">
        <v>0</v>
      </c>
      <c r="O62" s="8">
        <f t="shared" si="112"/>
        <v>8573</v>
      </c>
      <c r="P62" s="41">
        <f t="shared" si="76"/>
        <v>4.8856825508813663E-3</v>
      </c>
      <c r="Q62" s="113"/>
      <c r="R62" s="8">
        <f t="shared" si="113"/>
        <v>0</v>
      </c>
      <c r="S62" s="8">
        <f t="shared" si="108"/>
        <v>0</v>
      </c>
      <c r="T62" s="8">
        <f t="shared" si="123"/>
        <v>1</v>
      </c>
      <c r="U62" s="8">
        <f t="shared" si="103"/>
        <v>0</v>
      </c>
      <c r="V62" s="8">
        <f t="shared" si="114"/>
        <v>1</v>
      </c>
      <c r="W62" s="41">
        <f t="shared" si="124"/>
        <v>1.0538496072302513E-6</v>
      </c>
      <c r="Y62" s="113"/>
      <c r="Z62" s="8">
        <f t="shared" si="51"/>
        <v>0</v>
      </c>
      <c r="AA62" s="8">
        <f t="shared" si="52"/>
        <v>0</v>
      </c>
      <c r="AB62" s="8">
        <f t="shared" si="53"/>
        <v>0</v>
      </c>
      <c r="AC62" s="8">
        <f t="shared" si="54"/>
        <v>0</v>
      </c>
      <c r="AD62" s="8">
        <f t="shared" si="115"/>
        <v>0</v>
      </c>
      <c r="AE62" s="113"/>
      <c r="AF62" s="121">
        <v>150</v>
      </c>
      <c r="AG62" s="121"/>
      <c r="AH62" s="121">
        <v>0</v>
      </c>
      <c r="AI62" s="121">
        <v>0</v>
      </c>
      <c r="AJ62" s="121">
        <v>0</v>
      </c>
      <c r="AK62" s="121">
        <v>0</v>
      </c>
      <c r="AL62" s="121">
        <v>0</v>
      </c>
      <c r="AM62" s="121">
        <v>0</v>
      </c>
      <c r="AN62" s="121">
        <v>0</v>
      </c>
      <c r="AO62" s="121">
        <v>0</v>
      </c>
      <c r="AP62" s="121">
        <v>0</v>
      </c>
      <c r="AQ62" s="121">
        <v>1</v>
      </c>
      <c r="AR62" s="178">
        <v>0</v>
      </c>
      <c r="AS62" s="178">
        <v>0</v>
      </c>
      <c r="AT62" s="178">
        <v>0</v>
      </c>
      <c r="AU62" s="178">
        <v>0</v>
      </c>
      <c r="AV62" s="178">
        <f t="shared" si="110"/>
        <v>1</v>
      </c>
      <c r="AW62" s="175">
        <f t="shared" si="57"/>
        <v>1.0538496072302513E-6</v>
      </c>
      <c r="AX62" s="175" t="s">
        <v>543</v>
      </c>
      <c r="AY62" s="195"/>
      <c r="AZ62" s="178">
        <v>0</v>
      </c>
      <c r="BA62" s="178">
        <v>0</v>
      </c>
      <c r="BB62" s="178">
        <v>0</v>
      </c>
      <c r="BC62" s="178">
        <v>0</v>
      </c>
      <c r="BD62" s="178">
        <v>0</v>
      </c>
      <c r="BE62" s="178">
        <v>0</v>
      </c>
      <c r="BF62" s="178">
        <v>0</v>
      </c>
      <c r="BG62" s="178">
        <v>0</v>
      </c>
      <c r="BH62" s="178">
        <v>0</v>
      </c>
      <c r="BI62" s="178">
        <v>0</v>
      </c>
      <c r="BJ62" s="178">
        <v>0</v>
      </c>
      <c r="BK62" s="178">
        <v>0</v>
      </c>
      <c r="BL62" s="178">
        <f t="shared" si="121"/>
        <v>0</v>
      </c>
      <c r="BM62" s="175">
        <f t="shared" si="60"/>
        <v>0</v>
      </c>
    </row>
    <row r="63" spans="1:65" x14ac:dyDescent="0.25">
      <c r="B63" t="s">
        <v>174</v>
      </c>
      <c r="C63" s="8">
        <f>QB!F114</f>
        <v>0</v>
      </c>
      <c r="D63" s="41">
        <f t="shared" si="122"/>
        <v>0</v>
      </c>
      <c r="E63" s="8">
        <f>QB!K114</f>
        <v>0</v>
      </c>
      <c r="F63" s="41">
        <f>E63/E$15</f>
        <v>0</v>
      </c>
      <c r="G63" s="8">
        <f>QB!P114</f>
        <v>32.44</v>
      </c>
      <c r="H63" s="41">
        <f>G63/G$15</f>
        <v>1.473275082924973E-5</v>
      </c>
      <c r="I63" s="8">
        <v>3653</v>
      </c>
      <c r="J63" s="41">
        <f t="shared" si="75"/>
        <v>1.5735922530842924E-3</v>
      </c>
      <c r="K63" s="230">
        <v>1267</v>
      </c>
      <c r="L63" s="230">
        <v>917</v>
      </c>
      <c r="M63" s="230">
        <v>794</v>
      </c>
      <c r="N63" s="230">
        <v>1092</v>
      </c>
      <c r="O63" s="8">
        <f t="shared" si="112"/>
        <v>4070</v>
      </c>
      <c r="P63" s="41">
        <f t="shared" si="76"/>
        <v>2.319459696965725E-3</v>
      </c>
      <c r="Q63" s="113"/>
      <c r="R63" s="8">
        <f t="shared" si="113"/>
        <v>423</v>
      </c>
      <c r="S63" s="8">
        <f t="shared" si="108"/>
        <v>55</v>
      </c>
      <c r="T63" s="8">
        <f t="shared" si="123"/>
        <v>100</v>
      </c>
      <c r="U63" s="8">
        <f t="shared" si="103"/>
        <v>300</v>
      </c>
      <c r="V63" s="8">
        <f t="shared" si="114"/>
        <v>878</v>
      </c>
      <c r="W63" s="41">
        <f t="shared" si="124"/>
        <v>9.2527995514816075E-4</v>
      </c>
      <c r="Y63" s="113"/>
      <c r="Z63" s="8">
        <f t="shared" si="51"/>
        <v>300</v>
      </c>
      <c r="AA63" s="8">
        <f t="shared" si="52"/>
        <v>300</v>
      </c>
      <c r="AB63" s="8">
        <f t="shared" si="53"/>
        <v>300</v>
      </c>
      <c r="AC63" s="8">
        <f t="shared" si="54"/>
        <v>300</v>
      </c>
      <c r="AD63" s="8">
        <f t="shared" si="115"/>
        <v>1200</v>
      </c>
      <c r="AE63" s="113"/>
      <c r="AF63" s="121">
        <v>794</v>
      </c>
      <c r="AG63" s="121">
        <v>650</v>
      </c>
      <c r="AH63" s="121"/>
      <c r="AI63" s="121">
        <v>442</v>
      </c>
      <c r="AJ63" s="121">
        <v>79</v>
      </c>
      <c r="AK63" s="121">
        <v>240</v>
      </c>
      <c r="AL63" s="121">
        <v>104</v>
      </c>
      <c r="AM63" s="121"/>
      <c r="AN63" s="121">
        <v>55</v>
      </c>
      <c r="AO63" s="121"/>
      <c r="AP63" s="121">
        <v>0</v>
      </c>
      <c r="AQ63" s="121">
        <v>0</v>
      </c>
      <c r="AR63" s="178">
        <v>100</v>
      </c>
      <c r="AS63" s="178">
        <v>100</v>
      </c>
      <c r="AT63" s="178">
        <v>100</v>
      </c>
      <c r="AU63" s="178">
        <v>100</v>
      </c>
      <c r="AV63" s="178">
        <f t="shared" si="110"/>
        <v>878</v>
      </c>
      <c r="AW63" s="175">
        <f t="shared" si="57"/>
        <v>9.2527995514816075E-4</v>
      </c>
      <c r="AX63" s="175" t="s">
        <v>542</v>
      </c>
      <c r="AY63" s="195"/>
      <c r="AZ63" s="178">
        <v>100</v>
      </c>
      <c r="BA63" s="178">
        <v>100</v>
      </c>
      <c r="BB63" s="178">
        <v>100</v>
      </c>
      <c r="BC63" s="178">
        <v>100</v>
      </c>
      <c r="BD63" s="178">
        <v>100</v>
      </c>
      <c r="BE63" s="178">
        <v>100</v>
      </c>
      <c r="BF63" s="178">
        <v>100</v>
      </c>
      <c r="BG63" s="178">
        <v>100</v>
      </c>
      <c r="BH63" s="178">
        <v>100</v>
      </c>
      <c r="BI63" s="178">
        <v>100</v>
      </c>
      <c r="BJ63" s="178">
        <v>100</v>
      </c>
      <c r="BK63" s="178">
        <v>100</v>
      </c>
      <c r="BL63" s="178">
        <f t="shared" si="121"/>
        <v>1200</v>
      </c>
      <c r="BM63" s="175">
        <f t="shared" si="60"/>
        <v>8.0267558528428098E-4</v>
      </c>
    </row>
    <row r="64" spans="1:65" x14ac:dyDescent="0.25">
      <c r="B64" t="s">
        <v>511</v>
      </c>
      <c r="C64" s="8"/>
      <c r="E64" s="8"/>
      <c r="G64" s="8"/>
      <c r="I64" s="8"/>
      <c r="K64" s="230"/>
      <c r="L64" s="230"/>
      <c r="M64" s="230"/>
      <c r="N64" s="230"/>
      <c r="O64" s="8"/>
      <c r="Q64" s="113"/>
      <c r="R64" s="8"/>
      <c r="S64" s="8"/>
      <c r="T64" s="8"/>
      <c r="U64" s="8"/>
      <c r="V64" s="8"/>
      <c r="Y64" s="113"/>
      <c r="Z64" s="8"/>
      <c r="AA64" s="8"/>
      <c r="AB64" s="8"/>
      <c r="AC64" s="8"/>
      <c r="AD64" s="8"/>
      <c r="AE64" s="113"/>
      <c r="AF64" s="121"/>
      <c r="AG64" s="121"/>
      <c r="AH64" s="121"/>
      <c r="AI64" s="121"/>
      <c r="AJ64" s="121"/>
      <c r="AK64" s="121"/>
      <c r="AL64" s="121"/>
      <c r="AM64" s="121"/>
      <c r="AN64" s="121"/>
      <c r="AO64" s="121"/>
      <c r="AP64" s="178"/>
      <c r="AQ64" s="178"/>
      <c r="AR64" s="178"/>
      <c r="AS64" s="178"/>
      <c r="AT64" s="178"/>
      <c r="AU64" s="178"/>
      <c r="AV64" s="178"/>
      <c r="AW64" s="175"/>
      <c r="AX64" s="175"/>
      <c r="AY64" s="195"/>
      <c r="AZ64" s="178"/>
      <c r="BA64" s="178"/>
      <c r="BB64" s="178"/>
      <c r="BC64" s="178"/>
      <c r="BD64" s="178"/>
      <c r="BE64" s="178"/>
      <c r="BF64" s="178"/>
      <c r="BG64" s="178"/>
      <c r="BH64" s="178"/>
      <c r="BI64" s="178"/>
      <c r="BJ64" s="178"/>
      <c r="BK64" s="178"/>
      <c r="BL64" s="178"/>
      <c r="BM64" s="175"/>
    </row>
    <row r="65" spans="1:65" x14ac:dyDescent="0.25">
      <c r="B65" t="s">
        <v>1793</v>
      </c>
      <c r="C65" s="8">
        <v>4055</v>
      </c>
      <c r="D65" s="41">
        <f t="shared" si="122"/>
        <v>3.1658197766957982E-3</v>
      </c>
      <c r="E65" s="8">
        <v>1905</v>
      </c>
      <c r="F65" s="41">
        <f t="shared" si="122"/>
        <v>8.7818162320915368E-4</v>
      </c>
      <c r="G65" s="8">
        <v>4660</v>
      </c>
      <c r="H65" s="41">
        <f t="shared" si="122"/>
        <v>2.116356931698636E-3</v>
      </c>
      <c r="I65" s="8">
        <v>11808</v>
      </c>
      <c r="J65" s="41">
        <f t="shared" si="122"/>
        <v>5.0864980357019779E-3</v>
      </c>
      <c r="K65" s="230">
        <v>5812</v>
      </c>
      <c r="L65" s="230">
        <v>6586</v>
      </c>
      <c r="M65" s="230">
        <v>3830</v>
      </c>
      <c r="N65" s="230">
        <v>1598</v>
      </c>
      <c r="O65" s="8">
        <f t="shared" si="112"/>
        <v>17826</v>
      </c>
      <c r="Q65" s="113"/>
      <c r="R65" s="8">
        <f t="shared" si="113"/>
        <v>4247</v>
      </c>
      <c r="S65" s="8">
        <f t="shared" si="108"/>
        <v>7163</v>
      </c>
      <c r="T65" s="8">
        <f t="shared" si="123"/>
        <v>5572</v>
      </c>
      <c r="U65" s="8">
        <f t="shared" si="103"/>
        <v>2200</v>
      </c>
      <c r="V65" s="8">
        <f t="shared" si="114"/>
        <v>19182</v>
      </c>
      <c r="W65" s="41">
        <f t="shared" si="124"/>
        <v>2.0214943165890682E-2</v>
      </c>
      <c r="Y65" s="113"/>
      <c r="Z65" s="8">
        <f t="shared" si="51"/>
        <v>300</v>
      </c>
      <c r="AA65" s="8">
        <f t="shared" si="52"/>
        <v>300</v>
      </c>
      <c r="AB65" s="8">
        <f t="shared" si="53"/>
        <v>300</v>
      </c>
      <c r="AC65" s="8">
        <f t="shared" si="54"/>
        <v>300</v>
      </c>
      <c r="AD65" s="8">
        <f t="shared" si="115"/>
        <v>1200</v>
      </c>
      <c r="AE65" s="113"/>
      <c r="AF65" s="121">
        <v>3831</v>
      </c>
      <c r="AG65" s="121">
        <v>252</v>
      </c>
      <c r="AH65" s="121">
        <v>533</v>
      </c>
      <c r="AI65" s="121">
        <v>813</v>
      </c>
      <c r="AJ65" s="121">
        <v>1441</v>
      </c>
      <c r="AK65" s="121">
        <v>640</v>
      </c>
      <c r="AL65" s="121">
        <v>2166</v>
      </c>
      <c r="AM65" s="121">
        <v>3759</v>
      </c>
      <c r="AN65" s="121">
        <v>2176</v>
      </c>
      <c r="AO65" s="121">
        <v>1228</v>
      </c>
      <c r="AP65" s="121">
        <v>1444</v>
      </c>
      <c r="AQ65" s="121">
        <v>2945</v>
      </c>
      <c r="AR65" s="178">
        <v>1183</v>
      </c>
      <c r="AS65" s="178">
        <v>1000</v>
      </c>
      <c r="AT65" s="178">
        <v>1000</v>
      </c>
      <c r="AU65" s="178">
        <v>200</v>
      </c>
      <c r="AV65" s="178">
        <f t="shared" si="110"/>
        <v>19182</v>
      </c>
      <c r="AW65" s="175"/>
      <c r="AX65" s="175"/>
      <c r="AY65" s="195"/>
      <c r="AZ65" s="178">
        <v>100</v>
      </c>
      <c r="BA65" s="178">
        <v>100</v>
      </c>
      <c r="BB65" s="178">
        <v>100</v>
      </c>
      <c r="BC65" s="178">
        <v>100</v>
      </c>
      <c r="BD65" s="178">
        <v>100</v>
      </c>
      <c r="BE65" s="178">
        <v>100</v>
      </c>
      <c r="BF65" s="178">
        <v>100</v>
      </c>
      <c r="BG65" s="178">
        <v>100</v>
      </c>
      <c r="BH65" s="178">
        <v>100</v>
      </c>
      <c r="BI65" s="178">
        <v>100</v>
      </c>
      <c r="BJ65" s="178">
        <v>100</v>
      </c>
      <c r="BK65" s="178">
        <v>100</v>
      </c>
      <c r="BL65" s="178">
        <f t="shared" si="121"/>
        <v>1200</v>
      </c>
      <c r="BM65" s="175"/>
    </row>
    <row r="66" spans="1:65" x14ac:dyDescent="0.25">
      <c r="B66" t="s">
        <v>1773</v>
      </c>
      <c r="C66" s="8"/>
      <c r="E66" s="8"/>
      <c r="G66" s="8"/>
      <c r="I66" s="8"/>
      <c r="K66" s="230"/>
      <c r="L66" s="230"/>
      <c r="M66" s="230"/>
      <c r="N66" s="230"/>
      <c r="O66" s="8">
        <f t="shared" si="112"/>
        <v>0</v>
      </c>
      <c r="Q66" s="113"/>
      <c r="R66" s="8">
        <f t="shared" si="113"/>
        <v>616</v>
      </c>
      <c r="S66" s="8">
        <f t="shared" si="108"/>
        <v>446</v>
      </c>
      <c r="T66" s="8">
        <f t="shared" si="123"/>
        <v>713</v>
      </c>
      <c r="U66" s="8">
        <f t="shared" si="103"/>
        <v>525</v>
      </c>
      <c r="V66" s="8">
        <f t="shared" si="114"/>
        <v>2300</v>
      </c>
      <c r="W66" s="41">
        <f t="shared" si="124"/>
        <v>2.4238540966295781E-3</v>
      </c>
      <c r="Y66" s="113"/>
      <c r="Z66" s="8">
        <f t="shared" si="51"/>
        <v>525</v>
      </c>
      <c r="AA66" s="8">
        <f t="shared" si="52"/>
        <v>525</v>
      </c>
      <c r="AB66" s="8">
        <f t="shared" si="53"/>
        <v>525</v>
      </c>
      <c r="AC66" s="8">
        <f t="shared" si="54"/>
        <v>525</v>
      </c>
      <c r="AD66" s="8">
        <f t="shared" si="115"/>
        <v>2100</v>
      </c>
      <c r="AE66" s="113"/>
      <c r="AF66" s="121"/>
      <c r="AG66" s="121"/>
      <c r="AH66" s="121"/>
      <c r="AI66" s="121"/>
      <c r="AJ66" s="121">
        <v>366</v>
      </c>
      <c r="AK66" s="121">
        <v>102</v>
      </c>
      <c r="AL66" s="121">
        <v>148</v>
      </c>
      <c r="AM66" s="121">
        <v>76</v>
      </c>
      <c r="AN66" s="121">
        <v>172</v>
      </c>
      <c r="AO66" s="121">
        <v>198</v>
      </c>
      <c r="AP66" s="121">
        <v>354</v>
      </c>
      <c r="AQ66" s="121">
        <v>183</v>
      </c>
      <c r="AR66" s="178">
        <v>176</v>
      </c>
      <c r="AS66" s="178">
        <v>175</v>
      </c>
      <c r="AT66" s="178">
        <v>175</v>
      </c>
      <c r="AU66" s="178">
        <v>175</v>
      </c>
      <c r="AV66" s="178">
        <f t="shared" si="110"/>
        <v>2300</v>
      </c>
      <c r="AW66" s="175"/>
      <c r="AX66" s="175"/>
      <c r="AY66" s="195"/>
      <c r="AZ66" s="178">
        <v>175</v>
      </c>
      <c r="BA66" s="178">
        <v>175</v>
      </c>
      <c r="BB66" s="178">
        <v>175</v>
      </c>
      <c r="BC66" s="178">
        <v>175</v>
      </c>
      <c r="BD66" s="178">
        <v>175</v>
      </c>
      <c r="BE66" s="178">
        <v>175</v>
      </c>
      <c r="BF66" s="178">
        <v>175</v>
      </c>
      <c r="BG66" s="178">
        <v>175</v>
      </c>
      <c r="BH66" s="178">
        <v>175</v>
      </c>
      <c r="BI66" s="178">
        <v>175</v>
      </c>
      <c r="BJ66" s="178">
        <v>175</v>
      </c>
      <c r="BK66" s="178">
        <v>175</v>
      </c>
      <c r="BL66" s="178">
        <f t="shared" si="121"/>
        <v>2100</v>
      </c>
      <c r="BM66" s="175"/>
    </row>
    <row r="67" spans="1:65" x14ac:dyDescent="0.25">
      <c r="B67" t="s">
        <v>1801</v>
      </c>
      <c r="C67" s="8">
        <v>6092</v>
      </c>
      <c r="D67" s="41">
        <f t="shared" si="122"/>
        <v>4.7561465054576585E-3</v>
      </c>
      <c r="E67" s="8">
        <v>577</v>
      </c>
      <c r="F67" s="41">
        <f t="shared" si="122"/>
        <v>2.6598991947069902E-4</v>
      </c>
      <c r="G67" s="8">
        <v>3496</v>
      </c>
      <c r="H67" s="41">
        <f t="shared" si="122"/>
        <v>1.5877218526219809E-3</v>
      </c>
      <c r="I67" s="8">
        <v>21775</v>
      </c>
      <c r="J67" s="41">
        <f t="shared" si="122"/>
        <v>9.3799538217658011E-3</v>
      </c>
      <c r="K67" s="230">
        <v>16981</v>
      </c>
      <c r="L67" s="230">
        <v>23222</v>
      </c>
      <c r="M67" s="230">
        <v>15052</v>
      </c>
      <c r="N67" s="230">
        <v>9081</v>
      </c>
      <c r="O67" s="8">
        <f t="shared" si="112"/>
        <v>64336</v>
      </c>
      <c r="Q67" s="113"/>
      <c r="R67" s="8">
        <f t="shared" si="113"/>
        <v>10080</v>
      </c>
      <c r="S67" s="8">
        <f t="shared" si="108"/>
        <v>8271</v>
      </c>
      <c r="T67" s="8">
        <f t="shared" si="123"/>
        <v>6287</v>
      </c>
      <c r="U67" s="8">
        <f t="shared" si="103"/>
        <v>4500</v>
      </c>
      <c r="V67" s="8">
        <f t="shared" si="114"/>
        <v>29138</v>
      </c>
      <c r="W67" s="41">
        <f t="shared" si="124"/>
        <v>3.0707069855475066E-2</v>
      </c>
      <c r="Y67" s="113"/>
      <c r="Z67" s="8">
        <f t="shared" si="51"/>
        <v>3000</v>
      </c>
      <c r="AA67" s="8">
        <f t="shared" si="52"/>
        <v>1500</v>
      </c>
      <c r="AB67" s="8">
        <f t="shared" si="53"/>
        <v>1500</v>
      </c>
      <c r="AC67" s="8">
        <f t="shared" si="54"/>
        <v>1500</v>
      </c>
      <c r="AD67" s="8">
        <f t="shared" si="115"/>
        <v>7500</v>
      </c>
      <c r="AE67" s="113"/>
      <c r="AF67" s="121"/>
      <c r="AG67" s="121">
        <v>5025</v>
      </c>
      <c r="AH67" s="121">
        <v>6435</v>
      </c>
      <c r="AI67" s="121">
        <v>-2378</v>
      </c>
      <c r="AJ67" s="121">
        <v>3799</v>
      </c>
      <c r="AK67" s="121">
        <v>3609</v>
      </c>
      <c r="AL67" s="121">
        <v>2672</v>
      </c>
      <c r="AM67" s="121">
        <v>5113</v>
      </c>
      <c r="AN67" s="121">
        <v>2317</v>
      </c>
      <c r="AO67" s="121">
        <v>841</v>
      </c>
      <c r="AP67" s="121">
        <v>1310</v>
      </c>
      <c r="AQ67" s="121">
        <v>3505</v>
      </c>
      <c r="AR67" s="178">
        <v>1472</v>
      </c>
      <c r="AS67" s="178">
        <v>1500</v>
      </c>
      <c r="AT67" s="178">
        <v>1500</v>
      </c>
      <c r="AU67" s="178">
        <v>1500</v>
      </c>
      <c r="AV67" s="178">
        <f t="shared" si="110"/>
        <v>29138</v>
      </c>
      <c r="AW67" s="175"/>
      <c r="AX67" s="175" t="s">
        <v>2125</v>
      </c>
      <c r="AY67" s="195"/>
      <c r="AZ67" s="178">
        <v>1000</v>
      </c>
      <c r="BA67" s="178">
        <v>1000</v>
      </c>
      <c r="BB67" s="178">
        <v>1000</v>
      </c>
      <c r="BC67" s="178">
        <v>500</v>
      </c>
      <c r="BD67" s="178">
        <v>500</v>
      </c>
      <c r="BE67" s="178">
        <v>500</v>
      </c>
      <c r="BF67" s="178">
        <v>500</v>
      </c>
      <c r="BG67" s="178">
        <v>500</v>
      </c>
      <c r="BH67" s="178">
        <v>500</v>
      </c>
      <c r="BI67" s="178">
        <v>500</v>
      </c>
      <c r="BJ67" s="178">
        <v>500</v>
      </c>
      <c r="BK67" s="178">
        <v>500</v>
      </c>
      <c r="BL67" s="178">
        <f t="shared" si="121"/>
        <v>7500</v>
      </c>
      <c r="BM67" s="175"/>
    </row>
    <row r="68" spans="1:65" x14ac:dyDescent="0.25">
      <c r="B68" t="s">
        <v>175</v>
      </c>
      <c r="C68" s="8">
        <f>QB!F112</f>
        <v>652.41999999999996</v>
      </c>
      <c r="D68" s="41">
        <f>C68/C$15</f>
        <v>5.0935737082906851E-4</v>
      </c>
      <c r="E68" s="8">
        <f>QB!K112</f>
        <v>6737.83</v>
      </c>
      <c r="F68" s="41">
        <f>E68/E$15</f>
        <v>3.1060569481928249E-3</v>
      </c>
      <c r="G68" s="8">
        <f>QB!P112</f>
        <v>0</v>
      </c>
      <c r="H68" s="41">
        <f>G68/G$15</f>
        <v>0</v>
      </c>
      <c r="I68" s="8">
        <v>12743</v>
      </c>
      <c r="J68" s="41">
        <f>I68/I$15</f>
        <v>5.4892652836170648E-3</v>
      </c>
      <c r="K68" s="230">
        <v>-144</v>
      </c>
      <c r="L68" s="230">
        <v>0</v>
      </c>
      <c r="M68" s="230">
        <v>477</v>
      </c>
      <c r="N68" s="230">
        <v>0</v>
      </c>
      <c r="O68" s="8">
        <f t="shared" si="112"/>
        <v>333</v>
      </c>
      <c r="P68" s="41">
        <f>O68/O$15</f>
        <v>1.8977397520628659E-4</v>
      </c>
      <c r="Q68" s="113"/>
      <c r="R68" s="8">
        <f t="shared" si="113"/>
        <v>1949</v>
      </c>
      <c r="S68" s="8">
        <f t="shared" si="108"/>
        <v>0</v>
      </c>
      <c r="T68" s="8">
        <f t="shared" si="123"/>
        <v>0</v>
      </c>
      <c r="U68" s="8">
        <f t="shared" si="103"/>
        <v>0</v>
      </c>
      <c r="V68" s="8">
        <f t="shared" si="114"/>
        <v>1949</v>
      </c>
      <c r="W68" s="41">
        <f>V68/V$15</f>
        <v>2.0539528844917602E-3</v>
      </c>
      <c r="Y68" s="113"/>
      <c r="Z68" s="8">
        <f t="shared" si="51"/>
        <v>0</v>
      </c>
      <c r="AA68" s="8">
        <f t="shared" si="52"/>
        <v>0</v>
      </c>
      <c r="AB68" s="8">
        <f t="shared" si="53"/>
        <v>0</v>
      </c>
      <c r="AC68" s="8">
        <f t="shared" si="54"/>
        <v>0</v>
      </c>
      <c r="AD68" s="8">
        <f t="shared" si="115"/>
        <v>0</v>
      </c>
      <c r="AE68" s="113"/>
      <c r="AF68" s="121">
        <v>477</v>
      </c>
      <c r="AG68" s="121"/>
      <c r="AH68" s="121">
        <v>0</v>
      </c>
      <c r="AI68" s="121">
        <v>0</v>
      </c>
      <c r="AJ68" s="121">
        <v>0</v>
      </c>
      <c r="AK68" s="121">
        <v>0</v>
      </c>
      <c r="AL68" s="121">
        <v>1949</v>
      </c>
      <c r="AM68" s="121">
        <v>0</v>
      </c>
      <c r="AN68" s="121">
        <v>0</v>
      </c>
      <c r="AO68" s="121">
        <v>0</v>
      </c>
      <c r="AP68" s="121">
        <v>0</v>
      </c>
      <c r="AQ68" s="121">
        <v>0</v>
      </c>
      <c r="AR68" s="178">
        <v>0</v>
      </c>
      <c r="AS68" s="178">
        <v>0</v>
      </c>
      <c r="AT68" s="178">
        <v>0</v>
      </c>
      <c r="AU68" s="178">
        <v>0</v>
      </c>
      <c r="AV68" s="178">
        <f t="shared" si="110"/>
        <v>1949</v>
      </c>
      <c r="AW68" s="175">
        <f t="shared" si="57"/>
        <v>2.0539528844917602E-3</v>
      </c>
      <c r="AX68" s="175"/>
      <c r="AY68" s="195"/>
      <c r="AZ68" s="178">
        <v>0</v>
      </c>
      <c r="BA68" s="178">
        <v>0</v>
      </c>
      <c r="BB68" s="178">
        <v>0</v>
      </c>
      <c r="BC68" s="178">
        <v>0</v>
      </c>
      <c r="BD68" s="178">
        <v>0</v>
      </c>
      <c r="BE68" s="178">
        <v>0</v>
      </c>
      <c r="BF68" s="178">
        <v>0</v>
      </c>
      <c r="BG68" s="178">
        <v>0</v>
      </c>
      <c r="BH68" s="178">
        <v>0</v>
      </c>
      <c r="BI68" s="178">
        <v>0</v>
      </c>
      <c r="BJ68" s="178">
        <v>0</v>
      </c>
      <c r="BK68" s="178">
        <v>0</v>
      </c>
      <c r="BL68" s="178">
        <f t="shared" si="121"/>
        <v>0</v>
      </c>
      <c r="BM68" s="175">
        <f t="shared" si="60"/>
        <v>0</v>
      </c>
    </row>
    <row r="69" spans="1:65" x14ac:dyDescent="0.25">
      <c r="B69" t="s">
        <v>176</v>
      </c>
      <c r="C69" s="9">
        <v>-8262</v>
      </c>
      <c r="D69" s="43">
        <f>C69/C$15</f>
        <v>-6.4503090000149659E-3</v>
      </c>
      <c r="E69" s="9">
        <f>QB!K132+QB!K116+QB!K117+QB!K118+QB!K119+QB!K120+QB!K121</f>
        <v>4773.8899999999994</v>
      </c>
      <c r="F69" s="43">
        <f>E69/E$15</f>
        <v>2.2007047082529901E-3</v>
      </c>
      <c r="G69" s="9">
        <v>1625</v>
      </c>
      <c r="H69" s="43">
        <f>G69/G$15</f>
        <v>7.3800000300649853E-4</v>
      </c>
      <c r="I69" s="9">
        <v>1085</v>
      </c>
      <c r="J69" s="43">
        <f>I69/I$15</f>
        <v>4.6738231442552898E-4</v>
      </c>
      <c r="K69" s="231">
        <v>87</v>
      </c>
      <c r="L69" s="231">
        <v>-101</v>
      </c>
      <c r="M69" s="231">
        <v>1156</v>
      </c>
      <c r="N69" s="231">
        <v>-335</v>
      </c>
      <c r="O69" s="9">
        <f t="shared" si="112"/>
        <v>807</v>
      </c>
      <c r="P69" s="43">
        <f>O69/O$15</f>
        <v>4.5990269667109092E-4</v>
      </c>
      <c r="Q69" s="113"/>
      <c r="R69" s="8">
        <f t="shared" si="113"/>
        <v>171</v>
      </c>
      <c r="S69" s="8">
        <f t="shared" si="108"/>
        <v>-23898</v>
      </c>
      <c r="T69" s="8">
        <f t="shared" si="123"/>
        <v>7058</v>
      </c>
      <c r="U69" s="8">
        <f t="shared" si="103"/>
        <v>750</v>
      </c>
      <c r="V69" s="9">
        <f t="shared" si="114"/>
        <v>-15919</v>
      </c>
      <c r="W69" s="43">
        <f>V69/V$15</f>
        <v>-1.6776231897498373E-2</v>
      </c>
      <c r="Y69" s="113"/>
      <c r="Z69" s="8">
        <f t="shared" si="51"/>
        <v>750</v>
      </c>
      <c r="AA69" s="8">
        <f t="shared" si="52"/>
        <v>750</v>
      </c>
      <c r="AB69" s="8">
        <f t="shared" si="53"/>
        <v>750</v>
      </c>
      <c r="AC69" s="8">
        <f t="shared" si="54"/>
        <v>750</v>
      </c>
      <c r="AD69" s="9">
        <f t="shared" si="115"/>
        <v>3000</v>
      </c>
      <c r="AE69" s="113"/>
      <c r="AF69" s="122">
        <v>-16379</v>
      </c>
      <c r="AG69" s="122">
        <v>21</v>
      </c>
      <c r="AH69" s="122">
        <f>-319+83</f>
        <v>-236</v>
      </c>
      <c r="AI69" s="122">
        <v>31</v>
      </c>
      <c r="AJ69" s="122">
        <v>7</v>
      </c>
      <c r="AK69" s="122">
        <v>5</v>
      </c>
      <c r="AL69" s="122">
        <v>159</v>
      </c>
      <c r="AM69" s="122">
        <v>-15</v>
      </c>
      <c r="AN69" s="122">
        <v>-693</v>
      </c>
      <c r="AO69" s="122">
        <v>-23190</v>
      </c>
      <c r="AP69" s="122">
        <v>-2096</v>
      </c>
      <c r="AQ69" s="122">
        <v>4289</v>
      </c>
      <c r="AR69" s="201">
        <v>4865</v>
      </c>
      <c r="AS69" s="201">
        <v>250</v>
      </c>
      <c r="AT69" s="201">
        <v>250</v>
      </c>
      <c r="AU69" s="201">
        <v>250</v>
      </c>
      <c r="AV69" s="178">
        <f t="shared" si="110"/>
        <v>-15919</v>
      </c>
      <c r="AW69" s="175">
        <f t="shared" si="57"/>
        <v>-1.6776231897498373E-2</v>
      </c>
      <c r="AX69" s="175" t="s">
        <v>1744</v>
      </c>
      <c r="AY69" s="195"/>
      <c r="AZ69" s="201">
        <v>250</v>
      </c>
      <c r="BA69" s="201">
        <v>250</v>
      </c>
      <c r="BB69" s="201">
        <v>250</v>
      </c>
      <c r="BC69" s="201">
        <v>250</v>
      </c>
      <c r="BD69" s="201">
        <v>250</v>
      </c>
      <c r="BE69" s="201">
        <v>250</v>
      </c>
      <c r="BF69" s="201">
        <v>250</v>
      </c>
      <c r="BG69" s="201">
        <v>250</v>
      </c>
      <c r="BH69" s="201">
        <v>250</v>
      </c>
      <c r="BI69" s="201">
        <v>250</v>
      </c>
      <c r="BJ69" s="201">
        <v>250</v>
      </c>
      <c r="BK69" s="201">
        <v>250</v>
      </c>
      <c r="BL69" s="178">
        <f t="shared" si="121"/>
        <v>3000</v>
      </c>
      <c r="BM69" s="175">
        <f t="shared" si="60"/>
        <v>2.0066889632107021E-3</v>
      </c>
    </row>
    <row r="70" spans="1:65" s="45" customFormat="1" x14ac:dyDescent="0.25">
      <c r="B70" s="45" t="s">
        <v>177</v>
      </c>
      <c r="C70" s="46">
        <f>SUM(C43:C69)</f>
        <v>378874.32999999996</v>
      </c>
      <c r="D70" s="50">
        <f>C70/C$15</f>
        <v>0.29579478342697169</v>
      </c>
      <c r="E70" s="46">
        <f>SUM(E43:E69)</f>
        <v>556127.55999999994</v>
      </c>
      <c r="F70" s="50">
        <f>E70/E$15</f>
        <v>0.25636798076228134</v>
      </c>
      <c r="G70" s="46">
        <f>SUM(G43:G69)</f>
        <v>865735.8600000001</v>
      </c>
      <c r="H70" s="50">
        <f>G70/G$15</f>
        <v>0.39317727217405152</v>
      </c>
      <c r="I70" s="46">
        <f>SUM(I43:I69)</f>
        <v>1066212</v>
      </c>
      <c r="J70" s="50">
        <f>I70/I$15</f>
        <v>0.45928906196154112</v>
      </c>
      <c r="K70" s="233">
        <f t="shared" ref="K70:O70" si="130">SUM(K43:K69)</f>
        <v>327051</v>
      </c>
      <c r="L70" s="233">
        <f t="shared" si="130"/>
        <v>299570</v>
      </c>
      <c r="M70" s="233">
        <f t="shared" si="130"/>
        <v>239653</v>
      </c>
      <c r="N70" s="233">
        <f t="shared" si="130"/>
        <v>231812</v>
      </c>
      <c r="O70" s="46">
        <f t="shared" si="130"/>
        <v>1098086</v>
      </c>
      <c r="P70" s="50">
        <f>O70/O$15</f>
        <v>0.62579022624135261</v>
      </c>
      <c r="Q70" s="115"/>
      <c r="R70" s="46">
        <f t="shared" ref="R70:V70" si="131">SUM(R43:R69)</f>
        <v>172525</v>
      </c>
      <c r="S70" s="46">
        <f t="shared" si="131"/>
        <v>118491</v>
      </c>
      <c r="T70" s="46">
        <f t="shared" si="131"/>
        <v>101411</v>
      </c>
      <c r="U70" s="46">
        <f t="shared" si="131"/>
        <v>110569.23999999999</v>
      </c>
      <c r="V70" s="46">
        <f t="shared" si="131"/>
        <v>502996.24</v>
      </c>
      <c r="W70" s="50">
        <f>V70/V$15</f>
        <v>0.53008238996229329</v>
      </c>
      <c r="Y70" s="115"/>
      <c r="Z70" s="46">
        <f>SUM(Z52:Z69)+Z44+Z43</f>
        <v>110684.23999999999</v>
      </c>
      <c r="AA70" s="46">
        <f t="shared" ref="AA70:AD70" si="132">SUM(AA52:AA69)+AA44+AA43</f>
        <v>125704.92</v>
      </c>
      <c r="AB70" s="46">
        <f t="shared" si="132"/>
        <v>127958.76</v>
      </c>
      <c r="AC70" s="46">
        <f t="shared" si="132"/>
        <v>127958.76</v>
      </c>
      <c r="AD70" s="46">
        <f t="shared" si="132"/>
        <v>492306.68</v>
      </c>
      <c r="AE70" s="115"/>
      <c r="AF70" s="127">
        <f>SUM(AF43:AF69)</f>
        <v>208105</v>
      </c>
      <c r="AG70" s="127">
        <f>SUM(AG43:AG69)</f>
        <v>68473</v>
      </c>
      <c r="AH70" s="127">
        <f>SUM(AH43:AH69)-AH45-AH47-AH48-AH49-AH50-AH51</f>
        <v>94830</v>
      </c>
      <c r="AI70" s="127">
        <f>SUM(AI43:AI69)-AI45-AI47-AI48-AI49-AI50-AI51</f>
        <v>68591</v>
      </c>
      <c r="AJ70" s="127">
        <f>SUM(AJ43:AJ69)-AJ45-AJ46-AJ47-AJ48-AJ49-AJ50-AJ51</f>
        <v>68679</v>
      </c>
      <c r="AK70" s="127">
        <f t="shared" ref="AK70:AV70" si="133">SUM(AK52:AK69)+AK44+AK43</f>
        <v>55827</v>
      </c>
      <c r="AL70" s="127">
        <f t="shared" si="133"/>
        <v>48019</v>
      </c>
      <c r="AM70" s="127">
        <f t="shared" si="133"/>
        <v>57576</v>
      </c>
      <c r="AN70" s="127">
        <f t="shared" si="133"/>
        <v>48942</v>
      </c>
      <c r="AO70" s="127">
        <f t="shared" si="133"/>
        <v>11973</v>
      </c>
      <c r="AP70" s="127">
        <f t="shared" si="133"/>
        <v>31546</v>
      </c>
      <c r="AQ70" s="127">
        <f t="shared" si="133"/>
        <v>32438</v>
      </c>
      <c r="AR70" s="210">
        <f t="shared" si="133"/>
        <v>37427</v>
      </c>
      <c r="AS70" s="210">
        <f t="shared" si="133"/>
        <v>37123.08</v>
      </c>
      <c r="AT70" s="210">
        <f t="shared" si="133"/>
        <v>37123.08</v>
      </c>
      <c r="AU70" s="210">
        <f t="shared" si="133"/>
        <v>36323.08</v>
      </c>
      <c r="AV70" s="210">
        <f t="shared" si="133"/>
        <v>502996.24</v>
      </c>
      <c r="AW70" s="248">
        <f t="shared" si="57"/>
        <v>0.53008238996229329</v>
      </c>
      <c r="AX70" s="248"/>
      <c r="AY70" s="249"/>
      <c r="AZ70" s="210">
        <f>SUM(AZ43:AZ69)-AZ45-AZ46-AZ47-AZ48-AZ49-AZ50-AZ51</f>
        <v>34591.08</v>
      </c>
      <c r="BA70" s="210">
        <f t="shared" ref="BA70:BL70" si="134">SUM(BA52:BA69)+BA44+BA43</f>
        <v>34591.08</v>
      </c>
      <c r="BB70" s="210">
        <f t="shared" si="134"/>
        <v>41502.080000000002</v>
      </c>
      <c r="BC70" s="210">
        <f t="shared" si="134"/>
        <v>39820.080000000002</v>
      </c>
      <c r="BD70" s="210">
        <f t="shared" si="134"/>
        <v>42367.92</v>
      </c>
      <c r="BE70" s="210">
        <f t="shared" si="134"/>
        <v>43516.92</v>
      </c>
      <c r="BF70" s="210">
        <f t="shared" si="134"/>
        <v>42652.92</v>
      </c>
      <c r="BG70" s="210">
        <f t="shared" si="134"/>
        <v>42652.92</v>
      </c>
      <c r="BH70" s="210">
        <f t="shared" si="134"/>
        <v>42652.92</v>
      </c>
      <c r="BI70" s="210">
        <f t="shared" si="134"/>
        <v>42652.92</v>
      </c>
      <c r="BJ70" s="210">
        <f t="shared" si="134"/>
        <v>42652.92</v>
      </c>
      <c r="BK70" s="210">
        <f t="shared" si="134"/>
        <v>42652.92</v>
      </c>
      <c r="BL70" s="210">
        <f t="shared" si="134"/>
        <v>492306.68</v>
      </c>
      <c r="BM70" s="248">
        <f t="shared" si="60"/>
        <v>0.32930212709030099</v>
      </c>
    </row>
    <row r="71" spans="1:65" s="45" customFormat="1" x14ac:dyDescent="0.25">
      <c r="A71" s="45" t="s">
        <v>517</v>
      </c>
      <c r="C71" s="49">
        <f>C25-C70</f>
        <v>135070.69000000006</v>
      </c>
      <c r="D71" s="51">
        <f>C71/C$15</f>
        <v>0.10545239498247783</v>
      </c>
      <c r="E71" s="49">
        <f>E25-E70</f>
        <v>399091.56000000017</v>
      </c>
      <c r="F71" s="51">
        <f>E71/E$15</f>
        <v>0.18397631179520918</v>
      </c>
      <c r="G71" s="49">
        <f>G25-G70</f>
        <v>-131891.56000000052</v>
      </c>
      <c r="H71" s="51">
        <f>G71/G$15</f>
        <v>-5.9899059493250563E-2</v>
      </c>
      <c r="I71" s="49">
        <f>I25-I70</f>
        <v>-56343</v>
      </c>
      <c r="J71" s="51">
        <f>I71/I$15</f>
        <v>-2.4270711282652149E-2</v>
      </c>
      <c r="K71" s="235">
        <f t="shared" ref="K71:O71" si="135">K25-K70</f>
        <v>-172616</v>
      </c>
      <c r="L71" s="235">
        <f t="shared" si="135"/>
        <v>-158034</v>
      </c>
      <c r="M71" s="235">
        <f t="shared" si="135"/>
        <v>-201759</v>
      </c>
      <c r="N71" s="235">
        <f t="shared" si="135"/>
        <v>-49760</v>
      </c>
      <c r="O71" s="49">
        <f t="shared" si="135"/>
        <v>-582169</v>
      </c>
      <c r="P71" s="51">
        <f>O71/O$15</f>
        <v>-0.33177334946507103</v>
      </c>
      <c r="Q71" s="117"/>
      <c r="R71" s="49">
        <f t="shared" ref="R71:V71" si="136">R25-R70</f>
        <v>-115258</v>
      </c>
      <c r="S71" s="49">
        <f t="shared" si="136"/>
        <v>-60699</v>
      </c>
      <c r="T71" s="49">
        <f t="shared" si="136"/>
        <v>-23477</v>
      </c>
      <c r="U71" s="49">
        <f t="shared" si="136"/>
        <v>27030.760000000009</v>
      </c>
      <c r="V71" s="49">
        <f t="shared" si="136"/>
        <v>-172403.24</v>
      </c>
      <c r="W71" s="51">
        <f>V71/V$15</f>
        <v>-0.18168708675922277</v>
      </c>
      <c r="Y71" s="117"/>
      <c r="Z71" s="49">
        <f t="shared" ref="Z71:AC71" si="137">Z25-Z70</f>
        <v>5415.7600000000093</v>
      </c>
      <c r="AA71" s="49">
        <f t="shared" si="137"/>
        <v>28295.08</v>
      </c>
      <c r="AB71" s="49">
        <f t="shared" si="137"/>
        <v>43641.240000000005</v>
      </c>
      <c r="AC71" s="49">
        <f t="shared" si="137"/>
        <v>85441.24</v>
      </c>
      <c r="AD71" s="49">
        <f t="shared" ref="AD71" si="138">AD25-AD70</f>
        <v>162793.32</v>
      </c>
      <c r="AE71" s="117"/>
      <c r="AF71" s="127">
        <f t="shared" ref="AF71:AI71" si="139">AF25-AF70</f>
        <v>-170207</v>
      </c>
      <c r="AG71" s="127">
        <f t="shared" si="139"/>
        <v>-3109</v>
      </c>
      <c r="AH71" s="127">
        <f t="shared" si="139"/>
        <v>-34009</v>
      </c>
      <c r="AI71" s="127">
        <f t="shared" si="139"/>
        <v>-13348</v>
      </c>
      <c r="AJ71" s="127">
        <f>AJ25-AJ70</f>
        <v>-48421</v>
      </c>
      <c r="AK71" s="127">
        <f t="shared" ref="AK71:AV71" si="140">AK25-AK70</f>
        <v>-35560</v>
      </c>
      <c r="AL71" s="127">
        <f t="shared" si="140"/>
        <v>-31277</v>
      </c>
      <c r="AM71" s="127">
        <f t="shared" si="140"/>
        <v>-63199</v>
      </c>
      <c r="AN71" s="127">
        <f t="shared" si="140"/>
        <v>-27538</v>
      </c>
      <c r="AO71" s="127">
        <f t="shared" si="140"/>
        <v>30038</v>
      </c>
      <c r="AP71" s="127">
        <f t="shared" si="140"/>
        <v>-2407</v>
      </c>
      <c r="AQ71" s="127">
        <f t="shared" si="140"/>
        <v>-17495</v>
      </c>
      <c r="AR71" s="210">
        <f t="shared" si="140"/>
        <v>-3575</v>
      </c>
      <c r="AS71" s="210">
        <f t="shared" si="140"/>
        <v>14476.919999999998</v>
      </c>
      <c r="AT71" s="210">
        <f t="shared" si="140"/>
        <v>5876.9199999999983</v>
      </c>
      <c r="AU71" s="210">
        <f t="shared" si="140"/>
        <v>6676.9199999999983</v>
      </c>
      <c r="AV71" s="210">
        <f t="shared" si="140"/>
        <v>-172403.24</v>
      </c>
      <c r="AW71" s="248">
        <f t="shared" si="57"/>
        <v>-0.18168708675922277</v>
      </c>
      <c r="AX71" s="248"/>
      <c r="AY71" s="249"/>
      <c r="AZ71" s="210">
        <f>AZ25-AZ70</f>
        <v>8408.9199999999983</v>
      </c>
      <c r="BA71" s="210">
        <f t="shared" ref="BA71:BL71" si="141">BA25-BA70</f>
        <v>-191.08000000000175</v>
      </c>
      <c r="BB71" s="210">
        <f t="shared" si="141"/>
        <v>-2802.0800000000017</v>
      </c>
      <c r="BC71" s="210">
        <f t="shared" si="141"/>
        <v>8579.9199999999983</v>
      </c>
      <c r="BD71" s="210">
        <f t="shared" si="141"/>
        <v>10432.080000000002</v>
      </c>
      <c r="BE71" s="210">
        <f t="shared" si="141"/>
        <v>9283.0800000000017</v>
      </c>
      <c r="BF71" s="210">
        <f t="shared" si="141"/>
        <v>10147.080000000002</v>
      </c>
      <c r="BG71" s="210">
        <f t="shared" si="141"/>
        <v>14547.080000000002</v>
      </c>
      <c r="BH71" s="210">
        <f t="shared" si="141"/>
        <v>18947.080000000002</v>
      </c>
      <c r="BI71" s="210">
        <f t="shared" si="141"/>
        <v>36547.08</v>
      </c>
      <c r="BJ71" s="210">
        <f t="shared" si="141"/>
        <v>36547.08</v>
      </c>
      <c r="BK71" s="210">
        <f t="shared" si="141"/>
        <v>12347.080000000002</v>
      </c>
      <c r="BL71" s="210">
        <f t="shared" si="141"/>
        <v>162793.32</v>
      </c>
      <c r="BM71" s="248">
        <f t="shared" si="60"/>
        <v>0.10889185284280938</v>
      </c>
    </row>
    <row r="72" spans="1:65" x14ac:dyDescent="0.25">
      <c r="A72" s="45" t="s">
        <v>512</v>
      </c>
      <c r="C72" s="8"/>
      <c r="E72" s="8"/>
      <c r="G72" s="8"/>
      <c r="I72" s="8"/>
      <c r="K72" s="8"/>
      <c r="Q72" s="113"/>
      <c r="R72" s="8"/>
      <c r="Y72" s="113"/>
      <c r="Z72" s="8"/>
      <c r="AE72" s="113"/>
      <c r="AY72" s="113"/>
    </row>
    <row r="73" spans="1:65" x14ac:dyDescent="0.25">
      <c r="A73" s="45"/>
      <c r="B73" t="s">
        <v>1881</v>
      </c>
      <c r="C73" s="8"/>
      <c r="E73" s="8"/>
      <c r="G73" s="8"/>
      <c r="I73" s="8"/>
      <c r="K73" s="8"/>
      <c r="N73" s="121">
        <v>18747</v>
      </c>
      <c r="Q73" s="113"/>
      <c r="R73" s="8">
        <f>SUM(AJ73:AL73)</f>
        <v>28470</v>
      </c>
      <c r="S73" s="8">
        <f>SUM(AM73:AO73)</f>
        <v>24256</v>
      </c>
      <c r="T73" s="8">
        <f>SUM(AP73:AR73)</f>
        <v>4866</v>
      </c>
      <c r="U73" s="121">
        <f>SUM(AS73:AU73)</f>
        <v>19995</v>
      </c>
      <c r="V73" s="8">
        <f t="shared" ref="V73:V86" si="142">SUM(R73:U73)</f>
        <v>77587</v>
      </c>
      <c r="Y73" s="113"/>
      <c r="Z73" s="8">
        <f t="shared" ref="Z73:Z86" si="143">SUM(AZ73:BB73)</f>
        <v>10665</v>
      </c>
      <c r="AA73" s="8">
        <f t="shared" ref="AA73:AA86" si="144">SUM(BC73:BE73)</f>
        <v>6000</v>
      </c>
      <c r="AB73" s="8">
        <f t="shared" ref="AB73:AB86" si="145">SUM(BF73:BH73)</f>
        <v>6000</v>
      </c>
      <c r="AC73" s="8">
        <f t="shared" ref="AC73:AC86" si="146">SUM(BI73:BK73)</f>
        <v>6000</v>
      </c>
      <c r="AD73" s="8">
        <f t="shared" ref="AD73:AD86" si="147">SUM(Z73:AC73)</f>
        <v>28665</v>
      </c>
      <c r="AE73" s="113"/>
      <c r="AG73" s="121">
        <f t="shared" ref="AG73:AO73" si="148">AF128-AG128</f>
        <v>15451</v>
      </c>
      <c r="AH73" s="121">
        <f t="shared" si="148"/>
        <v>1827.2999999999884</v>
      </c>
      <c r="AI73" s="121">
        <f t="shared" si="148"/>
        <v>1468.7000000000116</v>
      </c>
      <c r="AJ73" s="121">
        <f t="shared" si="148"/>
        <v>27408</v>
      </c>
      <c r="AK73" s="121">
        <f t="shared" si="148"/>
        <v>-1419</v>
      </c>
      <c r="AL73" s="121">
        <f t="shared" si="148"/>
        <v>2481</v>
      </c>
      <c r="AM73" s="121">
        <f t="shared" si="148"/>
        <v>1009</v>
      </c>
      <c r="AN73" s="121">
        <f t="shared" si="148"/>
        <v>-168</v>
      </c>
      <c r="AO73" s="121">
        <f t="shared" si="148"/>
        <v>23415</v>
      </c>
      <c r="AP73" s="121">
        <f t="shared" ref="AP73" si="149">AO128-AP128</f>
        <v>3752</v>
      </c>
      <c r="AQ73" s="121">
        <f t="shared" ref="AQ73" si="150">AP128-AQ128</f>
        <v>-5551</v>
      </c>
      <c r="AR73" s="178">
        <v>6665</v>
      </c>
      <c r="AS73" s="178">
        <v>6665</v>
      </c>
      <c r="AT73" s="178">
        <v>6665</v>
      </c>
      <c r="AU73" s="178">
        <v>6665</v>
      </c>
      <c r="AV73" s="121">
        <f t="shared" ref="AV73:AV86" si="151">SUM(AJ73:AU73)</f>
        <v>77587</v>
      </c>
      <c r="AX73" s="175"/>
      <c r="AY73" s="113"/>
      <c r="AZ73" s="121">
        <v>6665</v>
      </c>
      <c r="BA73" s="121">
        <v>2000</v>
      </c>
      <c r="BB73" s="121">
        <v>2000</v>
      </c>
      <c r="BC73" s="121">
        <v>2000</v>
      </c>
      <c r="BD73" s="121">
        <v>2000</v>
      </c>
      <c r="BE73" s="121">
        <v>2000</v>
      </c>
      <c r="BF73" s="121">
        <v>2000</v>
      </c>
      <c r="BG73" s="121">
        <v>2000</v>
      </c>
      <c r="BH73" s="121">
        <v>2000</v>
      </c>
      <c r="BI73" s="121">
        <v>2000</v>
      </c>
      <c r="BJ73" s="121">
        <v>2000</v>
      </c>
      <c r="BK73" s="121">
        <v>2000</v>
      </c>
      <c r="BL73" s="121">
        <f t="shared" ref="BL73:BL77" si="152">SUM(AZ73:BK73)</f>
        <v>28665</v>
      </c>
    </row>
    <row r="74" spans="1:65" x14ac:dyDescent="0.25">
      <c r="A74" s="45"/>
      <c r="B74" t="s">
        <v>513</v>
      </c>
      <c r="C74" s="8"/>
      <c r="E74" s="8"/>
      <c r="G74" s="8"/>
      <c r="I74" s="8"/>
      <c r="K74" s="8"/>
      <c r="N74" s="121"/>
      <c r="Q74" s="113"/>
      <c r="R74" s="8">
        <f t="shared" ref="R74:R85" si="153">SUM(AJ74:AL74)</f>
        <v>0</v>
      </c>
      <c r="S74" s="8">
        <f t="shared" ref="S74:S86" si="154">SUM(AM74:AO74)</f>
        <v>0</v>
      </c>
      <c r="T74" s="8">
        <f t="shared" ref="T74:T86" si="155">SUM(AP74:AR74)</f>
        <v>0</v>
      </c>
      <c r="U74" s="121">
        <f t="shared" ref="U74:U86" si="156">SUM(AS74:AU74)</f>
        <v>0</v>
      </c>
      <c r="V74" s="8">
        <f t="shared" si="142"/>
        <v>0</v>
      </c>
      <c r="Y74" s="113"/>
      <c r="Z74" s="8">
        <f t="shared" si="143"/>
        <v>0</v>
      </c>
      <c r="AA74" s="8">
        <f t="shared" si="144"/>
        <v>0</v>
      </c>
      <c r="AB74" s="8">
        <f t="shared" si="145"/>
        <v>0</v>
      </c>
      <c r="AC74" s="8">
        <f t="shared" si="146"/>
        <v>0</v>
      </c>
      <c r="AD74" s="8">
        <f t="shared" si="147"/>
        <v>0</v>
      </c>
      <c r="AE74" s="113"/>
      <c r="AG74" s="121"/>
      <c r="AH74" s="121"/>
      <c r="AI74" s="121"/>
      <c r="AJ74" s="121"/>
      <c r="AK74" s="121"/>
      <c r="AL74" s="121"/>
      <c r="AM74" s="121"/>
      <c r="AN74" s="121"/>
      <c r="AO74" s="121"/>
      <c r="AP74" s="121"/>
      <c r="AQ74" s="121"/>
      <c r="AR74" s="178"/>
      <c r="AS74" s="178"/>
      <c r="AT74" s="178"/>
      <c r="AU74" s="178"/>
      <c r="AV74" s="121">
        <f t="shared" si="151"/>
        <v>0</v>
      </c>
      <c r="AX74" s="175"/>
      <c r="AY74" s="113"/>
      <c r="AZ74" s="121"/>
      <c r="BA74" s="121"/>
      <c r="BB74" s="121"/>
      <c r="BC74" s="121"/>
      <c r="BD74" s="121"/>
      <c r="BE74" s="121"/>
      <c r="BF74" s="121"/>
      <c r="BG74" s="121"/>
      <c r="BH74" s="121"/>
      <c r="BI74" s="121"/>
      <c r="BJ74" s="121"/>
      <c r="BK74" s="121"/>
      <c r="BL74" s="121">
        <f t="shared" si="152"/>
        <v>0</v>
      </c>
    </row>
    <row r="75" spans="1:65" x14ac:dyDescent="0.25">
      <c r="A75" s="45"/>
      <c r="B75" t="s">
        <v>483</v>
      </c>
      <c r="C75" s="8"/>
      <c r="E75" s="8"/>
      <c r="G75" s="8"/>
      <c r="I75" s="8"/>
      <c r="K75" s="8"/>
      <c r="N75" s="121">
        <v>69541</v>
      </c>
      <c r="Q75" s="113"/>
      <c r="R75" s="8">
        <f t="shared" si="153"/>
        <v>29552</v>
      </c>
      <c r="S75" s="8">
        <f t="shared" si="154"/>
        <v>9448</v>
      </c>
      <c r="T75" s="8">
        <f t="shared" si="155"/>
        <v>0</v>
      </c>
      <c r="U75" s="121">
        <f t="shared" si="156"/>
        <v>0</v>
      </c>
      <c r="V75" s="8">
        <f t="shared" si="142"/>
        <v>39000</v>
      </c>
      <c r="Y75" s="113"/>
      <c r="Z75" s="8">
        <f t="shared" si="143"/>
        <v>0</v>
      </c>
      <c r="AA75" s="8">
        <f t="shared" si="144"/>
        <v>0</v>
      </c>
      <c r="AB75" s="8">
        <f t="shared" si="145"/>
        <v>0</v>
      </c>
      <c r="AC75" s="8">
        <f t="shared" si="146"/>
        <v>0</v>
      </c>
      <c r="AD75" s="8">
        <f t="shared" si="147"/>
        <v>0</v>
      </c>
      <c r="AE75" s="113"/>
      <c r="AG75" s="121">
        <v>28007</v>
      </c>
      <c r="AH75" s="121">
        <v>23286</v>
      </c>
      <c r="AI75" s="121">
        <v>18248</v>
      </c>
      <c r="AJ75" s="121">
        <v>15342</v>
      </c>
      <c r="AK75" s="121">
        <v>10668</v>
      </c>
      <c r="AL75" s="121">
        <v>3542</v>
      </c>
      <c r="AM75" s="121">
        <f t="shared" ref="AM75:AN75" si="157">1181*4</f>
        <v>4724</v>
      </c>
      <c r="AN75" s="121">
        <f t="shared" si="157"/>
        <v>4724</v>
      </c>
      <c r="AO75" s="121"/>
      <c r="AP75" s="121"/>
      <c r="AQ75" s="121"/>
      <c r="AR75" s="178"/>
      <c r="AS75" s="178"/>
      <c r="AT75" s="178"/>
      <c r="AU75" s="178"/>
      <c r="AV75" s="121">
        <f t="shared" si="151"/>
        <v>39000</v>
      </c>
      <c r="AX75" s="175"/>
      <c r="AY75" s="113"/>
      <c r="AZ75" s="121"/>
      <c r="BA75" s="121"/>
      <c r="BB75" s="121"/>
      <c r="BC75" s="121"/>
      <c r="BD75" s="121"/>
      <c r="BE75" s="121"/>
      <c r="BF75" s="121"/>
      <c r="BG75" s="121"/>
      <c r="BH75" s="121"/>
      <c r="BI75" s="121"/>
      <c r="BJ75" s="121"/>
      <c r="BK75" s="121"/>
      <c r="BL75" s="121">
        <f t="shared" si="152"/>
        <v>0</v>
      </c>
    </row>
    <row r="76" spans="1:65" x14ac:dyDescent="0.25">
      <c r="A76" s="45"/>
      <c r="B76" t="s">
        <v>1802</v>
      </c>
      <c r="C76" s="8"/>
      <c r="E76" s="8"/>
      <c r="G76" s="8"/>
      <c r="I76" s="8"/>
      <c r="K76" s="8"/>
      <c r="N76" s="121">
        <v>25252</v>
      </c>
      <c r="Q76" s="113"/>
      <c r="R76" s="8">
        <f t="shared" si="153"/>
        <v>11131</v>
      </c>
      <c r="S76" s="8">
        <f t="shared" si="154"/>
        <v>-22942</v>
      </c>
      <c r="T76" s="8">
        <f t="shared" si="155"/>
        <v>3616</v>
      </c>
      <c r="U76" s="121">
        <f t="shared" si="156"/>
        <v>0</v>
      </c>
      <c r="V76" s="8">
        <f t="shared" si="142"/>
        <v>-8195</v>
      </c>
      <c r="Y76" s="113"/>
      <c r="Z76" s="8">
        <f t="shared" si="143"/>
        <v>0</v>
      </c>
      <c r="AA76" s="8">
        <f t="shared" si="144"/>
        <v>0</v>
      </c>
      <c r="AB76" s="8">
        <f t="shared" si="145"/>
        <v>0</v>
      </c>
      <c r="AC76" s="8">
        <f t="shared" si="146"/>
        <v>0</v>
      </c>
      <c r="AD76" s="8">
        <f t="shared" si="147"/>
        <v>0</v>
      </c>
      <c r="AE76" s="113"/>
      <c r="AG76" s="121">
        <v>2834</v>
      </c>
      <c r="AH76" s="121"/>
      <c r="AI76" s="121">
        <v>22418</v>
      </c>
      <c r="AJ76" s="121">
        <v>14150</v>
      </c>
      <c r="AK76" s="121">
        <f>AJ130-AK130</f>
        <v>-261</v>
      </c>
      <c r="AL76" s="121">
        <f t="shared" ref="AL76:AO76" si="158">AK130-AL130</f>
        <v>-2758</v>
      </c>
      <c r="AM76" s="121">
        <f t="shared" si="158"/>
        <v>-19492</v>
      </c>
      <c r="AN76" s="121">
        <f t="shared" si="158"/>
        <v>-8100</v>
      </c>
      <c r="AO76" s="121">
        <f t="shared" si="158"/>
        <v>4650</v>
      </c>
      <c r="AP76" s="121">
        <f t="shared" ref="AP76" si="159">AO130-AP130</f>
        <v>2376</v>
      </c>
      <c r="AQ76" s="121">
        <f t="shared" ref="AQ76" si="160">AP130-AQ130</f>
        <v>1240</v>
      </c>
      <c r="AR76" s="178"/>
      <c r="AS76" s="178"/>
      <c r="AT76" s="178"/>
      <c r="AU76" s="178"/>
      <c r="AV76" s="121">
        <f t="shared" si="151"/>
        <v>-8195</v>
      </c>
      <c r="AX76" s="175"/>
      <c r="AY76" s="113"/>
      <c r="AZ76" s="121"/>
      <c r="BA76" s="121"/>
      <c r="BB76" s="121"/>
      <c r="BC76" s="121"/>
      <c r="BD76" s="121"/>
      <c r="BE76" s="121"/>
      <c r="BF76" s="121"/>
      <c r="BG76" s="121"/>
      <c r="BH76" s="121"/>
      <c r="BI76" s="121"/>
      <c r="BJ76" s="121"/>
      <c r="BK76" s="121"/>
      <c r="BL76" s="121">
        <f t="shared" si="152"/>
        <v>0</v>
      </c>
    </row>
    <row r="77" spans="1:65" x14ac:dyDescent="0.25">
      <c r="A77" s="45"/>
      <c r="B77" t="s">
        <v>1868</v>
      </c>
      <c r="C77" s="8"/>
      <c r="E77" s="8"/>
      <c r="G77" s="8"/>
      <c r="I77" s="8"/>
      <c r="K77" s="8"/>
      <c r="N77" s="121"/>
      <c r="Q77" s="113"/>
      <c r="R77" s="8">
        <f t="shared" si="153"/>
        <v>1512</v>
      </c>
      <c r="S77" s="8">
        <f t="shared" si="154"/>
        <v>23436</v>
      </c>
      <c r="T77" s="8">
        <f t="shared" si="155"/>
        <v>22193</v>
      </c>
      <c r="U77" s="121">
        <f t="shared" si="156"/>
        <v>13238</v>
      </c>
      <c r="V77" s="8">
        <f t="shared" si="142"/>
        <v>60379</v>
      </c>
      <c r="Y77" s="113"/>
      <c r="Z77" s="8">
        <f t="shared" si="143"/>
        <v>0</v>
      </c>
      <c r="AA77" s="8">
        <f t="shared" si="144"/>
        <v>0</v>
      </c>
      <c r="AB77" s="8">
        <f t="shared" si="145"/>
        <v>0</v>
      </c>
      <c r="AC77" s="8">
        <f t="shared" si="146"/>
        <v>0</v>
      </c>
      <c r="AD77" s="8">
        <f t="shared" si="147"/>
        <v>0</v>
      </c>
      <c r="AE77" s="113"/>
      <c r="AG77" s="121"/>
      <c r="AH77" s="121"/>
      <c r="AI77" s="121"/>
      <c r="AJ77" s="121"/>
      <c r="AK77" s="121">
        <f>AJ131-AK131</f>
        <v>0</v>
      </c>
      <c r="AL77" s="121">
        <v>1512</v>
      </c>
      <c r="AM77" s="121">
        <v>8316</v>
      </c>
      <c r="AN77" s="121">
        <v>7938</v>
      </c>
      <c r="AO77" s="121">
        <v>7182</v>
      </c>
      <c r="AP77" s="121">
        <v>5939</v>
      </c>
      <c r="AQ77" s="121">
        <v>8316</v>
      </c>
      <c r="AR77" s="178">
        <v>7938</v>
      </c>
      <c r="AS77" s="178">
        <v>7938</v>
      </c>
      <c r="AT77" s="178">
        <v>5300</v>
      </c>
      <c r="AU77" s="178"/>
      <c r="AV77" s="121">
        <f t="shared" si="151"/>
        <v>60379</v>
      </c>
      <c r="AX77" s="175"/>
      <c r="AY77" s="113"/>
      <c r="AZ77" s="121"/>
      <c r="BA77" s="121"/>
      <c r="BB77" s="121"/>
      <c r="BC77" s="121"/>
      <c r="BD77" s="121"/>
      <c r="BE77" s="121"/>
      <c r="BF77" s="121"/>
      <c r="BG77" s="121"/>
      <c r="BH77" s="121"/>
      <c r="BI77" s="121"/>
      <c r="BJ77" s="121"/>
      <c r="BK77" s="121"/>
      <c r="BL77" s="121">
        <f t="shared" si="152"/>
        <v>0</v>
      </c>
    </row>
    <row r="78" spans="1:65" x14ac:dyDescent="0.25">
      <c r="A78" s="45"/>
      <c r="B78" t="s">
        <v>2131</v>
      </c>
      <c r="C78" s="8"/>
      <c r="E78" s="8"/>
      <c r="G78" s="8"/>
      <c r="I78" s="8"/>
      <c r="K78" s="8"/>
      <c r="N78" s="121"/>
      <c r="Q78" s="113"/>
      <c r="R78" s="8"/>
      <c r="S78" s="8"/>
      <c r="T78" s="8">
        <f t="shared" si="155"/>
        <v>15323</v>
      </c>
      <c r="U78" s="121">
        <f t="shared" si="156"/>
        <v>9912</v>
      </c>
      <c r="V78" s="8">
        <f t="shared" si="142"/>
        <v>25235</v>
      </c>
      <c r="Y78" s="113"/>
      <c r="Z78" s="8">
        <f t="shared" si="143"/>
        <v>0</v>
      </c>
      <c r="AA78" s="8">
        <f t="shared" si="144"/>
        <v>0</v>
      </c>
      <c r="AB78" s="8">
        <f t="shared" si="145"/>
        <v>0</v>
      </c>
      <c r="AC78" s="8">
        <f t="shared" si="146"/>
        <v>0</v>
      </c>
      <c r="AD78" s="8">
        <f t="shared" si="147"/>
        <v>0</v>
      </c>
      <c r="AE78" s="113"/>
      <c r="AG78" s="121"/>
      <c r="AH78" s="121"/>
      <c r="AI78" s="121"/>
      <c r="AJ78" s="121"/>
      <c r="AK78" s="121"/>
      <c r="AL78" s="121"/>
      <c r="AM78" s="121"/>
      <c r="AN78" s="121"/>
      <c r="AO78" s="121"/>
      <c r="AP78" s="121">
        <v>4712</v>
      </c>
      <c r="AQ78" s="121">
        <v>5655</v>
      </c>
      <c r="AR78" s="178">
        <v>4956</v>
      </c>
      <c r="AS78" s="178">
        <v>4956</v>
      </c>
      <c r="AT78" s="178">
        <v>4956</v>
      </c>
      <c r="AU78" s="178"/>
      <c r="AV78" s="121">
        <f t="shared" si="151"/>
        <v>25235</v>
      </c>
      <c r="AX78" s="175"/>
      <c r="AY78" s="113"/>
      <c r="AZ78" s="121"/>
      <c r="BA78" s="121"/>
      <c r="BB78" s="121"/>
      <c r="BC78" s="121"/>
      <c r="BD78" s="121"/>
      <c r="BE78" s="121"/>
      <c r="BF78" s="121"/>
      <c r="BG78" s="121"/>
      <c r="BH78" s="121"/>
      <c r="BI78" s="121"/>
      <c r="BJ78" s="121"/>
      <c r="BK78" s="121"/>
      <c r="BL78" s="121"/>
    </row>
    <row r="79" spans="1:65" x14ac:dyDescent="0.25">
      <c r="A79" s="45"/>
      <c r="B79" t="s">
        <v>1745</v>
      </c>
      <c r="C79" s="8"/>
      <c r="E79" s="8"/>
      <c r="G79" s="8"/>
      <c r="I79" s="8"/>
      <c r="K79" s="8"/>
      <c r="N79" s="121">
        <v>6921</v>
      </c>
      <c r="Q79" s="113"/>
      <c r="R79" s="8">
        <f t="shared" si="153"/>
        <v>13228</v>
      </c>
      <c r="S79" s="8">
        <f t="shared" si="154"/>
        <v>7605</v>
      </c>
      <c r="T79" s="8">
        <f t="shared" si="155"/>
        <v>0</v>
      </c>
      <c r="U79" s="121">
        <f t="shared" si="156"/>
        <v>0</v>
      </c>
      <c r="V79" s="8">
        <f t="shared" si="142"/>
        <v>20833</v>
      </c>
      <c r="Y79" s="113"/>
      <c r="Z79" s="8">
        <f t="shared" si="143"/>
        <v>0</v>
      </c>
      <c r="AA79" s="8">
        <f t="shared" si="144"/>
        <v>0</v>
      </c>
      <c r="AB79" s="8">
        <f t="shared" si="145"/>
        <v>0</v>
      </c>
      <c r="AC79" s="8">
        <f t="shared" si="146"/>
        <v>0</v>
      </c>
      <c r="AD79" s="8">
        <f t="shared" si="147"/>
        <v>0</v>
      </c>
      <c r="AE79" s="113"/>
      <c r="AG79" s="121"/>
      <c r="AH79" s="121">
        <v>2273</v>
      </c>
      <c r="AI79" s="121">
        <v>4648</v>
      </c>
      <c r="AJ79" s="121">
        <v>5689</v>
      </c>
      <c r="AK79" s="121">
        <v>5783</v>
      </c>
      <c r="AL79" s="121">
        <v>1756</v>
      </c>
      <c r="AM79" s="121">
        <f t="shared" ref="AM79:AO79" si="161">585*4</f>
        <v>2340</v>
      </c>
      <c r="AN79" s="121">
        <v>2925</v>
      </c>
      <c r="AO79" s="121">
        <f t="shared" si="161"/>
        <v>2340</v>
      </c>
      <c r="AP79" s="121"/>
      <c r="AQ79" s="121"/>
      <c r="AR79" s="178"/>
      <c r="AS79" s="178"/>
      <c r="AT79" s="178"/>
      <c r="AU79" s="178"/>
      <c r="AV79" s="121">
        <f t="shared" si="151"/>
        <v>20833</v>
      </c>
      <c r="AX79" s="175"/>
      <c r="AY79" s="113"/>
      <c r="AZ79" s="121"/>
      <c r="BA79" s="121"/>
      <c r="BB79" s="121"/>
      <c r="BC79" s="121"/>
      <c r="BD79" s="121"/>
      <c r="BE79" s="121"/>
      <c r="BF79" s="121"/>
      <c r="BG79" s="121"/>
      <c r="BH79" s="121"/>
      <c r="BI79" s="121"/>
      <c r="BJ79" s="121"/>
      <c r="BK79" s="121"/>
      <c r="BL79" s="121">
        <f t="shared" ref="BL79:BL86" si="162">SUM(AZ79:BK79)</f>
        <v>0</v>
      </c>
    </row>
    <row r="80" spans="1:65" x14ac:dyDescent="0.25">
      <c r="A80" s="45"/>
      <c r="B80" t="s">
        <v>514</v>
      </c>
      <c r="C80" s="8"/>
      <c r="E80" s="8"/>
      <c r="G80" s="8"/>
      <c r="I80" s="8"/>
      <c r="K80" s="8"/>
      <c r="N80" s="121">
        <v>8924</v>
      </c>
      <c r="Q80" s="113"/>
      <c r="R80" s="8">
        <f t="shared" si="153"/>
        <v>9262</v>
      </c>
      <c r="S80" s="8">
        <f t="shared" si="154"/>
        <v>10261</v>
      </c>
      <c r="T80" s="8">
        <f t="shared" si="155"/>
        <v>10424</v>
      </c>
      <c r="U80" s="121">
        <f t="shared" si="156"/>
        <v>11439</v>
      </c>
      <c r="V80" s="8">
        <f t="shared" si="142"/>
        <v>41386</v>
      </c>
      <c r="Y80" s="113"/>
      <c r="Z80" s="8">
        <f t="shared" si="143"/>
        <v>11439</v>
      </c>
      <c r="AA80" s="8">
        <f t="shared" si="144"/>
        <v>11439</v>
      </c>
      <c r="AB80" s="8">
        <f t="shared" si="145"/>
        <v>0</v>
      </c>
      <c r="AC80" s="8">
        <f t="shared" si="146"/>
        <v>0</v>
      </c>
      <c r="AD80" s="8">
        <f t="shared" si="147"/>
        <v>22878</v>
      </c>
      <c r="AE80" s="113"/>
      <c r="AG80" s="121">
        <v>2938</v>
      </c>
      <c r="AH80" s="121">
        <v>2974</v>
      </c>
      <c r="AI80" s="121">
        <v>3012</v>
      </c>
      <c r="AJ80" s="121">
        <v>3049</v>
      </c>
      <c r="AK80" s="121">
        <v>6213</v>
      </c>
      <c r="AL80" s="121">
        <v>0</v>
      </c>
      <c r="AM80" s="121">
        <v>3813</v>
      </c>
      <c r="AN80" s="121">
        <v>3204</v>
      </c>
      <c r="AO80" s="121">
        <v>3244</v>
      </c>
      <c r="AP80" s="121">
        <v>3285</v>
      </c>
      <c r="AQ80" s="121">
        <v>3326</v>
      </c>
      <c r="AR80" s="178">
        <v>3813</v>
      </c>
      <c r="AS80" s="178">
        <v>3813</v>
      </c>
      <c r="AT80" s="178">
        <v>3813</v>
      </c>
      <c r="AU80" s="178">
        <v>3813</v>
      </c>
      <c r="AV80" s="121">
        <f t="shared" si="151"/>
        <v>41386</v>
      </c>
      <c r="AX80" s="175"/>
      <c r="AY80" s="113"/>
      <c r="AZ80" s="121">
        <v>3813</v>
      </c>
      <c r="BA80" s="121">
        <v>3813</v>
      </c>
      <c r="BB80" s="121">
        <v>3813</v>
      </c>
      <c r="BC80" s="121">
        <v>3813</v>
      </c>
      <c r="BD80" s="121">
        <v>3813</v>
      </c>
      <c r="BE80" s="121">
        <v>3813</v>
      </c>
      <c r="BF80" s="121"/>
      <c r="BG80" s="121"/>
      <c r="BH80" s="121"/>
      <c r="BI80" s="121"/>
      <c r="BJ80" s="121"/>
      <c r="BK80" s="121"/>
      <c r="BL80" s="121">
        <f t="shared" si="162"/>
        <v>22878</v>
      </c>
    </row>
    <row r="81" spans="1:64" x14ac:dyDescent="0.25">
      <c r="A81" s="45"/>
      <c r="B81" t="s">
        <v>515</v>
      </c>
      <c r="C81" s="8"/>
      <c r="E81" s="8"/>
      <c r="G81" s="8"/>
      <c r="I81" s="8"/>
      <c r="K81" s="8"/>
      <c r="N81" s="121">
        <v>11388</v>
      </c>
      <c r="Q81" s="113"/>
      <c r="R81" s="8">
        <f t="shared" si="153"/>
        <v>8608</v>
      </c>
      <c r="S81" s="8">
        <f t="shared" si="154"/>
        <v>4806</v>
      </c>
      <c r="T81" s="8">
        <f t="shared" si="155"/>
        <v>2822</v>
      </c>
      <c r="U81" s="121">
        <f t="shared" si="156"/>
        <v>1000</v>
      </c>
      <c r="V81" s="8">
        <f t="shared" si="142"/>
        <v>17236</v>
      </c>
      <c r="Y81" s="113"/>
      <c r="Z81" s="8">
        <f t="shared" si="143"/>
        <v>0</v>
      </c>
      <c r="AA81" s="8">
        <f t="shared" si="144"/>
        <v>0</v>
      </c>
      <c r="AB81" s="8">
        <f t="shared" si="145"/>
        <v>0</v>
      </c>
      <c r="AC81" s="8">
        <f t="shared" si="146"/>
        <v>0</v>
      </c>
      <c r="AD81" s="8">
        <f t="shared" si="147"/>
        <v>0</v>
      </c>
      <c r="AE81" s="113"/>
      <c r="AG81" s="121">
        <v>5486</v>
      </c>
      <c r="AH81" s="121">
        <v>3617</v>
      </c>
      <c r="AI81" s="121">
        <v>2285</v>
      </c>
      <c r="AJ81" s="121">
        <v>3580</v>
      </c>
      <c r="AK81" s="121">
        <v>1973</v>
      </c>
      <c r="AL81" s="121">
        <v>3055</v>
      </c>
      <c r="AM81" s="121">
        <v>3000</v>
      </c>
      <c r="AN81" s="121">
        <v>896</v>
      </c>
      <c r="AO81" s="121">
        <v>910</v>
      </c>
      <c r="AP81" s="121">
        <v>968</v>
      </c>
      <c r="AQ81" s="121">
        <v>854</v>
      </c>
      <c r="AR81" s="178">
        <v>1000</v>
      </c>
      <c r="AS81" s="178">
        <v>1000</v>
      </c>
      <c r="AT81" s="178"/>
      <c r="AU81" s="178"/>
      <c r="AV81" s="121">
        <f t="shared" si="151"/>
        <v>17236</v>
      </c>
      <c r="AX81" s="175"/>
      <c r="AY81" s="113"/>
      <c r="AZ81" s="121"/>
      <c r="BA81" s="121"/>
      <c r="BB81" s="121"/>
      <c r="BC81" s="121"/>
      <c r="BD81" s="121"/>
      <c r="BE81" s="121"/>
      <c r="BF81" s="121"/>
      <c r="BG81" s="121"/>
      <c r="BH81" s="121"/>
      <c r="BI81" s="121"/>
      <c r="BJ81" s="121"/>
      <c r="BK81" s="121"/>
      <c r="BL81" s="121">
        <f t="shared" si="162"/>
        <v>0</v>
      </c>
    </row>
    <row r="82" spans="1:64" x14ac:dyDescent="0.25">
      <c r="A82" s="45"/>
      <c r="B82" t="s">
        <v>484</v>
      </c>
      <c r="C82" s="8"/>
      <c r="E82" s="8"/>
      <c r="G82" s="8"/>
      <c r="I82" s="8"/>
      <c r="K82" s="8"/>
      <c r="N82" s="121">
        <v>11585</v>
      </c>
      <c r="Q82" s="113"/>
      <c r="R82" s="8">
        <f t="shared" si="153"/>
        <v>1680</v>
      </c>
      <c r="S82" s="8">
        <f t="shared" si="154"/>
        <v>3830</v>
      </c>
      <c r="T82" s="8">
        <f t="shared" si="155"/>
        <v>3225</v>
      </c>
      <c r="U82" s="121">
        <f t="shared" si="156"/>
        <v>1075</v>
      </c>
      <c r="V82" s="8">
        <f t="shared" si="142"/>
        <v>9810</v>
      </c>
      <c r="Y82" s="113"/>
      <c r="Z82" s="8">
        <f t="shared" si="143"/>
        <v>0</v>
      </c>
      <c r="AA82" s="8">
        <f t="shared" si="144"/>
        <v>0</v>
      </c>
      <c r="AB82" s="8">
        <f t="shared" si="145"/>
        <v>0</v>
      </c>
      <c r="AC82" s="8">
        <f t="shared" si="146"/>
        <v>0</v>
      </c>
      <c r="AD82" s="8">
        <f t="shared" si="147"/>
        <v>0</v>
      </c>
      <c r="AE82" s="113"/>
      <c r="AG82" s="121">
        <v>3853</v>
      </c>
      <c r="AH82" s="121">
        <v>3888</v>
      </c>
      <c r="AI82" s="121">
        <v>3844</v>
      </c>
      <c r="AJ82" s="121"/>
      <c r="AK82" s="121">
        <v>1680</v>
      </c>
      <c r="AL82" s="121">
        <v>0</v>
      </c>
      <c r="AM82" s="121">
        <v>1680</v>
      </c>
      <c r="AN82" s="121">
        <v>1075</v>
      </c>
      <c r="AO82" s="121">
        <v>1075</v>
      </c>
      <c r="AP82" s="121">
        <v>1075</v>
      </c>
      <c r="AQ82" s="121">
        <v>1075</v>
      </c>
      <c r="AR82" s="178">
        <v>1075</v>
      </c>
      <c r="AS82" s="178">
        <v>1075</v>
      </c>
      <c r="AT82" s="178"/>
      <c r="AU82" s="178"/>
      <c r="AV82" s="121">
        <f t="shared" si="151"/>
        <v>9810</v>
      </c>
      <c r="AX82" s="175"/>
      <c r="AY82" s="113"/>
      <c r="AZ82" s="121"/>
      <c r="BA82" s="121"/>
      <c r="BB82" s="121"/>
      <c r="BC82" s="121"/>
      <c r="BD82" s="121"/>
      <c r="BE82" s="121"/>
      <c r="BF82" s="121"/>
      <c r="BG82" s="121"/>
      <c r="BH82" s="121"/>
      <c r="BI82" s="121"/>
      <c r="BJ82" s="121"/>
      <c r="BK82" s="121"/>
      <c r="BL82" s="121">
        <f t="shared" si="162"/>
        <v>0</v>
      </c>
    </row>
    <row r="83" spans="1:64" x14ac:dyDescent="0.25">
      <c r="A83" s="45"/>
      <c r="B83" t="s">
        <v>485</v>
      </c>
      <c r="C83" s="8"/>
      <c r="E83" s="8"/>
      <c r="G83" s="8"/>
      <c r="I83" s="8"/>
      <c r="K83" s="8"/>
      <c r="N83" s="121">
        <v>5624</v>
      </c>
      <c r="P83" s="43"/>
      <c r="Q83" s="113"/>
      <c r="R83" s="8">
        <f t="shared" si="153"/>
        <v>1704</v>
      </c>
      <c r="S83" s="8">
        <f t="shared" si="154"/>
        <v>1357</v>
      </c>
      <c r="T83" s="8">
        <f t="shared" si="155"/>
        <v>2484</v>
      </c>
      <c r="U83" s="121">
        <f t="shared" si="156"/>
        <v>1500</v>
      </c>
      <c r="V83" s="8">
        <f t="shared" si="142"/>
        <v>7045</v>
      </c>
      <c r="Y83" s="113"/>
      <c r="Z83" s="8">
        <f t="shared" si="143"/>
        <v>0</v>
      </c>
      <c r="AA83" s="8">
        <f t="shared" si="144"/>
        <v>0</v>
      </c>
      <c r="AB83" s="8">
        <f t="shared" si="145"/>
        <v>0</v>
      </c>
      <c r="AC83" s="8">
        <f t="shared" si="146"/>
        <v>0</v>
      </c>
      <c r="AD83" s="8">
        <f t="shared" si="147"/>
        <v>0</v>
      </c>
      <c r="AE83" s="113"/>
      <c r="AG83" s="121">
        <v>954</v>
      </c>
      <c r="AH83" s="121">
        <v>2558</v>
      </c>
      <c r="AI83" s="121">
        <v>2112</v>
      </c>
      <c r="AJ83" s="121">
        <v>639</v>
      </c>
      <c r="AK83" s="121">
        <v>611</v>
      </c>
      <c r="AL83" s="121">
        <v>454</v>
      </c>
      <c r="AM83" s="121">
        <v>400</v>
      </c>
      <c r="AN83" s="121">
        <v>554</v>
      </c>
      <c r="AO83" s="121">
        <v>403</v>
      </c>
      <c r="AP83" s="121">
        <v>924</v>
      </c>
      <c r="AQ83" s="121">
        <v>1060</v>
      </c>
      <c r="AR83" s="178">
        <v>500</v>
      </c>
      <c r="AS83" s="178">
        <v>500</v>
      </c>
      <c r="AT83" s="178">
        <v>500</v>
      </c>
      <c r="AU83" s="178">
        <v>500</v>
      </c>
      <c r="AV83" s="121">
        <f t="shared" si="151"/>
        <v>7045</v>
      </c>
      <c r="AX83" s="175"/>
      <c r="AY83" s="113"/>
      <c r="AZ83" s="121"/>
      <c r="BA83" s="121"/>
      <c r="BB83" s="121"/>
      <c r="BC83" s="121"/>
      <c r="BD83" s="121"/>
      <c r="BE83" s="121"/>
      <c r="BF83" s="121"/>
      <c r="BG83" s="121"/>
      <c r="BH83" s="121"/>
      <c r="BI83" s="121"/>
      <c r="BJ83" s="121"/>
      <c r="BK83" s="121"/>
      <c r="BL83" s="121">
        <f t="shared" si="162"/>
        <v>0</v>
      </c>
    </row>
    <row r="84" spans="1:64" x14ac:dyDescent="0.25">
      <c r="A84" s="45"/>
      <c r="B84" t="s">
        <v>250</v>
      </c>
      <c r="C84" s="8"/>
      <c r="E84" s="8"/>
      <c r="G84" s="8"/>
      <c r="I84" s="8"/>
      <c r="K84" s="8"/>
      <c r="N84" s="121">
        <v>17603</v>
      </c>
      <c r="Q84" s="113"/>
      <c r="R84" s="8">
        <f t="shared" si="153"/>
        <v>17142</v>
      </c>
      <c r="S84" s="8">
        <f t="shared" si="154"/>
        <v>17388</v>
      </c>
      <c r="T84" s="8">
        <f t="shared" si="155"/>
        <v>9229</v>
      </c>
      <c r="U84" s="121">
        <f t="shared" si="156"/>
        <v>0</v>
      </c>
      <c r="V84" s="8">
        <f t="shared" si="142"/>
        <v>43759</v>
      </c>
      <c r="Y84" s="113"/>
      <c r="Z84" s="8">
        <f t="shared" si="143"/>
        <v>0</v>
      </c>
      <c r="AA84" s="8">
        <f t="shared" si="144"/>
        <v>0</v>
      </c>
      <c r="AB84" s="8">
        <f t="shared" si="145"/>
        <v>0</v>
      </c>
      <c r="AC84" s="8">
        <f t="shared" si="146"/>
        <v>0</v>
      </c>
      <c r="AD84" s="8">
        <f t="shared" si="147"/>
        <v>0</v>
      </c>
      <c r="AE84" s="113"/>
      <c r="AG84" s="121">
        <v>5984</v>
      </c>
      <c r="AH84" s="121">
        <v>3433</v>
      </c>
      <c r="AI84" s="121">
        <v>8186</v>
      </c>
      <c r="AJ84" s="121">
        <v>3164</v>
      </c>
      <c r="AK84" s="121">
        <v>6111</v>
      </c>
      <c r="AL84" s="121">
        <v>7867</v>
      </c>
      <c r="AM84" s="121">
        <v>5635</v>
      </c>
      <c r="AN84" s="121">
        <v>4866</v>
      </c>
      <c r="AO84" s="121">
        <v>6887</v>
      </c>
      <c r="AP84" s="121">
        <v>6058</v>
      </c>
      <c r="AQ84" s="121">
        <v>3171</v>
      </c>
      <c r="AR84" s="178"/>
      <c r="AS84" s="178"/>
      <c r="AT84" s="178"/>
      <c r="AU84" s="178"/>
      <c r="AV84" s="121">
        <f t="shared" si="151"/>
        <v>43759</v>
      </c>
      <c r="AX84" s="175"/>
      <c r="AY84" s="113"/>
      <c r="AZ84" s="121"/>
      <c r="BA84" s="121"/>
      <c r="BB84" s="121"/>
      <c r="BC84" s="121"/>
      <c r="BD84" s="121"/>
      <c r="BE84" s="121"/>
      <c r="BF84" s="121"/>
      <c r="BG84" s="121"/>
      <c r="BH84" s="121"/>
      <c r="BI84" s="121"/>
      <c r="BJ84" s="121"/>
      <c r="BK84" s="121"/>
      <c r="BL84" s="121">
        <f t="shared" si="162"/>
        <v>0</v>
      </c>
    </row>
    <row r="85" spans="1:64" x14ac:dyDescent="0.25">
      <c r="A85" s="45"/>
      <c r="B85" t="s">
        <v>2136</v>
      </c>
      <c r="C85" s="8"/>
      <c r="E85" s="8"/>
      <c r="G85" s="8"/>
      <c r="I85" s="8"/>
      <c r="K85" s="8"/>
      <c r="N85" s="121"/>
      <c r="Q85" s="113"/>
      <c r="R85" s="8">
        <f t="shared" si="153"/>
        <v>0</v>
      </c>
      <c r="S85" s="8">
        <f t="shared" si="154"/>
        <v>0</v>
      </c>
      <c r="T85" s="8">
        <f t="shared" si="155"/>
        <v>0</v>
      </c>
      <c r="U85" s="121">
        <f t="shared" si="156"/>
        <v>0</v>
      </c>
      <c r="V85" s="8">
        <f t="shared" si="142"/>
        <v>0</v>
      </c>
      <c r="Y85" s="113"/>
      <c r="Z85" s="8">
        <f t="shared" si="143"/>
        <v>0</v>
      </c>
      <c r="AA85" s="8">
        <f t="shared" si="144"/>
        <v>4707</v>
      </c>
      <c r="AB85" s="8">
        <f t="shared" si="145"/>
        <v>14121</v>
      </c>
      <c r="AC85" s="8">
        <f t="shared" si="146"/>
        <v>14121</v>
      </c>
      <c r="AD85" s="8">
        <f t="shared" si="147"/>
        <v>32949</v>
      </c>
      <c r="AE85" s="113"/>
      <c r="AG85" s="121"/>
      <c r="AH85" s="121"/>
      <c r="AI85" s="121"/>
      <c r="AJ85" s="121"/>
      <c r="AK85" s="121"/>
      <c r="AL85" s="121"/>
      <c r="AM85" s="121"/>
      <c r="AN85" s="121"/>
      <c r="AO85" s="121"/>
      <c r="AP85" s="121"/>
      <c r="AQ85" s="121"/>
      <c r="AR85" s="178"/>
      <c r="AS85" s="178"/>
      <c r="AT85" s="178"/>
      <c r="AU85" s="178"/>
      <c r="AV85" s="121">
        <f t="shared" si="151"/>
        <v>0</v>
      </c>
      <c r="AX85" s="175"/>
      <c r="AY85" s="113"/>
      <c r="AZ85" s="121"/>
      <c r="BA85" s="121"/>
      <c r="BB85" s="121"/>
      <c r="BC85" s="121"/>
      <c r="BD85" s="121"/>
      <c r="BE85" s="121">
        <v>4707</v>
      </c>
      <c r="BF85" s="121">
        <v>4707</v>
      </c>
      <c r="BG85" s="121">
        <v>4707</v>
      </c>
      <c r="BH85" s="121">
        <v>4707</v>
      </c>
      <c r="BI85" s="121">
        <v>4707</v>
      </c>
      <c r="BJ85" s="121">
        <v>4707</v>
      </c>
      <c r="BK85" s="121">
        <v>4707</v>
      </c>
      <c r="BL85" s="121">
        <f t="shared" si="162"/>
        <v>32949</v>
      </c>
    </row>
    <row r="86" spans="1:64" x14ac:dyDescent="0.25">
      <c r="B86" t="s">
        <v>510</v>
      </c>
      <c r="C86" s="8">
        <f>QB!F99</f>
        <v>10146.969999999999</v>
      </c>
      <c r="D86" s="41">
        <f t="shared" ref="D86" si="163">C86/C$15</f>
        <v>7.9219428605521482E-3</v>
      </c>
      <c r="E86" s="8">
        <f>QB!K99</f>
        <v>2481.65</v>
      </c>
      <c r="F86" s="41">
        <f>E86/E$15</f>
        <v>1.1440101969748013E-3</v>
      </c>
      <c r="G86" s="8">
        <f>QB!P99</f>
        <v>8155.74</v>
      </c>
      <c r="H86" s="41">
        <f>G86/G$15</f>
        <v>3.7039607043201357E-3</v>
      </c>
      <c r="I86" s="8" t="e">
        <f>SUM(#REF!)</f>
        <v>#REF!</v>
      </c>
      <c r="J86" s="41" t="e">
        <f>I86/I$15</f>
        <v>#REF!</v>
      </c>
      <c r="K86" s="8" t="e">
        <f>I86*0.9/4</f>
        <v>#REF!</v>
      </c>
      <c r="L86" s="8" t="e">
        <f>K86</f>
        <v>#REF!</v>
      </c>
      <c r="M86" s="8" t="e">
        <f t="shared" ref="M86" si="164">L86</f>
        <v>#REF!</v>
      </c>
      <c r="N86" s="8"/>
      <c r="O86" s="8"/>
      <c r="Q86" s="113"/>
      <c r="R86" s="8">
        <f>SUM(AJ86:AL86)</f>
        <v>-5480</v>
      </c>
      <c r="S86" s="8">
        <f t="shared" si="154"/>
        <v>-4030</v>
      </c>
      <c r="T86" s="8">
        <f t="shared" si="155"/>
        <v>-2687</v>
      </c>
      <c r="U86" s="121">
        <f t="shared" si="156"/>
        <v>-900</v>
      </c>
      <c r="V86" s="8">
        <f t="shared" si="142"/>
        <v>-13097</v>
      </c>
      <c r="Y86" s="113"/>
      <c r="Z86" s="8">
        <f t="shared" si="143"/>
        <v>-600</v>
      </c>
      <c r="AA86" s="8">
        <f t="shared" si="144"/>
        <v>-300</v>
      </c>
      <c r="AB86" s="8">
        <f t="shared" si="145"/>
        <v>-300</v>
      </c>
      <c r="AC86" s="8">
        <f t="shared" si="146"/>
        <v>-300</v>
      </c>
      <c r="AD86" s="8">
        <f t="shared" si="147"/>
        <v>-1500</v>
      </c>
      <c r="AE86" s="113"/>
      <c r="AF86" s="122">
        <v>15052</v>
      </c>
      <c r="AG86" s="122"/>
      <c r="AH86" s="122"/>
      <c r="AI86" s="122"/>
      <c r="AJ86" s="122">
        <f t="shared" ref="AJ86:AU86" si="165">1200-AJ67</f>
        <v>-2599</v>
      </c>
      <c r="AK86" s="122">
        <f t="shared" si="165"/>
        <v>-2409</v>
      </c>
      <c r="AL86" s="122">
        <v>-472</v>
      </c>
      <c r="AM86" s="122">
        <f t="shared" si="165"/>
        <v>-3913</v>
      </c>
      <c r="AN86" s="122">
        <v>-117</v>
      </c>
      <c r="AO86" s="122">
        <v>0</v>
      </c>
      <c r="AP86" s="122">
        <f t="shared" si="165"/>
        <v>-110</v>
      </c>
      <c r="AQ86" s="122">
        <f t="shared" si="165"/>
        <v>-2305</v>
      </c>
      <c r="AR86" s="201">
        <f t="shared" si="165"/>
        <v>-272</v>
      </c>
      <c r="AS86" s="201">
        <f t="shared" si="165"/>
        <v>-300</v>
      </c>
      <c r="AT86" s="201">
        <f t="shared" si="165"/>
        <v>-300</v>
      </c>
      <c r="AU86" s="201">
        <f t="shared" si="165"/>
        <v>-300</v>
      </c>
      <c r="AV86" s="121">
        <f t="shared" si="151"/>
        <v>-13097</v>
      </c>
      <c r="AX86" s="143" t="s">
        <v>2123</v>
      </c>
      <c r="AY86" s="113"/>
      <c r="AZ86" s="122">
        <v>-200</v>
      </c>
      <c r="BA86" s="122">
        <v>-200</v>
      </c>
      <c r="BB86" s="122">
        <v>-200</v>
      </c>
      <c r="BC86" s="122">
        <v>-100</v>
      </c>
      <c r="BD86" s="122">
        <v>-100</v>
      </c>
      <c r="BE86" s="122">
        <v>-100</v>
      </c>
      <c r="BF86" s="122">
        <v>-100</v>
      </c>
      <c r="BG86" s="122">
        <v>-100</v>
      </c>
      <c r="BH86" s="122">
        <v>-100</v>
      </c>
      <c r="BI86" s="122">
        <v>-100</v>
      </c>
      <c r="BJ86" s="122">
        <v>-100</v>
      </c>
      <c r="BK86" s="122">
        <v>-100</v>
      </c>
      <c r="BL86" s="121">
        <f t="shared" si="162"/>
        <v>-1500</v>
      </c>
    </row>
    <row r="87" spans="1:64" x14ac:dyDescent="0.25">
      <c r="B87" t="s">
        <v>1799</v>
      </c>
      <c r="C87" s="8"/>
      <c r="E87" s="8"/>
      <c r="G87" s="8"/>
      <c r="I87" s="8"/>
      <c r="K87" s="8"/>
      <c r="L87" s="8"/>
      <c r="M87" s="8"/>
      <c r="N87" s="123">
        <f t="shared" ref="N87" si="166">SUM(N73:N86)</f>
        <v>175585</v>
      </c>
      <c r="O87" s="8"/>
      <c r="Q87" s="113"/>
      <c r="R87" s="123">
        <f t="shared" ref="R87:V87" si="167">SUM(R73:R86)</f>
        <v>116809</v>
      </c>
      <c r="S87" s="123">
        <f t="shared" si="167"/>
        <v>75415</v>
      </c>
      <c r="T87" s="123">
        <f t="shared" si="167"/>
        <v>71495</v>
      </c>
      <c r="U87" s="123">
        <f t="shared" si="167"/>
        <v>57259</v>
      </c>
      <c r="V87" s="123">
        <f t="shared" si="167"/>
        <v>320978</v>
      </c>
      <c r="Y87" s="113"/>
      <c r="Z87" s="123">
        <f t="shared" ref="Z87:AC87" si="168">SUM(Z73:Z86)</f>
        <v>21504</v>
      </c>
      <c r="AA87" s="123">
        <f t="shared" si="168"/>
        <v>21846</v>
      </c>
      <c r="AB87" s="123">
        <f t="shared" si="168"/>
        <v>19821</v>
      </c>
      <c r="AC87" s="123">
        <f t="shared" si="168"/>
        <v>19821</v>
      </c>
      <c r="AD87" s="123">
        <f t="shared" ref="AD87" si="169">SUM(AD73:AD86)</f>
        <v>82992</v>
      </c>
      <c r="AE87" s="113"/>
      <c r="AF87" s="121">
        <f t="shared" ref="AF87:AI87" si="170">SUM(AF73:AF86)</f>
        <v>15052</v>
      </c>
      <c r="AG87" s="123">
        <f t="shared" si="170"/>
        <v>65507</v>
      </c>
      <c r="AH87" s="123">
        <f t="shared" si="170"/>
        <v>43856.299999999988</v>
      </c>
      <c r="AI87" s="123">
        <f t="shared" si="170"/>
        <v>66221.700000000012</v>
      </c>
      <c r="AJ87" s="123">
        <f>SUM(AJ73:AJ86)</f>
        <v>70422</v>
      </c>
      <c r="AK87" s="123">
        <f t="shared" ref="AK87:AV87" si="171">SUM(AK73:AK86)</f>
        <v>28950</v>
      </c>
      <c r="AL87" s="123">
        <f t="shared" si="171"/>
        <v>17437</v>
      </c>
      <c r="AM87" s="123">
        <f t="shared" si="171"/>
        <v>7512</v>
      </c>
      <c r="AN87" s="123">
        <f t="shared" si="171"/>
        <v>17797</v>
      </c>
      <c r="AO87" s="123">
        <f t="shared" si="171"/>
        <v>50106</v>
      </c>
      <c r="AP87" s="123">
        <f t="shared" si="171"/>
        <v>28979</v>
      </c>
      <c r="AQ87" s="123">
        <f t="shared" si="171"/>
        <v>16841</v>
      </c>
      <c r="AR87" s="251">
        <f t="shared" si="171"/>
        <v>25675</v>
      </c>
      <c r="AS87" s="251">
        <f t="shared" si="171"/>
        <v>25647</v>
      </c>
      <c r="AT87" s="251">
        <f t="shared" si="171"/>
        <v>20934</v>
      </c>
      <c r="AU87" s="251">
        <f t="shared" si="171"/>
        <v>10678</v>
      </c>
      <c r="AV87" s="123">
        <f t="shared" si="171"/>
        <v>320978</v>
      </c>
      <c r="AY87" s="113"/>
      <c r="AZ87" s="123">
        <f>SUM(AZ73:AZ86)</f>
        <v>10278</v>
      </c>
      <c r="BA87" s="123">
        <f t="shared" ref="BA87:BL87" si="172">SUM(BA73:BA86)</f>
        <v>5613</v>
      </c>
      <c r="BB87" s="123">
        <f t="shared" si="172"/>
        <v>5613</v>
      </c>
      <c r="BC87" s="123">
        <f t="shared" si="172"/>
        <v>5713</v>
      </c>
      <c r="BD87" s="123">
        <f t="shared" si="172"/>
        <v>5713</v>
      </c>
      <c r="BE87" s="123">
        <f t="shared" si="172"/>
        <v>10420</v>
      </c>
      <c r="BF87" s="123">
        <f t="shared" si="172"/>
        <v>6607</v>
      </c>
      <c r="BG87" s="123">
        <f t="shared" si="172"/>
        <v>6607</v>
      </c>
      <c r="BH87" s="123">
        <f t="shared" si="172"/>
        <v>6607</v>
      </c>
      <c r="BI87" s="123">
        <f t="shared" si="172"/>
        <v>6607</v>
      </c>
      <c r="BJ87" s="123">
        <f t="shared" si="172"/>
        <v>6607</v>
      </c>
      <c r="BK87" s="123">
        <f t="shared" si="172"/>
        <v>6607</v>
      </c>
      <c r="BL87" s="123">
        <f t="shared" si="172"/>
        <v>82992</v>
      </c>
    </row>
    <row r="88" spans="1:64" x14ac:dyDescent="0.25">
      <c r="A88" s="45" t="s">
        <v>1798</v>
      </c>
      <c r="C88" s="8"/>
      <c r="E88" s="8"/>
      <c r="G88" s="8"/>
      <c r="I88" s="8"/>
      <c r="K88" s="8"/>
      <c r="L88" s="8"/>
      <c r="M88" s="8"/>
      <c r="N88" s="121">
        <f>N71-N87</f>
        <v>-225345</v>
      </c>
      <c r="O88" s="8"/>
      <c r="Q88" s="113"/>
      <c r="R88" s="121">
        <f>R71-R87</f>
        <v>-232067</v>
      </c>
      <c r="S88" s="121">
        <f>S71-S87</f>
        <v>-136114</v>
      </c>
      <c r="T88" s="121">
        <f>T71-T87</f>
        <v>-94972</v>
      </c>
      <c r="U88" s="121">
        <f>U71-U87</f>
        <v>-30228.239999999991</v>
      </c>
      <c r="V88" s="121">
        <f>V71-V87</f>
        <v>-493381.24</v>
      </c>
      <c r="Y88" s="113"/>
      <c r="Z88" s="121">
        <f>Z71-Z87</f>
        <v>-16088.239999999991</v>
      </c>
      <c r="AA88" s="121">
        <f>AA71-AA87</f>
        <v>6449.0800000000017</v>
      </c>
      <c r="AB88" s="121">
        <f>AB71-AB87</f>
        <v>23820.240000000005</v>
      </c>
      <c r="AC88" s="121">
        <f>AC71-AC87</f>
        <v>65620.240000000005</v>
      </c>
      <c r="AD88" s="121">
        <f>AD71-AD87</f>
        <v>79801.320000000007</v>
      </c>
      <c r="AE88" s="113"/>
      <c r="AF88" s="121"/>
      <c r="AG88" s="121">
        <f t="shared" ref="AG88:AV88" si="173">AG71-AG87</f>
        <v>-68616</v>
      </c>
      <c r="AH88" s="121">
        <f t="shared" si="173"/>
        <v>-77865.299999999988</v>
      </c>
      <c r="AI88" s="121">
        <f t="shared" si="173"/>
        <v>-79569.700000000012</v>
      </c>
      <c r="AJ88" s="121">
        <f t="shared" si="173"/>
        <v>-118843</v>
      </c>
      <c r="AK88" s="121">
        <f t="shared" si="173"/>
        <v>-64510</v>
      </c>
      <c r="AL88" s="121">
        <f t="shared" si="173"/>
        <v>-48714</v>
      </c>
      <c r="AM88" s="121">
        <f t="shared" si="173"/>
        <v>-70711</v>
      </c>
      <c r="AN88" s="121">
        <f t="shared" si="173"/>
        <v>-45335</v>
      </c>
      <c r="AO88" s="121">
        <f t="shared" si="173"/>
        <v>-20068</v>
      </c>
      <c r="AP88" s="121">
        <f t="shared" si="173"/>
        <v>-31386</v>
      </c>
      <c r="AQ88" s="121">
        <f t="shared" si="173"/>
        <v>-34336</v>
      </c>
      <c r="AR88" s="178">
        <f t="shared" si="173"/>
        <v>-29250</v>
      </c>
      <c r="AS88" s="178">
        <f t="shared" si="173"/>
        <v>-11170.080000000002</v>
      </c>
      <c r="AT88" s="178">
        <f t="shared" si="173"/>
        <v>-15057.080000000002</v>
      </c>
      <c r="AU88" s="178">
        <f t="shared" si="173"/>
        <v>-4001.0800000000017</v>
      </c>
      <c r="AV88" s="121">
        <f t="shared" si="173"/>
        <v>-493381.24</v>
      </c>
      <c r="AY88" s="113"/>
      <c r="AZ88" s="121">
        <f t="shared" ref="AZ88:BL88" si="174">AZ71-AZ87</f>
        <v>-1869.0800000000017</v>
      </c>
      <c r="BA88" s="121">
        <f t="shared" si="174"/>
        <v>-5804.0800000000017</v>
      </c>
      <c r="BB88" s="121">
        <f t="shared" si="174"/>
        <v>-8415.0800000000017</v>
      </c>
      <c r="BC88" s="121">
        <f t="shared" si="174"/>
        <v>2866.9199999999983</v>
      </c>
      <c r="BD88" s="121">
        <f t="shared" si="174"/>
        <v>4719.0800000000017</v>
      </c>
      <c r="BE88" s="121">
        <f t="shared" si="174"/>
        <v>-1136.9199999999983</v>
      </c>
      <c r="BF88" s="121">
        <f t="shared" si="174"/>
        <v>3540.0800000000017</v>
      </c>
      <c r="BG88" s="121">
        <f t="shared" si="174"/>
        <v>7940.0800000000017</v>
      </c>
      <c r="BH88" s="121">
        <f t="shared" si="174"/>
        <v>12340.080000000002</v>
      </c>
      <c r="BI88" s="121">
        <f t="shared" si="174"/>
        <v>29940.080000000002</v>
      </c>
      <c r="BJ88" s="121">
        <f t="shared" si="174"/>
        <v>29940.080000000002</v>
      </c>
      <c r="BK88" s="121">
        <f t="shared" si="174"/>
        <v>5740.0800000000017</v>
      </c>
      <c r="BL88" s="121">
        <f t="shared" si="174"/>
        <v>79801.320000000007</v>
      </c>
    </row>
    <row r="89" spans="1:64" x14ac:dyDescent="0.25">
      <c r="A89" s="45" t="s">
        <v>519</v>
      </c>
      <c r="C89" s="8"/>
      <c r="E89" s="8"/>
      <c r="G89" s="8"/>
      <c r="I89" s="8"/>
      <c r="K89" s="8"/>
      <c r="L89" s="8"/>
      <c r="M89" s="8"/>
      <c r="N89" s="8">
        <v>83009</v>
      </c>
      <c r="O89" s="8"/>
      <c r="Q89" s="113"/>
      <c r="R89" s="8">
        <f>SUM(AJ89:AL89)</f>
        <v>41293</v>
      </c>
      <c r="S89" s="8">
        <f t="shared" ref="S89:S90" si="175">SUM(AM89:AO89)</f>
        <v>118664</v>
      </c>
      <c r="T89" s="8">
        <f t="shared" ref="T89:T90" si="176">SUM(AP89:AR89)</f>
        <v>76410</v>
      </c>
      <c r="U89" s="121">
        <f t="shared" ref="U89:U90" si="177">SUM(AS89:AU89)</f>
        <v>-29000</v>
      </c>
      <c r="V89" s="8">
        <f t="shared" ref="V89:V90" si="178">SUM(R89:U89)</f>
        <v>207367</v>
      </c>
      <c r="Y89" s="113"/>
      <c r="Z89" s="8">
        <f t="shared" ref="Z89:Z90" si="179">SUM(AZ89:BB89)</f>
        <v>-10000</v>
      </c>
      <c r="AA89" s="8">
        <f t="shared" ref="AA89:AA90" si="180">SUM(BC89:BE89)</f>
        <v>-5000</v>
      </c>
      <c r="AB89" s="8">
        <f t="shared" ref="AB89" si="181">SUM(BF89:BH89)</f>
        <v>-15000</v>
      </c>
      <c r="AC89" s="8">
        <f t="shared" ref="AC89" si="182">SUM(BI89:BK89)</f>
        <v>-15000</v>
      </c>
      <c r="AD89" s="8">
        <f t="shared" ref="AD89:AD90" si="183">SUM(Z89:AC89)</f>
        <v>-45000</v>
      </c>
      <c r="AE89" s="113"/>
      <c r="AF89" s="121"/>
      <c r="AG89" s="121">
        <v>12964</v>
      </c>
      <c r="AH89" s="121">
        <v>22340</v>
      </c>
      <c r="AI89" s="121">
        <v>48625</v>
      </c>
      <c r="AJ89" s="121">
        <v>-51185</v>
      </c>
      <c r="AK89" s="121">
        <v>65201</v>
      </c>
      <c r="AL89" s="121">
        <v>27277</v>
      </c>
      <c r="AM89" s="121">
        <v>52504</v>
      </c>
      <c r="AN89" s="121">
        <v>47114</v>
      </c>
      <c r="AO89" s="121">
        <v>19046</v>
      </c>
      <c r="AP89" s="121">
        <v>18430</v>
      </c>
      <c r="AQ89" s="121">
        <v>34980</v>
      </c>
      <c r="AR89" s="178">
        <v>23000</v>
      </c>
      <c r="AS89" s="178">
        <v>11000</v>
      </c>
      <c r="AT89" s="178">
        <v>-20000</v>
      </c>
      <c r="AU89" s="178">
        <v>-20000</v>
      </c>
      <c r="AV89" s="121">
        <f t="shared" ref="AV89:AV90" si="184">SUM(AJ89:AU89)</f>
        <v>207367</v>
      </c>
      <c r="AY89" s="113"/>
      <c r="AZ89" s="121">
        <v>-10000</v>
      </c>
      <c r="BA89" s="121"/>
      <c r="BB89" s="121"/>
      <c r="BC89" s="121"/>
      <c r="BD89" s="121"/>
      <c r="BE89" s="121">
        <v>-5000</v>
      </c>
      <c r="BF89" s="121">
        <v>-5000</v>
      </c>
      <c r="BG89" s="121">
        <v>-5000</v>
      </c>
      <c r="BH89" s="121">
        <v>-5000</v>
      </c>
      <c r="BI89" s="121">
        <v>-5000</v>
      </c>
      <c r="BJ89" s="121">
        <v>-5000</v>
      </c>
      <c r="BK89" s="121">
        <v>-5000</v>
      </c>
      <c r="BL89" s="121">
        <f t="shared" ref="BL89:BL90" si="185">SUM(AZ89:BK89)</f>
        <v>-45000</v>
      </c>
    </row>
    <row r="90" spans="1:64" x14ac:dyDescent="0.25">
      <c r="A90" s="45" t="s">
        <v>516</v>
      </c>
      <c r="C90" s="9"/>
      <c r="E90" s="9"/>
      <c r="G90" s="9"/>
      <c r="I90" s="9"/>
      <c r="K90" s="9"/>
      <c r="L90" s="19"/>
      <c r="M90" s="19"/>
      <c r="N90" s="9">
        <v>296440</v>
      </c>
      <c r="O90" s="8"/>
      <c r="Q90" s="113"/>
      <c r="R90" s="9">
        <f>SUM(AJ90:AL90)</f>
        <v>40950</v>
      </c>
      <c r="S90" s="9">
        <f t="shared" si="175"/>
        <v>0</v>
      </c>
      <c r="T90" s="9">
        <f t="shared" si="176"/>
        <v>20010</v>
      </c>
      <c r="U90" s="122">
        <f t="shared" si="177"/>
        <v>135000</v>
      </c>
      <c r="V90" s="9">
        <f t="shared" si="178"/>
        <v>195960</v>
      </c>
      <c r="Y90" s="113"/>
      <c r="Z90" s="9">
        <f t="shared" si="179"/>
        <v>0</v>
      </c>
      <c r="AA90" s="9">
        <f t="shared" si="180"/>
        <v>0</v>
      </c>
      <c r="AB90" s="9">
        <f t="shared" ref="AB89:AB90" si="186">SUM(AX90:AZ90)</f>
        <v>0</v>
      </c>
      <c r="AC90" s="122">
        <f t="shared" ref="AC89:AC90" si="187">SUM(BA90:BC90)</f>
        <v>0</v>
      </c>
      <c r="AD90" s="9">
        <f t="shared" si="183"/>
        <v>0</v>
      </c>
      <c r="AE90" s="113"/>
      <c r="AF90" s="129"/>
      <c r="AG90" s="122">
        <v>48000</v>
      </c>
      <c r="AH90" s="122">
        <f>14000+25000</f>
        <v>39000</v>
      </c>
      <c r="AI90" s="122">
        <v>209440</v>
      </c>
      <c r="AJ90" s="122"/>
      <c r="AK90" s="122"/>
      <c r="AL90" s="122">
        <v>40950</v>
      </c>
      <c r="AM90" s="122"/>
      <c r="AN90" s="122"/>
      <c r="AO90" s="122"/>
      <c r="AP90" s="122">
        <v>15010</v>
      </c>
      <c r="AQ90" s="122">
        <v>5000</v>
      </c>
      <c r="AR90" s="201"/>
      <c r="AS90" s="201"/>
      <c r="AT90" s="201">
        <v>135000</v>
      </c>
      <c r="AU90" s="201"/>
      <c r="AV90" s="122">
        <f t="shared" si="184"/>
        <v>195960</v>
      </c>
      <c r="AY90" s="113"/>
      <c r="AZ90" s="122"/>
      <c r="BA90" s="122"/>
      <c r="BB90" s="122"/>
      <c r="BC90" s="122"/>
      <c r="BD90" s="122"/>
      <c r="BE90" s="122"/>
      <c r="BF90" s="122"/>
      <c r="BG90" s="122"/>
      <c r="BH90" s="122"/>
      <c r="BI90" s="122"/>
      <c r="BJ90" s="122"/>
      <c r="BK90" s="122"/>
      <c r="BL90" s="122">
        <f t="shared" si="185"/>
        <v>0</v>
      </c>
    </row>
    <row r="91" spans="1:64" s="45" customFormat="1" ht="15.75" thickBot="1" x14ac:dyDescent="0.3">
      <c r="A91" s="45" t="s">
        <v>518</v>
      </c>
      <c r="C91" s="52" t="e">
        <f>C71-#REF!-C86-C90</f>
        <v>#REF!</v>
      </c>
      <c r="D91" s="51" t="e">
        <f t="shared" ref="D91" si="188">C91/C$15</f>
        <v>#REF!</v>
      </c>
      <c r="E91" s="52" t="e">
        <f>E71-#REF!-E86-E90</f>
        <v>#REF!</v>
      </c>
      <c r="F91" s="51" t="e">
        <f>E91/E$15</f>
        <v>#REF!</v>
      </c>
      <c r="G91" s="52" t="e">
        <f>G71-#REF!-G86-G90</f>
        <v>#REF!</v>
      </c>
      <c r="H91" s="51" t="e">
        <f>G91/G$15</f>
        <v>#REF!</v>
      </c>
      <c r="I91" s="52" t="e">
        <f>I71-#REF!-I86-I90</f>
        <v>#REF!</v>
      </c>
      <c r="J91" s="51" t="e">
        <f>I91/I$15</f>
        <v>#REF!</v>
      </c>
      <c r="K91" s="79" t="e">
        <f>K71-#REF!-K86-K90</f>
        <v>#REF!</v>
      </c>
      <c r="L91" s="79" t="e">
        <f>L71-#REF!-L86-L90</f>
        <v>#REF!</v>
      </c>
      <c r="M91" s="79" t="e">
        <f>M71-#REF!-M86-M90</f>
        <v>#REF!</v>
      </c>
      <c r="N91" s="49">
        <f>SUM(N88:N90)</f>
        <v>154104</v>
      </c>
      <c r="O91" s="49"/>
      <c r="P91" s="51"/>
      <c r="Q91" s="117"/>
      <c r="R91" s="49">
        <f t="shared" ref="R91:V91" si="189">SUM(R88:R90)</f>
        <v>-149824</v>
      </c>
      <c r="S91" s="49">
        <f t="shared" si="189"/>
        <v>-17450</v>
      </c>
      <c r="T91" s="49">
        <f t="shared" si="189"/>
        <v>1448</v>
      </c>
      <c r="U91" s="49">
        <f t="shared" si="189"/>
        <v>75771.760000000009</v>
      </c>
      <c r="V91" s="49">
        <f t="shared" si="189"/>
        <v>-90054.239999999991</v>
      </c>
      <c r="W91" s="51"/>
      <c r="Y91" s="117"/>
      <c r="Z91" s="49">
        <f t="shared" ref="Z91:AC91" si="190">SUM(Z88:Z90)</f>
        <v>-26088.239999999991</v>
      </c>
      <c r="AA91" s="49">
        <f t="shared" si="190"/>
        <v>1449.0800000000017</v>
      </c>
      <c r="AB91" s="49">
        <f t="shared" si="190"/>
        <v>8820.2400000000052</v>
      </c>
      <c r="AC91" s="49">
        <f t="shared" si="190"/>
        <v>50620.240000000005</v>
      </c>
      <c r="AD91" s="49">
        <f t="shared" ref="AD91" si="191">SUM(AD88:AD90)</f>
        <v>34801.320000000007</v>
      </c>
      <c r="AE91" s="118"/>
      <c r="AF91" s="79">
        <f>AF71-AF87-AF90</f>
        <v>-185259</v>
      </c>
      <c r="AG91" s="49">
        <f>SUM(AG88:AG90)</f>
        <v>-7652</v>
      </c>
      <c r="AH91" s="49">
        <f t="shared" ref="AH91:AV91" si="192">SUM(AH88:AH90)</f>
        <v>-16525.299999999988</v>
      </c>
      <c r="AI91" s="49">
        <f t="shared" si="192"/>
        <v>178495.3</v>
      </c>
      <c r="AJ91" s="49">
        <f t="shared" si="192"/>
        <v>-170028</v>
      </c>
      <c r="AK91" s="49">
        <f t="shared" si="192"/>
        <v>691</v>
      </c>
      <c r="AL91" s="49">
        <f t="shared" si="192"/>
        <v>19513</v>
      </c>
      <c r="AM91" s="49">
        <f t="shared" si="192"/>
        <v>-18207</v>
      </c>
      <c r="AN91" s="49">
        <f t="shared" si="192"/>
        <v>1779</v>
      </c>
      <c r="AO91" s="49">
        <f t="shared" si="192"/>
        <v>-1022</v>
      </c>
      <c r="AP91" s="49">
        <f t="shared" si="192"/>
        <v>2054</v>
      </c>
      <c r="AQ91" s="49">
        <f t="shared" si="192"/>
        <v>5644</v>
      </c>
      <c r="AR91" s="209">
        <f t="shared" si="192"/>
        <v>-6250</v>
      </c>
      <c r="AS91" s="209">
        <f t="shared" si="192"/>
        <v>-170.08000000000175</v>
      </c>
      <c r="AT91" s="209">
        <f t="shared" si="192"/>
        <v>99942.92</v>
      </c>
      <c r="AU91" s="209">
        <f t="shared" si="192"/>
        <v>-24001.08</v>
      </c>
      <c r="AV91" s="49">
        <f t="shared" si="192"/>
        <v>-90054.239999999991</v>
      </c>
      <c r="AW91" s="141"/>
      <c r="AX91" s="141"/>
      <c r="AY91" s="117"/>
      <c r="AZ91" s="49">
        <f t="shared" ref="AZ91:BL91" si="193">SUM(AZ88:AZ90)</f>
        <v>-11869.080000000002</v>
      </c>
      <c r="BA91" s="49">
        <f t="shared" si="193"/>
        <v>-5804.0800000000017</v>
      </c>
      <c r="BB91" s="49">
        <f t="shared" si="193"/>
        <v>-8415.0800000000017</v>
      </c>
      <c r="BC91" s="49">
        <f t="shared" si="193"/>
        <v>2866.9199999999983</v>
      </c>
      <c r="BD91" s="49">
        <f t="shared" si="193"/>
        <v>4719.0800000000017</v>
      </c>
      <c r="BE91" s="49">
        <f t="shared" si="193"/>
        <v>-6136.9199999999983</v>
      </c>
      <c r="BF91" s="49">
        <f t="shared" si="193"/>
        <v>-1459.9199999999983</v>
      </c>
      <c r="BG91" s="49">
        <f t="shared" si="193"/>
        <v>2940.0800000000017</v>
      </c>
      <c r="BH91" s="49">
        <f t="shared" si="193"/>
        <v>7340.0800000000017</v>
      </c>
      <c r="BI91" s="49">
        <f t="shared" si="193"/>
        <v>24940.080000000002</v>
      </c>
      <c r="BJ91" s="49">
        <f t="shared" si="193"/>
        <v>24940.080000000002</v>
      </c>
      <c r="BK91" s="49">
        <f t="shared" si="193"/>
        <v>740.08000000000175</v>
      </c>
      <c r="BL91" s="49">
        <f t="shared" si="193"/>
        <v>34801.320000000007</v>
      </c>
    </row>
    <row r="92" spans="1:64" ht="15.75" thickTop="1" x14ac:dyDescent="0.25">
      <c r="A92" s="45" t="s">
        <v>520</v>
      </c>
      <c r="C92" s="8"/>
      <c r="E92" s="8"/>
      <c r="G92" s="8"/>
      <c r="N92" s="126">
        <v>12057</v>
      </c>
      <c r="Q92" s="113"/>
      <c r="R92" s="48">
        <f>AJ92</f>
        <v>166376</v>
      </c>
      <c r="S92" s="48">
        <f>R119</f>
        <v>16552</v>
      </c>
      <c r="T92" s="48">
        <f t="shared" ref="T92:U92" si="194">S119</f>
        <v>-898</v>
      </c>
      <c r="U92" s="48">
        <f t="shared" si="194"/>
        <v>550</v>
      </c>
      <c r="V92" s="48">
        <f>R92</f>
        <v>166376</v>
      </c>
      <c r="Y92" s="113"/>
      <c r="Z92" s="48">
        <f>U119</f>
        <v>76321.760000000009</v>
      </c>
      <c r="AA92" s="48">
        <f>Z119</f>
        <v>50233.520000000019</v>
      </c>
      <c r="AB92" s="48">
        <f t="shared" ref="AB92" si="195">AA119</f>
        <v>51682.60000000002</v>
      </c>
      <c r="AC92" s="48">
        <f t="shared" ref="AC92" si="196">AB119</f>
        <v>60502.840000000026</v>
      </c>
      <c r="AD92" s="48">
        <f>Z92</f>
        <v>76321.760000000009</v>
      </c>
      <c r="AE92" s="113"/>
      <c r="AG92" s="126">
        <v>12057</v>
      </c>
      <c r="AH92" s="126">
        <v>4406</v>
      </c>
      <c r="AI92" s="126">
        <f>AH119</f>
        <v>-12119.299999999988</v>
      </c>
      <c r="AJ92" s="126">
        <v>166376</v>
      </c>
      <c r="AK92" s="126">
        <f>AJ119</f>
        <v>-3652</v>
      </c>
      <c r="AL92" s="126">
        <f t="shared" ref="AL92:AU92" si="197">AK119</f>
        <v>-2961</v>
      </c>
      <c r="AM92" s="126">
        <f t="shared" si="197"/>
        <v>16552</v>
      </c>
      <c r="AN92" s="126">
        <f t="shared" si="197"/>
        <v>-1655</v>
      </c>
      <c r="AO92" s="126">
        <f t="shared" si="197"/>
        <v>124</v>
      </c>
      <c r="AP92" s="126">
        <f t="shared" si="197"/>
        <v>-898</v>
      </c>
      <c r="AQ92" s="126">
        <f t="shared" si="197"/>
        <v>1156</v>
      </c>
      <c r="AR92" s="173">
        <f t="shared" si="197"/>
        <v>6800</v>
      </c>
      <c r="AS92" s="173">
        <f t="shared" si="197"/>
        <v>550</v>
      </c>
      <c r="AT92" s="173">
        <f t="shared" si="197"/>
        <v>379.91999999999825</v>
      </c>
      <c r="AU92" s="173">
        <f t="shared" si="197"/>
        <v>100322.84</v>
      </c>
      <c r="AV92" s="126">
        <f>AJ92</f>
        <v>166376</v>
      </c>
      <c r="AY92" s="113"/>
      <c r="AZ92" s="126">
        <f>AU119</f>
        <v>76321.759999999995</v>
      </c>
      <c r="BA92" s="126">
        <f>AZ119</f>
        <v>64452.679999999993</v>
      </c>
      <c r="BB92" s="126">
        <f t="shared" ref="BB92" si="198">BA119</f>
        <v>58648.599999999991</v>
      </c>
      <c r="BC92" s="126">
        <f t="shared" ref="BC92" si="199">BB119</f>
        <v>50233.51999999999</v>
      </c>
      <c r="BD92" s="126">
        <f t="shared" ref="BD92" si="200">BC119</f>
        <v>53100.439999999988</v>
      </c>
      <c r="BE92" s="126">
        <f t="shared" ref="BE92" si="201">BD119</f>
        <v>57819.51999999999</v>
      </c>
      <c r="BF92" s="126">
        <f t="shared" ref="BF92" si="202">BE119</f>
        <v>51682.599999999991</v>
      </c>
      <c r="BG92" s="126">
        <f t="shared" ref="BG92" si="203">BF119</f>
        <v>50222.679999999993</v>
      </c>
      <c r="BH92" s="126">
        <f t="shared" ref="BH92" si="204">BG119</f>
        <v>53162.759999999995</v>
      </c>
      <c r="BI92" s="126">
        <f t="shared" ref="BI92" si="205">BH119</f>
        <v>60502.84</v>
      </c>
      <c r="BJ92" s="126">
        <f t="shared" ref="BJ92" si="206">BI119</f>
        <v>85442.92</v>
      </c>
      <c r="BK92" s="126">
        <f t="shared" ref="BK92" si="207">BJ119</f>
        <v>110383</v>
      </c>
      <c r="BL92" s="126">
        <f>AZ92</f>
        <v>76321.759999999995</v>
      </c>
    </row>
    <row r="93" spans="1:64" hidden="1" x14ac:dyDescent="0.25">
      <c r="A93" s="45" t="s">
        <v>200</v>
      </c>
      <c r="C93" s="8"/>
      <c r="E93" s="8"/>
      <c r="G93" s="8"/>
      <c r="AR93" s="104"/>
      <c r="AS93" s="104"/>
      <c r="AT93" s="104"/>
      <c r="AU93" s="104"/>
    </row>
    <row r="94" spans="1:64" hidden="1" x14ac:dyDescent="0.25">
      <c r="A94" s="45"/>
      <c r="B94" t="s">
        <v>201</v>
      </c>
      <c r="C94" s="8"/>
      <c r="E94" s="8"/>
      <c r="G94" s="8"/>
      <c r="AR94" s="104"/>
      <c r="AS94" s="104"/>
      <c r="AT94" s="104"/>
      <c r="AU94" s="104"/>
    </row>
    <row r="95" spans="1:64" hidden="1" x14ac:dyDescent="0.25">
      <c r="A95" s="45"/>
      <c r="B95" t="s">
        <v>153</v>
      </c>
      <c r="C95" s="8"/>
      <c r="E95" s="8"/>
      <c r="G95" s="8"/>
      <c r="K95" s="22"/>
      <c r="L95" s="22"/>
      <c r="M95" s="22"/>
      <c r="N95" s="22"/>
      <c r="O95" s="22"/>
      <c r="Q95" s="119"/>
      <c r="R95" s="22"/>
      <c r="S95" s="22"/>
      <c r="T95" s="22"/>
      <c r="U95" s="22"/>
      <c r="V95" s="22"/>
      <c r="X95" s="22"/>
      <c r="Y95" s="119"/>
      <c r="Z95" s="22"/>
      <c r="AA95" s="22"/>
      <c r="AB95" s="22"/>
      <c r="AC95" s="22"/>
      <c r="AD95" s="22"/>
      <c r="AE95" s="119"/>
      <c r="AF95" s="146"/>
      <c r="AG95" s="146"/>
      <c r="AH95" s="146"/>
      <c r="AI95" s="146"/>
      <c r="AJ95" s="146"/>
      <c r="AK95" s="146"/>
      <c r="AL95" s="146"/>
      <c r="AM95" s="146"/>
      <c r="AN95" s="146"/>
      <c r="AO95" s="146"/>
      <c r="AP95" s="146"/>
      <c r="AQ95" s="146"/>
      <c r="AR95" s="252"/>
      <c r="AS95" s="252"/>
      <c r="AT95" s="252"/>
      <c r="AU95" s="252"/>
      <c r="AV95" s="146"/>
      <c r="AY95" s="119"/>
      <c r="AZ95" s="146"/>
      <c r="BA95" s="146"/>
      <c r="BB95" s="146"/>
      <c r="BC95" s="146"/>
      <c r="BD95" s="146"/>
      <c r="BE95" s="146"/>
      <c r="BF95" s="146"/>
      <c r="BG95" s="146"/>
      <c r="BH95" s="146"/>
      <c r="BI95" s="146"/>
      <c r="BJ95" s="146"/>
      <c r="BK95" s="146"/>
      <c r="BL95" s="146"/>
    </row>
    <row r="96" spans="1:64" hidden="1" x14ac:dyDescent="0.25">
      <c r="A96" s="45"/>
      <c r="B96" t="s">
        <v>152</v>
      </c>
      <c r="C96" s="8"/>
      <c r="E96" s="8"/>
      <c r="G96" s="8"/>
      <c r="K96" s="22"/>
      <c r="L96" s="22"/>
      <c r="M96" s="22"/>
      <c r="N96" s="22"/>
      <c r="O96" s="22"/>
      <c r="Q96" s="119"/>
      <c r="R96" s="22"/>
      <c r="S96" s="22"/>
      <c r="T96" s="22"/>
      <c r="U96" s="22"/>
      <c r="V96" s="22"/>
      <c r="X96" s="22"/>
      <c r="Y96" s="119"/>
      <c r="Z96" s="22"/>
      <c r="AA96" s="22"/>
      <c r="AB96" s="22"/>
      <c r="AC96" s="22"/>
      <c r="AD96" s="22"/>
      <c r="AE96" s="119"/>
      <c r="AF96" s="146"/>
      <c r="AG96" s="146"/>
      <c r="AH96" s="146"/>
      <c r="AI96" s="146"/>
      <c r="AJ96" s="146"/>
      <c r="AK96" s="146"/>
      <c r="AL96" s="146"/>
      <c r="AM96" s="146"/>
      <c r="AN96" s="146"/>
      <c r="AO96" s="146"/>
      <c r="AP96" s="146"/>
      <c r="AQ96" s="146"/>
      <c r="AR96" s="252"/>
      <c r="AS96" s="252"/>
      <c r="AT96" s="252"/>
      <c r="AU96" s="252"/>
      <c r="AV96" s="146"/>
      <c r="AY96" s="119"/>
      <c r="AZ96" s="146"/>
      <c r="BA96" s="146"/>
      <c r="BB96" s="146"/>
      <c r="BC96" s="146"/>
      <c r="BD96" s="146"/>
      <c r="BE96" s="146"/>
      <c r="BF96" s="146"/>
      <c r="BG96" s="146"/>
      <c r="BH96" s="146"/>
      <c r="BI96" s="146"/>
      <c r="BJ96" s="146"/>
      <c r="BK96" s="146"/>
      <c r="BL96" s="146"/>
    </row>
    <row r="97" spans="1:64" hidden="1" x14ac:dyDescent="0.25">
      <c r="A97" s="45"/>
      <c r="B97" t="s">
        <v>150</v>
      </c>
      <c r="C97" s="8"/>
      <c r="E97" s="8"/>
      <c r="G97" s="8"/>
      <c r="K97" s="22"/>
      <c r="L97" s="22"/>
      <c r="M97" s="22"/>
      <c r="N97" s="22"/>
      <c r="O97" s="22"/>
      <c r="Q97" s="119"/>
      <c r="R97" s="22"/>
      <c r="S97" s="22"/>
      <c r="T97" s="22"/>
      <c r="U97" s="22"/>
      <c r="V97" s="22"/>
      <c r="X97" s="22"/>
      <c r="Y97" s="119"/>
      <c r="Z97" s="22"/>
      <c r="AA97" s="22"/>
      <c r="AB97" s="22"/>
      <c r="AC97" s="22"/>
      <c r="AD97" s="22"/>
      <c r="AE97" s="119"/>
      <c r="AF97" s="146"/>
      <c r="AG97" s="146"/>
      <c r="AH97" s="146"/>
      <c r="AI97" s="146"/>
      <c r="AJ97" s="146"/>
      <c r="AK97" s="146"/>
      <c r="AL97" s="146"/>
      <c r="AM97" s="146"/>
      <c r="AN97" s="146"/>
      <c r="AO97" s="146"/>
      <c r="AP97" s="146"/>
      <c r="AQ97" s="146"/>
      <c r="AR97" s="252"/>
      <c r="AS97" s="252"/>
      <c r="AT97" s="252"/>
      <c r="AU97" s="252"/>
      <c r="AV97" s="146"/>
      <c r="AY97" s="119"/>
      <c r="AZ97" s="146"/>
      <c r="BA97" s="146"/>
      <c r="BB97" s="146"/>
      <c r="BC97" s="146"/>
      <c r="BD97" s="146"/>
      <c r="BE97" s="146"/>
      <c r="BF97" s="146"/>
      <c r="BG97" s="146"/>
      <c r="BH97" s="146"/>
      <c r="BI97" s="146"/>
      <c r="BJ97" s="146"/>
      <c r="BK97" s="146"/>
      <c r="BL97" s="146"/>
    </row>
    <row r="98" spans="1:64" hidden="1" x14ac:dyDescent="0.25">
      <c r="A98" s="45"/>
      <c r="B98" t="s">
        <v>151</v>
      </c>
      <c r="C98" s="8"/>
      <c r="E98" s="8"/>
      <c r="G98" s="8"/>
      <c r="K98" s="22"/>
      <c r="L98" s="22"/>
      <c r="M98" s="22"/>
      <c r="N98" s="22"/>
      <c r="O98" s="22"/>
      <c r="Q98" s="119"/>
      <c r="R98" s="22"/>
      <c r="S98" s="22"/>
      <c r="T98" s="22"/>
      <c r="U98" s="22"/>
      <c r="V98" s="22"/>
      <c r="X98" s="22"/>
      <c r="Y98" s="119"/>
      <c r="Z98" s="22"/>
      <c r="AA98" s="22"/>
      <c r="AB98" s="22"/>
      <c r="AC98" s="22"/>
      <c r="AD98" s="22"/>
      <c r="AE98" s="119"/>
      <c r="AF98" s="146"/>
      <c r="AG98" s="146"/>
      <c r="AH98" s="146"/>
      <c r="AI98" s="146"/>
      <c r="AJ98" s="146"/>
      <c r="AK98" s="146"/>
      <c r="AL98" s="146"/>
      <c r="AM98" s="146"/>
      <c r="AN98" s="146"/>
      <c r="AO98" s="146"/>
      <c r="AP98" s="146"/>
      <c r="AQ98" s="146"/>
      <c r="AR98" s="252"/>
      <c r="AS98" s="252"/>
      <c r="AT98" s="252"/>
      <c r="AU98" s="252"/>
      <c r="AV98" s="146"/>
      <c r="AY98" s="119"/>
      <c r="AZ98" s="146"/>
      <c r="BA98" s="146"/>
      <c r="BB98" s="146"/>
      <c r="BC98" s="146"/>
      <c r="BD98" s="146"/>
      <c r="BE98" s="146"/>
      <c r="BF98" s="146"/>
      <c r="BG98" s="146"/>
      <c r="BH98" s="146"/>
      <c r="BI98" s="146"/>
      <c r="BJ98" s="146"/>
      <c r="BK98" s="146"/>
      <c r="BL98" s="146"/>
    </row>
    <row r="99" spans="1:64" hidden="1" x14ac:dyDescent="0.25">
      <c r="A99" s="45"/>
      <c r="B99" t="s">
        <v>203</v>
      </c>
      <c r="C99" s="8"/>
      <c r="E99" s="8"/>
      <c r="G99" s="8"/>
      <c r="K99" s="22"/>
      <c r="L99" s="22"/>
      <c r="M99" s="22"/>
      <c r="N99" s="22"/>
      <c r="O99" s="22"/>
      <c r="Q99" s="119"/>
      <c r="R99" s="22"/>
      <c r="S99" s="22"/>
      <c r="T99" s="22"/>
      <c r="U99" s="22"/>
      <c r="V99" s="22"/>
      <c r="X99" s="22"/>
      <c r="Y99" s="119"/>
      <c r="Z99" s="22"/>
      <c r="AA99" s="22"/>
      <c r="AB99" s="22"/>
      <c r="AC99" s="22"/>
      <c r="AD99" s="22"/>
      <c r="AE99" s="119"/>
      <c r="AF99" s="146"/>
      <c r="AG99" s="146"/>
      <c r="AH99" s="146"/>
      <c r="AI99" s="146"/>
      <c r="AJ99" s="146"/>
      <c r="AK99" s="146"/>
      <c r="AL99" s="146"/>
      <c r="AM99" s="146"/>
      <c r="AN99" s="146"/>
      <c r="AO99" s="146"/>
      <c r="AP99" s="146"/>
      <c r="AQ99" s="146"/>
      <c r="AR99" s="252"/>
      <c r="AS99" s="252"/>
      <c r="AT99" s="252"/>
      <c r="AU99" s="252"/>
      <c r="AV99" s="146"/>
      <c r="AY99" s="119"/>
      <c r="AZ99" s="146"/>
      <c r="BA99" s="146"/>
      <c r="BB99" s="146"/>
      <c r="BC99" s="146"/>
      <c r="BD99" s="146"/>
      <c r="BE99" s="146"/>
      <c r="BF99" s="146"/>
      <c r="BG99" s="146"/>
      <c r="BH99" s="146"/>
      <c r="BI99" s="146"/>
      <c r="BJ99" s="146"/>
      <c r="BK99" s="146"/>
      <c r="BL99" s="146"/>
    </row>
    <row r="100" spans="1:64" hidden="1" x14ac:dyDescent="0.25">
      <c r="A100" s="45"/>
      <c r="B100" t="s">
        <v>202</v>
      </c>
      <c r="C100" s="8"/>
      <c r="E100" s="8"/>
      <c r="G100" s="8"/>
      <c r="K100" s="22"/>
      <c r="L100" s="22"/>
      <c r="M100" s="22"/>
      <c r="N100" s="22"/>
      <c r="O100" s="22"/>
      <c r="Q100" s="119"/>
      <c r="R100" s="22"/>
      <c r="S100" s="22"/>
      <c r="T100" s="22"/>
      <c r="U100" s="22"/>
      <c r="V100" s="22"/>
      <c r="X100" s="22"/>
      <c r="Y100" s="119"/>
      <c r="Z100" s="22"/>
      <c r="AA100" s="22"/>
      <c r="AB100" s="22"/>
      <c r="AC100" s="22"/>
      <c r="AD100" s="22"/>
      <c r="AE100" s="119"/>
      <c r="AF100" s="146"/>
      <c r="AG100" s="146"/>
      <c r="AH100" s="146"/>
      <c r="AI100" s="146"/>
      <c r="AJ100" s="146"/>
      <c r="AK100" s="146"/>
      <c r="AL100" s="146"/>
      <c r="AM100" s="146"/>
      <c r="AN100" s="146"/>
      <c r="AO100" s="146"/>
      <c r="AP100" s="146"/>
      <c r="AQ100" s="146"/>
      <c r="AR100" s="252"/>
      <c r="AS100" s="252"/>
      <c r="AT100" s="252"/>
      <c r="AU100" s="252"/>
      <c r="AV100" s="146"/>
      <c r="AY100" s="119"/>
      <c r="AZ100" s="146"/>
      <c r="BA100" s="146"/>
      <c r="BB100" s="146"/>
      <c r="BC100" s="146"/>
      <c r="BD100" s="146"/>
      <c r="BE100" s="146"/>
      <c r="BF100" s="146"/>
      <c r="BG100" s="146"/>
      <c r="BH100" s="146"/>
      <c r="BI100" s="146"/>
      <c r="BJ100" s="146"/>
      <c r="BK100" s="146"/>
      <c r="BL100" s="146"/>
    </row>
    <row r="101" spans="1:64" hidden="1" x14ac:dyDescent="0.25">
      <c r="A101" s="45"/>
      <c r="B101" t="s">
        <v>153</v>
      </c>
      <c r="C101" s="8"/>
      <c r="E101" s="8"/>
      <c r="G101" s="8"/>
      <c r="K101" s="22">
        <v>0.38</v>
      </c>
      <c r="L101" s="22">
        <v>0.38</v>
      </c>
      <c r="M101" s="22">
        <v>0.38</v>
      </c>
      <c r="N101" s="22">
        <v>0.38</v>
      </c>
      <c r="O101" s="22">
        <v>0.38</v>
      </c>
      <c r="Q101" s="119"/>
      <c r="R101" s="22">
        <v>0.38</v>
      </c>
      <c r="S101" s="22">
        <v>0.38</v>
      </c>
      <c r="T101" s="22">
        <v>0.38</v>
      </c>
      <c r="U101" s="22"/>
      <c r="V101" s="22">
        <v>0.38</v>
      </c>
      <c r="X101" s="22"/>
      <c r="Y101" s="119"/>
      <c r="Z101" s="22">
        <v>0.38</v>
      </c>
      <c r="AA101" s="22">
        <v>0.38</v>
      </c>
      <c r="AB101" s="22">
        <v>0.38</v>
      </c>
      <c r="AC101" s="22"/>
      <c r="AD101" s="22">
        <v>0.38</v>
      </c>
      <c r="AE101" s="119"/>
      <c r="AF101" s="146">
        <v>0.38</v>
      </c>
      <c r="AG101" s="146"/>
      <c r="AH101" s="146"/>
      <c r="AI101" s="146"/>
      <c r="AJ101" s="146"/>
      <c r="AK101" s="146"/>
      <c r="AL101" s="146"/>
      <c r="AM101" s="146"/>
      <c r="AN101" s="146"/>
      <c r="AO101" s="146"/>
      <c r="AP101" s="146"/>
      <c r="AQ101" s="146"/>
      <c r="AR101" s="252"/>
      <c r="AS101" s="252"/>
      <c r="AT101" s="252"/>
      <c r="AU101" s="252"/>
      <c r="AV101" s="146">
        <v>0.38</v>
      </c>
      <c r="AY101" s="119"/>
      <c r="AZ101" s="146"/>
      <c r="BA101" s="146"/>
      <c r="BB101" s="146"/>
      <c r="BC101" s="146"/>
      <c r="BD101" s="146"/>
      <c r="BE101" s="146"/>
      <c r="BF101" s="146"/>
      <c r="BG101" s="146"/>
      <c r="BH101" s="146"/>
      <c r="BI101" s="146"/>
      <c r="BJ101" s="146"/>
      <c r="BK101" s="146"/>
      <c r="BL101" s="146">
        <v>0.38</v>
      </c>
    </row>
    <row r="102" spans="1:64" hidden="1" x14ac:dyDescent="0.25">
      <c r="A102" s="45"/>
      <c r="B102" t="s">
        <v>152</v>
      </c>
      <c r="C102" s="8"/>
      <c r="E102" s="8"/>
      <c r="G102" s="8"/>
      <c r="K102" s="22">
        <v>0.38</v>
      </c>
      <c r="L102" s="22">
        <v>0.38</v>
      </c>
      <c r="M102" s="22">
        <v>0.38</v>
      </c>
      <c r="N102" s="22">
        <v>0.38</v>
      </c>
      <c r="O102" s="22">
        <v>0.38</v>
      </c>
      <c r="Q102" s="119"/>
      <c r="R102" s="22">
        <v>0.38</v>
      </c>
      <c r="S102" s="22">
        <v>0.38</v>
      </c>
      <c r="T102" s="22">
        <v>0.38</v>
      </c>
      <c r="U102" s="22"/>
      <c r="V102" s="22">
        <v>0.38</v>
      </c>
      <c r="X102" s="22"/>
      <c r="Y102" s="119"/>
      <c r="Z102" s="22">
        <v>0.38</v>
      </c>
      <c r="AA102" s="22">
        <v>0.38</v>
      </c>
      <c r="AB102" s="22">
        <v>0.38</v>
      </c>
      <c r="AC102" s="22"/>
      <c r="AD102" s="22">
        <v>0.38</v>
      </c>
      <c r="AE102" s="119"/>
      <c r="AF102" s="146">
        <v>0.38</v>
      </c>
      <c r="AG102" s="146"/>
      <c r="AH102" s="146"/>
      <c r="AI102" s="146"/>
      <c r="AJ102" s="146"/>
      <c r="AK102" s="146"/>
      <c r="AL102" s="146"/>
      <c r="AM102" s="146"/>
      <c r="AN102" s="146"/>
      <c r="AO102" s="146"/>
      <c r="AP102" s="146"/>
      <c r="AQ102" s="146"/>
      <c r="AR102" s="252"/>
      <c r="AS102" s="252"/>
      <c r="AT102" s="252"/>
      <c r="AU102" s="252"/>
      <c r="AV102" s="146">
        <v>0.38</v>
      </c>
      <c r="AY102" s="119"/>
      <c r="AZ102" s="146"/>
      <c r="BA102" s="146"/>
      <c r="BB102" s="146"/>
      <c r="BC102" s="146"/>
      <c r="BD102" s="146"/>
      <c r="BE102" s="146"/>
      <c r="BF102" s="146"/>
      <c r="BG102" s="146"/>
      <c r="BH102" s="146"/>
      <c r="BI102" s="146"/>
      <c r="BJ102" s="146"/>
      <c r="BK102" s="146"/>
      <c r="BL102" s="146">
        <v>0.38</v>
      </c>
    </row>
    <row r="103" spans="1:64" hidden="1" x14ac:dyDescent="0.25">
      <c r="A103" s="45"/>
      <c r="B103" t="s">
        <v>150</v>
      </c>
      <c r="C103" s="8"/>
      <c r="E103" s="8"/>
      <c r="G103" s="8"/>
      <c r="K103" s="22">
        <v>0.49</v>
      </c>
      <c r="L103" s="22">
        <v>0.49</v>
      </c>
      <c r="M103" s="22">
        <v>0.49</v>
      </c>
      <c r="N103" s="22">
        <v>0.49</v>
      </c>
      <c r="O103" s="22">
        <v>0.49</v>
      </c>
      <c r="Q103" s="119"/>
      <c r="R103" s="22">
        <v>0.49</v>
      </c>
      <c r="S103" s="22">
        <v>0.49</v>
      </c>
      <c r="T103" s="22">
        <v>0.49</v>
      </c>
      <c r="U103" s="22"/>
      <c r="V103" s="22">
        <v>0.49</v>
      </c>
      <c r="X103" s="22"/>
      <c r="Y103" s="119"/>
      <c r="Z103" s="22">
        <v>0.49</v>
      </c>
      <c r="AA103" s="22">
        <v>0.49</v>
      </c>
      <c r="AB103" s="22">
        <v>0.49</v>
      </c>
      <c r="AC103" s="22"/>
      <c r="AD103" s="22">
        <v>0.49</v>
      </c>
      <c r="AE103" s="119"/>
      <c r="AF103" s="146">
        <v>0.49</v>
      </c>
      <c r="AG103" s="146"/>
      <c r="AH103" s="146"/>
      <c r="AI103" s="146"/>
      <c r="AJ103" s="146"/>
      <c r="AK103" s="146"/>
      <c r="AL103" s="146"/>
      <c r="AM103" s="146"/>
      <c r="AN103" s="146"/>
      <c r="AO103" s="146"/>
      <c r="AP103" s="146"/>
      <c r="AQ103" s="146"/>
      <c r="AR103" s="252"/>
      <c r="AS103" s="252"/>
      <c r="AT103" s="252"/>
      <c r="AU103" s="252"/>
      <c r="AV103" s="146">
        <v>0.49</v>
      </c>
      <c r="AY103" s="119"/>
      <c r="AZ103" s="146"/>
      <c r="BA103" s="146"/>
      <c r="BB103" s="146"/>
      <c r="BC103" s="146"/>
      <c r="BD103" s="146"/>
      <c r="BE103" s="146"/>
      <c r="BF103" s="146"/>
      <c r="BG103" s="146"/>
      <c r="BH103" s="146"/>
      <c r="BI103" s="146"/>
      <c r="BJ103" s="146"/>
      <c r="BK103" s="146"/>
      <c r="BL103" s="146">
        <v>0.49</v>
      </c>
    </row>
    <row r="104" spans="1:64" hidden="1" x14ac:dyDescent="0.25">
      <c r="A104" s="45"/>
      <c r="B104" t="s">
        <v>151</v>
      </c>
      <c r="C104" s="8"/>
      <c r="E104" s="8"/>
      <c r="G104" s="8"/>
      <c r="K104" s="22">
        <v>0.43</v>
      </c>
      <c r="L104" s="22">
        <v>0.43</v>
      </c>
      <c r="M104" s="22">
        <v>0.43</v>
      </c>
      <c r="N104" s="22">
        <v>0.43</v>
      </c>
      <c r="O104" s="22">
        <v>0.43</v>
      </c>
      <c r="Q104" s="119"/>
      <c r="R104" s="22">
        <v>0.43</v>
      </c>
      <c r="S104" s="22">
        <v>0.43</v>
      </c>
      <c r="T104" s="22">
        <v>0.43</v>
      </c>
      <c r="U104" s="22"/>
      <c r="V104" s="22">
        <v>0.43</v>
      </c>
      <c r="X104" s="22"/>
      <c r="Y104" s="119"/>
      <c r="Z104" s="22">
        <v>0.43</v>
      </c>
      <c r="AA104" s="22">
        <v>0.43</v>
      </c>
      <c r="AB104" s="22">
        <v>0.43</v>
      </c>
      <c r="AC104" s="22"/>
      <c r="AD104" s="22">
        <v>0.43</v>
      </c>
      <c r="AE104" s="119"/>
      <c r="AF104" s="146">
        <v>0.43</v>
      </c>
      <c r="AG104" s="146"/>
      <c r="AH104" s="146"/>
      <c r="AI104" s="146"/>
      <c r="AJ104" s="146"/>
      <c r="AK104" s="146"/>
      <c r="AL104" s="146"/>
      <c r="AM104" s="146"/>
      <c r="AN104" s="146"/>
      <c r="AO104" s="146"/>
      <c r="AP104" s="146"/>
      <c r="AQ104" s="146"/>
      <c r="AR104" s="252"/>
      <c r="AS104" s="252"/>
      <c r="AT104" s="252"/>
      <c r="AU104" s="252"/>
      <c r="AV104" s="146">
        <v>0.43</v>
      </c>
      <c r="AY104" s="119"/>
      <c r="AZ104" s="146"/>
      <c r="BA104" s="146"/>
      <c r="BB104" s="146"/>
      <c r="BC104" s="146"/>
      <c r="BD104" s="146"/>
      <c r="BE104" s="146"/>
      <c r="BF104" s="146"/>
      <c r="BG104" s="146"/>
      <c r="BH104" s="146"/>
      <c r="BI104" s="146"/>
      <c r="BJ104" s="146"/>
      <c r="BK104" s="146"/>
      <c r="BL104" s="146">
        <v>0.43</v>
      </c>
    </row>
    <row r="105" spans="1:64" hidden="1" x14ac:dyDescent="0.25">
      <c r="A105" s="45"/>
      <c r="B105" t="s">
        <v>246</v>
      </c>
      <c r="C105" s="8"/>
      <c r="E105" s="8"/>
      <c r="G105" s="8"/>
      <c r="K105" s="22">
        <v>0.2</v>
      </c>
      <c r="L105" s="22">
        <v>0.22</v>
      </c>
      <c r="M105" s="22">
        <v>0.23</v>
      </c>
      <c r="N105" s="22">
        <v>0.35</v>
      </c>
      <c r="O105" s="22">
        <f>SUM(K105:N105)</f>
        <v>1</v>
      </c>
      <c r="R105" s="22">
        <v>0.2</v>
      </c>
      <c r="S105" s="22">
        <v>0.22</v>
      </c>
      <c r="T105" s="22">
        <v>0.23</v>
      </c>
      <c r="U105" s="22"/>
      <c r="V105" s="22">
        <f>SUM(R105:U105)</f>
        <v>0.65</v>
      </c>
      <c r="Z105" s="22">
        <v>0.2</v>
      </c>
      <c r="AA105" s="22">
        <v>0.22</v>
      </c>
      <c r="AB105" s="22">
        <v>0.23</v>
      </c>
      <c r="AC105" s="22"/>
      <c r="AD105" s="22">
        <f>SUM(Z105:AC105)</f>
        <v>0.65</v>
      </c>
      <c r="AF105" s="146">
        <v>0.23</v>
      </c>
      <c r="AG105" s="146"/>
      <c r="AH105" s="146"/>
      <c r="AI105" s="146"/>
      <c r="AJ105" s="146"/>
      <c r="AK105" s="146"/>
      <c r="AL105" s="146"/>
      <c r="AM105" s="146"/>
      <c r="AN105" s="146"/>
      <c r="AO105" s="146"/>
      <c r="AP105" s="146"/>
      <c r="AQ105" s="146"/>
      <c r="AR105" s="252"/>
      <c r="AS105" s="252"/>
      <c r="AT105" s="252"/>
      <c r="AU105" s="252"/>
      <c r="AV105" s="146">
        <f>SUM(AF105:AU105)</f>
        <v>0.23</v>
      </c>
      <c r="AZ105" s="146"/>
      <c r="BA105" s="146"/>
      <c r="BB105" s="146"/>
      <c r="BC105" s="146"/>
      <c r="BD105" s="146"/>
      <c r="BE105" s="146"/>
      <c r="BF105" s="146"/>
      <c r="BG105" s="146"/>
      <c r="BH105" s="146"/>
      <c r="BI105" s="146"/>
      <c r="BJ105" s="146"/>
      <c r="BK105" s="146"/>
      <c r="BL105" s="146">
        <f>SUM(AV105:BK105)</f>
        <v>0.23</v>
      </c>
    </row>
    <row r="106" spans="1:64" hidden="1" x14ac:dyDescent="0.25">
      <c r="A106" s="45"/>
      <c r="C106" s="8"/>
      <c r="E106" s="8"/>
      <c r="G106" s="8"/>
      <c r="AR106" s="104"/>
      <c r="AS106" s="104"/>
      <c r="AT106" s="104"/>
      <c r="AU106" s="104"/>
    </row>
    <row r="107" spans="1:64" hidden="1" x14ac:dyDescent="0.25">
      <c r="A107" s="45"/>
      <c r="C107" s="8"/>
      <c r="E107" s="8"/>
      <c r="G107" s="8"/>
      <c r="AR107" s="104"/>
      <c r="AS107" s="104"/>
      <c r="AT107" s="104"/>
      <c r="AU107" s="104"/>
    </row>
    <row r="108" spans="1:64" hidden="1" x14ac:dyDescent="0.25">
      <c r="A108" s="151" t="s">
        <v>194</v>
      </c>
      <c r="B108" s="12"/>
      <c r="C108" s="13"/>
      <c r="E108" s="13"/>
      <c r="G108" s="13"/>
      <c r="AR108" s="104"/>
      <c r="AS108" s="104"/>
      <c r="AT108" s="104"/>
      <c r="AU108" s="104"/>
    </row>
    <row r="109" spans="1:64" hidden="1" x14ac:dyDescent="0.25">
      <c r="A109" s="152"/>
      <c r="C109" s="15" t="s">
        <v>195</v>
      </c>
      <c r="E109" s="15" t="s">
        <v>196</v>
      </c>
      <c r="G109" s="15" t="s">
        <v>197</v>
      </c>
      <c r="AR109" s="104"/>
      <c r="AS109" s="104"/>
      <c r="AT109" s="104"/>
      <c r="AU109" s="104"/>
    </row>
    <row r="110" spans="1:64" hidden="1" x14ac:dyDescent="0.25">
      <c r="A110" s="152"/>
      <c r="B110" t="s">
        <v>153</v>
      </c>
      <c r="C110" s="17">
        <v>4.1500000000000004</v>
      </c>
      <c r="E110" s="17">
        <v>6.22</v>
      </c>
      <c r="G110" s="17">
        <v>12</v>
      </c>
      <c r="AR110" s="104"/>
      <c r="AS110" s="104"/>
      <c r="AT110" s="104"/>
      <c r="AU110" s="104"/>
    </row>
    <row r="111" spans="1:64" hidden="1" x14ac:dyDescent="0.25">
      <c r="A111" s="152"/>
      <c r="B111" t="s">
        <v>152</v>
      </c>
      <c r="C111" s="17">
        <v>4.1500000000000004</v>
      </c>
      <c r="E111" s="17">
        <v>6.22</v>
      </c>
      <c r="G111" s="17">
        <v>12</v>
      </c>
      <c r="AR111" s="104"/>
      <c r="AS111" s="104"/>
      <c r="AT111" s="104"/>
      <c r="AU111" s="104"/>
    </row>
    <row r="112" spans="1:64" hidden="1" x14ac:dyDescent="0.25">
      <c r="A112" s="152"/>
      <c r="B112" t="s">
        <v>150</v>
      </c>
      <c r="C112" s="17">
        <v>3.15</v>
      </c>
      <c r="E112" s="17">
        <v>5.0999999999999996</v>
      </c>
      <c r="G112" s="17">
        <v>9.6</v>
      </c>
      <c r="AR112" s="104"/>
      <c r="AS112" s="104"/>
      <c r="AT112" s="104"/>
      <c r="AU112" s="104"/>
    </row>
    <row r="113" spans="1:64" hidden="1" x14ac:dyDescent="0.25">
      <c r="A113" s="152"/>
      <c r="B113" t="s">
        <v>151</v>
      </c>
      <c r="C113" s="17">
        <v>3.5</v>
      </c>
      <c r="E113" s="17">
        <v>5.0999999999999996</v>
      </c>
      <c r="G113" s="17">
        <v>10</v>
      </c>
      <c r="AR113" s="104"/>
      <c r="AS113" s="104"/>
      <c r="AT113" s="104"/>
      <c r="AU113" s="104"/>
    </row>
    <row r="114" spans="1:64" hidden="1" x14ac:dyDescent="0.25">
      <c r="A114" s="154"/>
      <c r="B114" s="19" t="s">
        <v>199</v>
      </c>
      <c r="C114" s="20">
        <v>1.58</v>
      </c>
      <c r="E114" s="20">
        <v>2</v>
      </c>
      <c r="G114" s="20">
        <v>4.08</v>
      </c>
      <c r="AR114" s="104"/>
      <c r="AS114" s="104"/>
      <c r="AT114" s="104"/>
      <c r="AU114" s="104"/>
    </row>
    <row r="115" spans="1:64" hidden="1" x14ac:dyDescent="0.25">
      <c r="A115" s="45"/>
      <c r="C115" s="8"/>
      <c r="E115" s="8"/>
      <c r="G115" s="8"/>
      <c r="AR115" s="104"/>
      <c r="AS115" s="104"/>
      <c r="AT115" s="104">
        <f>70000/0.4</f>
        <v>175000</v>
      </c>
      <c r="AU115" s="104"/>
      <c r="BJ115" s="108">
        <f>70000/0.4</f>
        <v>175000</v>
      </c>
    </row>
    <row r="116" spans="1:64" hidden="1" x14ac:dyDescent="0.25">
      <c r="A116" s="45"/>
      <c r="C116" s="22"/>
      <c r="E116" s="22"/>
      <c r="G116" s="22"/>
      <c r="AR116" s="104"/>
      <c r="AS116" s="104"/>
      <c r="AT116" s="104"/>
      <c r="AU116" s="104"/>
    </row>
    <row r="117" spans="1:64" hidden="1" x14ac:dyDescent="0.25">
      <c r="A117" s="45"/>
      <c r="C117" s="8"/>
      <c r="E117" s="8"/>
      <c r="G117" s="8"/>
      <c r="AR117" s="104"/>
      <c r="AS117" s="104"/>
      <c r="AT117" s="104"/>
      <c r="AU117" s="104"/>
    </row>
    <row r="118" spans="1:64" hidden="1" x14ac:dyDescent="0.25">
      <c r="A118" s="45"/>
      <c r="C118" s="8"/>
      <c r="E118" s="8"/>
      <c r="G118" s="8"/>
      <c r="AR118" s="104"/>
      <c r="AS118" s="104"/>
      <c r="AT118" s="104"/>
      <c r="AU118" s="104"/>
    </row>
    <row r="119" spans="1:64" ht="15.75" thickBot="1" x14ac:dyDescent="0.3">
      <c r="A119" s="45" t="s">
        <v>521</v>
      </c>
      <c r="N119" s="130">
        <f>N91+N92</f>
        <v>166161</v>
      </c>
      <c r="R119" s="130">
        <f t="shared" ref="R119:V119" si="208">R91+R92</f>
        <v>16552</v>
      </c>
      <c r="S119" s="130">
        <f t="shared" si="208"/>
        <v>-898</v>
      </c>
      <c r="T119" s="130">
        <f t="shared" si="208"/>
        <v>550</v>
      </c>
      <c r="U119" s="130">
        <f t="shared" si="208"/>
        <v>76321.760000000009</v>
      </c>
      <c r="V119" s="130">
        <f t="shared" si="208"/>
        <v>76321.760000000009</v>
      </c>
      <c r="Z119" s="130">
        <f t="shared" ref="Z119:AC119" si="209">Z91+Z92</f>
        <v>50233.520000000019</v>
      </c>
      <c r="AA119" s="130">
        <f t="shared" si="209"/>
        <v>51682.60000000002</v>
      </c>
      <c r="AB119" s="130">
        <f t="shared" si="209"/>
        <v>60502.840000000026</v>
      </c>
      <c r="AC119" s="130">
        <f t="shared" si="209"/>
        <v>111123.08000000003</v>
      </c>
      <c r="AD119" s="130">
        <f t="shared" ref="AD119" si="210">AD91+AD92</f>
        <v>111123.08000000002</v>
      </c>
      <c r="AG119" s="130">
        <f>AG91+AG92</f>
        <v>4405</v>
      </c>
      <c r="AH119" s="130">
        <f>AH91+AH92</f>
        <v>-12119.299999999988</v>
      </c>
      <c r="AI119" s="130">
        <f t="shared" ref="AI119:AV119" si="211">AI91+AI92</f>
        <v>166376</v>
      </c>
      <c r="AJ119" s="130">
        <f t="shared" si="211"/>
        <v>-3652</v>
      </c>
      <c r="AK119" s="130">
        <f t="shared" si="211"/>
        <v>-2961</v>
      </c>
      <c r="AL119" s="130">
        <f t="shared" si="211"/>
        <v>16552</v>
      </c>
      <c r="AM119" s="130">
        <f t="shared" si="211"/>
        <v>-1655</v>
      </c>
      <c r="AN119" s="130">
        <f t="shared" si="211"/>
        <v>124</v>
      </c>
      <c r="AO119" s="130">
        <f t="shared" si="211"/>
        <v>-898</v>
      </c>
      <c r="AP119" s="130">
        <f t="shared" si="211"/>
        <v>1156</v>
      </c>
      <c r="AQ119" s="130">
        <f t="shared" si="211"/>
        <v>6800</v>
      </c>
      <c r="AR119" s="211">
        <f t="shared" si="211"/>
        <v>550</v>
      </c>
      <c r="AS119" s="211">
        <f t="shared" si="211"/>
        <v>379.91999999999825</v>
      </c>
      <c r="AT119" s="211">
        <f t="shared" si="211"/>
        <v>100322.84</v>
      </c>
      <c r="AU119" s="211">
        <f t="shared" si="211"/>
        <v>76321.759999999995</v>
      </c>
      <c r="AV119" s="130">
        <f t="shared" si="211"/>
        <v>76321.760000000009</v>
      </c>
      <c r="AZ119" s="130">
        <f t="shared" ref="AZ119:BL119" si="212">AZ91+AZ92</f>
        <v>64452.679999999993</v>
      </c>
      <c r="BA119" s="130">
        <f t="shared" si="212"/>
        <v>58648.599999999991</v>
      </c>
      <c r="BB119" s="130">
        <f t="shared" si="212"/>
        <v>50233.51999999999</v>
      </c>
      <c r="BC119" s="130">
        <f t="shared" si="212"/>
        <v>53100.439999999988</v>
      </c>
      <c r="BD119" s="130">
        <f t="shared" si="212"/>
        <v>57819.51999999999</v>
      </c>
      <c r="BE119" s="130">
        <f t="shared" si="212"/>
        <v>51682.599999999991</v>
      </c>
      <c r="BF119" s="130">
        <f t="shared" si="212"/>
        <v>50222.679999999993</v>
      </c>
      <c r="BG119" s="130">
        <f t="shared" si="212"/>
        <v>53162.759999999995</v>
      </c>
      <c r="BH119" s="130">
        <f t="shared" si="212"/>
        <v>60502.84</v>
      </c>
      <c r="BI119" s="130">
        <f t="shared" si="212"/>
        <v>85442.92</v>
      </c>
      <c r="BJ119" s="130">
        <f t="shared" si="212"/>
        <v>110383</v>
      </c>
      <c r="BK119" s="130">
        <f t="shared" si="212"/>
        <v>111123.08</v>
      </c>
      <c r="BL119" s="130">
        <f t="shared" si="212"/>
        <v>111123.08</v>
      </c>
    </row>
    <row r="120" spans="1:64" ht="15.75" hidden="1" thickTop="1" x14ac:dyDescent="0.25">
      <c r="AK120" s="140"/>
      <c r="AQ120" s="108">
        <v>6800</v>
      </c>
      <c r="BA120" s="140"/>
    </row>
    <row r="121" spans="1:64" s="39" customFormat="1" hidden="1" x14ac:dyDescent="0.25">
      <c r="A121" s="105" t="s">
        <v>522</v>
      </c>
      <c r="B121" s="105"/>
      <c r="C121" s="105"/>
      <c r="D121" s="175"/>
      <c r="E121" s="105"/>
      <c r="F121" s="175"/>
      <c r="G121" s="105"/>
      <c r="H121" s="175"/>
      <c r="I121" s="105"/>
      <c r="J121" s="175"/>
      <c r="K121" s="105"/>
      <c r="L121" s="105"/>
      <c r="M121" s="105"/>
      <c r="N121" s="105"/>
      <c r="O121" s="105"/>
      <c r="P121" s="175"/>
      <c r="Q121" s="180"/>
      <c r="R121" s="105"/>
      <c r="S121" s="105"/>
      <c r="T121" s="105"/>
      <c r="U121" s="105"/>
      <c r="V121" s="105"/>
      <c r="W121" s="175"/>
      <c r="X121" s="105"/>
      <c r="Y121" s="180"/>
      <c r="Z121" s="105"/>
      <c r="AA121" s="105"/>
      <c r="AB121" s="105"/>
      <c r="AC121" s="105"/>
      <c r="AD121" s="105"/>
      <c r="AE121" s="180"/>
      <c r="AF121" s="105"/>
      <c r="AG121" s="105"/>
      <c r="AH121" s="105"/>
      <c r="AI121" s="105"/>
      <c r="AJ121" s="105"/>
      <c r="AK121" s="105"/>
      <c r="AL121" s="140"/>
      <c r="AM121" s="140"/>
      <c r="AN121" s="140"/>
      <c r="AO121" s="140"/>
      <c r="AP121" s="140"/>
      <c r="AQ121" s="140"/>
      <c r="AR121" s="140"/>
      <c r="AS121" s="140"/>
      <c r="AT121" s="140"/>
      <c r="AU121" s="140"/>
      <c r="AV121" s="140"/>
      <c r="AW121" s="143"/>
      <c r="AX121" s="143"/>
      <c r="AY121" s="156"/>
      <c r="AZ121" s="105"/>
      <c r="BA121" s="105"/>
      <c r="BB121" s="140"/>
      <c r="BC121" s="140"/>
      <c r="BD121" s="140"/>
      <c r="BE121" s="140"/>
      <c r="BF121" s="140"/>
      <c r="BG121" s="140"/>
      <c r="BH121" s="140"/>
      <c r="BI121" s="140"/>
      <c r="BJ121" s="140"/>
      <c r="BK121" s="140"/>
      <c r="BL121" s="140"/>
    </row>
    <row r="122" spans="1:64" s="39" customFormat="1" hidden="1" x14ac:dyDescent="0.25">
      <c r="A122" s="105"/>
      <c r="B122" s="105" t="s">
        <v>523</v>
      </c>
      <c r="C122" s="105"/>
      <c r="D122" s="175"/>
      <c r="E122" s="105"/>
      <c r="F122" s="175"/>
      <c r="G122" s="105"/>
      <c r="H122" s="175"/>
      <c r="I122" s="105"/>
      <c r="J122" s="175"/>
      <c r="K122" s="105"/>
      <c r="L122" s="105"/>
      <c r="M122" s="105"/>
      <c r="N122" s="105"/>
      <c r="O122" s="105"/>
      <c r="P122" s="175"/>
      <c r="Q122" s="180"/>
      <c r="R122" s="105"/>
      <c r="S122" s="105"/>
      <c r="T122" s="105"/>
      <c r="U122" s="105"/>
      <c r="V122" s="105"/>
      <c r="W122" s="175"/>
      <c r="X122" s="105"/>
      <c r="Y122" s="180"/>
      <c r="Z122" s="105"/>
      <c r="AA122" s="105"/>
      <c r="AB122" s="105"/>
      <c r="AC122" s="105"/>
      <c r="AD122" s="105"/>
      <c r="AE122" s="180"/>
      <c r="AF122" s="105"/>
      <c r="AG122" s="105"/>
      <c r="AH122" s="105"/>
      <c r="AI122" s="105"/>
      <c r="AJ122" s="105"/>
      <c r="AK122" s="105"/>
      <c r="AL122" s="140"/>
      <c r="AM122" s="140"/>
      <c r="AN122" s="140"/>
      <c r="AO122" s="140"/>
      <c r="AP122" s="140"/>
      <c r="AQ122" s="140"/>
      <c r="AR122" s="140"/>
      <c r="AS122" s="140"/>
      <c r="AT122" s="140"/>
      <c r="AU122" s="140"/>
      <c r="AV122" s="140"/>
      <c r="AW122" s="143"/>
      <c r="AX122" s="143"/>
      <c r="AY122" s="156"/>
      <c r="AZ122" s="105"/>
      <c r="BA122" s="105"/>
      <c r="BB122" s="140"/>
      <c r="BC122" s="140"/>
      <c r="BD122" s="140"/>
      <c r="BE122" s="140"/>
      <c r="BF122" s="140"/>
      <c r="BG122" s="140"/>
      <c r="BH122" s="140"/>
      <c r="BI122" s="140"/>
      <c r="BJ122" s="140"/>
      <c r="BK122" s="140"/>
      <c r="BL122" s="140"/>
    </row>
    <row r="123" spans="1:64" s="39" customFormat="1" hidden="1" x14ac:dyDescent="0.25">
      <c r="A123" s="105"/>
      <c r="B123" s="105" t="s">
        <v>1792</v>
      </c>
      <c r="C123" s="105"/>
      <c r="D123" s="175"/>
      <c r="E123" s="105"/>
      <c r="F123" s="175"/>
      <c r="G123" s="105"/>
      <c r="H123" s="175"/>
      <c r="I123" s="105"/>
      <c r="J123" s="175"/>
      <c r="K123" s="105"/>
      <c r="L123" s="105"/>
      <c r="M123" s="105"/>
      <c r="N123" s="105"/>
      <c r="O123" s="105"/>
      <c r="P123" s="175"/>
      <c r="Q123" s="180"/>
      <c r="R123" s="105"/>
      <c r="S123" s="105"/>
      <c r="T123" s="105"/>
      <c r="U123" s="105"/>
      <c r="V123" s="105"/>
      <c r="W123" s="175"/>
      <c r="X123" s="183">
        <v>5600</v>
      </c>
      <c r="Y123" s="180"/>
      <c r="Z123" s="105"/>
      <c r="AA123" s="105"/>
      <c r="AB123" s="105"/>
      <c r="AC123" s="105"/>
      <c r="AD123" s="105"/>
      <c r="AE123" s="180"/>
      <c r="AF123" s="176">
        <v>59170</v>
      </c>
      <c r="AG123" s="176">
        <v>47982</v>
      </c>
      <c r="AH123" s="176">
        <v>42582</v>
      </c>
      <c r="AI123" s="176">
        <v>42582</v>
      </c>
      <c r="AJ123" s="176">
        <v>31782</v>
      </c>
      <c r="AK123" s="176">
        <v>31782</v>
      </c>
      <c r="AL123" s="176">
        <v>31782</v>
      </c>
      <c r="AM123" s="176">
        <v>31782</v>
      </c>
      <c r="AN123" s="176">
        <v>31782</v>
      </c>
      <c r="AO123" s="176">
        <v>31782</v>
      </c>
      <c r="AP123" s="176">
        <v>26382</v>
      </c>
      <c r="AQ123" s="176">
        <v>26382</v>
      </c>
      <c r="AR123" s="157"/>
      <c r="AS123" s="157"/>
      <c r="AT123" s="157"/>
      <c r="AU123" s="157"/>
      <c r="AV123" s="140" t="s">
        <v>1781</v>
      </c>
      <c r="AW123" s="143"/>
      <c r="AX123" s="143"/>
      <c r="AY123" s="156"/>
      <c r="AZ123" s="176"/>
      <c r="BA123" s="176"/>
      <c r="BB123" s="176"/>
      <c r="BC123" s="176"/>
      <c r="BD123" s="176"/>
      <c r="BE123" s="176"/>
      <c r="BF123" s="157"/>
      <c r="BG123" s="157"/>
      <c r="BH123" s="157"/>
      <c r="BI123" s="157"/>
      <c r="BJ123" s="157"/>
      <c r="BK123" s="157"/>
      <c r="BL123" s="140" t="s">
        <v>1781</v>
      </c>
    </row>
    <row r="124" spans="1:64" s="39" customFormat="1" hidden="1" x14ac:dyDescent="0.25">
      <c r="A124" s="105"/>
      <c r="B124" s="105" t="s">
        <v>524</v>
      </c>
      <c r="C124" s="105"/>
      <c r="D124" s="175"/>
      <c r="E124" s="105"/>
      <c r="F124" s="175"/>
      <c r="G124" s="105"/>
      <c r="H124" s="175"/>
      <c r="I124" s="105"/>
      <c r="J124" s="175"/>
      <c r="K124" s="105"/>
      <c r="L124" s="105"/>
      <c r="M124" s="105"/>
      <c r="N124" s="105"/>
      <c r="O124" s="105"/>
      <c r="P124" s="175"/>
      <c r="Q124" s="180"/>
      <c r="R124" s="105"/>
      <c r="S124" s="105"/>
      <c r="T124" s="105"/>
      <c r="U124" s="105"/>
      <c r="V124" s="105"/>
      <c r="W124" s="175"/>
      <c r="X124" s="183">
        <v>250</v>
      </c>
      <c r="Y124" s="180"/>
      <c r="Z124" s="105"/>
      <c r="AA124" s="105"/>
      <c r="AB124" s="105"/>
      <c r="AC124" s="105"/>
      <c r="AD124" s="105"/>
      <c r="AE124" s="180"/>
      <c r="AF124" s="176">
        <v>6337</v>
      </c>
      <c r="AG124" s="176">
        <v>3632</v>
      </c>
      <c r="AH124" s="176">
        <v>8682</v>
      </c>
      <c r="AI124" s="176">
        <v>8931</v>
      </c>
      <c r="AJ124" s="176">
        <v>6561</v>
      </c>
      <c r="AK124" s="176">
        <v>9012</v>
      </c>
      <c r="AL124" s="176">
        <v>8588</v>
      </c>
      <c r="AM124" s="176">
        <v>9101</v>
      </c>
      <c r="AN124" s="176">
        <v>8943</v>
      </c>
      <c r="AO124" s="176">
        <v>9064</v>
      </c>
      <c r="AP124" s="176">
        <v>8858</v>
      </c>
      <c r="AQ124" s="176">
        <v>15217</v>
      </c>
      <c r="AR124" s="157"/>
      <c r="AS124" s="157"/>
      <c r="AT124" s="157"/>
      <c r="AU124" s="157"/>
      <c r="AV124" s="140" t="s">
        <v>2128</v>
      </c>
      <c r="AW124" s="143"/>
      <c r="AX124" s="143"/>
      <c r="AY124" s="156"/>
      <c r="AZ124" s="176"/>
      <c r="BA124" s="176"/>
      <c r="BB124" s="176"/>
      <c r="BC124" s="176"/>
      <c r="BD124" s="176"/>
      <c r="BE124" s="176"/>
      <c r="BF124" s="157"/>
      <c r="BG124" s="157"/>
      <c r="BH124" s="157"/>
      <c r="BI124" s="157"/>
      <c r="BJ124" s="157"/>
      <c r="BK124" s="157"/>
      <c r="BL124" s="140" t="s">
        <v>2128</v>
      </c>
    </row>
    <row r="125" spans="1:64" s="39" customFormat="1" hidden="1" x14ac:dyDescent="0.25">
      <c r="A125" s="105"/>
      <c r="B125" s="105" t="s">
        <v>2133</v>
      </c>
      <c r="C125" s="105"/>
      <c r="D125" s="175"/>
      <c r="E125" s="105"/>
      <c r="F125" s="175"/>
      <c r="G125" s="105"/>
      <c r="H125" s="175"/>
      <c r="I125" s="105"/>
      <c r="J125" s="175"/>
      <c r="K125" s="105"/>
      <c r="L125" s="105"/>
      <c r="M125" s="105"/>
      <c r="N125" s="105"/>
      <c r="O125" s="105"/>
      <c r="P125" s="175"/>
      <c r="Q125" s="180"/>
      <c r="R125" s="105"/>
      <c r="S125" s="105"/>
      <c r="T125" s="105"/>
      <c r="U125" s="105"/>
      <c r="V125" s="105"/>
      <c r="W125" s="175"/>
      <c r="X125" s="183">
        <v>1750</v>
      </c>
      <c r="Y125" s="180"/>
      <c r="Z125" s="105"/>
      <c r="AA125" s="105"/>
      <c r="AB125" s="105"/>
      <c r="AC125" s="105"/>
      <c r="AD125" s="105"/>
      <c r="AE125" s="180"/>
      <c r="AF125" s="176">
        <v>64197</v>
      </c>
      <c r="AG125" s="176">
        <v>63506</v>
      </c>
      <c r="AH125" s="176">
        <v>62896</v>
      </c>
      <c r="AI125" s="176">
        <v>62220</v>
      </c>
      <c r="AJ125" s="176">
        <v>61823</v>
      </c>
      <c r="AK125" s="176">
        <v>61197</v>
      </c>
      <c r="AL125" s="176">
        <v>60542</v>
      </c>
      <c r="AM125" s="176">
        <v>59989</v>
      </c>
      <c r="AN125" s="176">
        <v>61045</v>
      </c>
      <c r="AO125" s="176">
        <v>62195</v>
      </c>
      <c r="AP125" s="176">
        <v>63290</v>
      </c>
      <c r="AQ125" s="176">
        <v>62282</v>
      </c>
      <c r="AR125" s="157"/>
      <c r="AS125" s="157"/>
      <c r="AT125" s="157"/>
      <c r="AU125" s="157"/>
      <c r="AV125" s="140" t="s">
        <v>2129</v>
      </c>
      <c r="AW125" s="143"/>
      <c r="AX125" s="143"/>
      <c r="AY125" s="156"/>
      <c r="AZ125" s="176"/>
      <c r="BA125" s="176"/>
      <c r="BB125" s="176"/>
      <c r="BC125" s="176"/>
      <c r="BD125" s="176"/>
      <c r="BE125" s="176"/>
      <c r="BF125" s="157"/>
      <c r="BG125" s="157"/>
      <c r="BH125" s="157"/>
      <c r="BI125" s="157"/>
      <c r="BJ125" s="157"/>
      <c r="BK125" s="157"/>
      <c r="BL125" s="140" t="s">
        <v>2129</v>
      </c>
    </row>
    <row r="126" spans="1:64" s="39" customFormat="1" hidden="1" x14ac:dyDescent="0.25">
      <c r="A126" s="105"/>
      <c r="B126" s="105" t="s">
        <v>526</v>
      </c>
      <c r="C126" s="105"/>
      <c r="D126" s="175"/>
      <c r="E126" s="105"/>
      <c r="F126" s="175"/>
      <c r="G126" s="105"/>
      <c r="H126" s="175"/>
      <c r="I126" s="105"/>
      <c r="J126" s="175"/>
      <c r="K126" s="105"/>
      <c r="L126" s="105"/>
      <c r="M126" s="105"/>
      <c r="N126" s="105"/>
      <c r="O126" s="105"/>
      <c r="P126" s="175"/>
      <c r="Q126" s="180"/>
      <c r="R126" s="105"/>
      <c r="S126" s="105"/>
      <c r="T126" s="105"/>
      <c r="U126" s="105"/>
      <c r="V126" s="105"/>
      <c r="W126" s="175"/>
      <c r="X126" s="183">
        <v>140</v>
      </c>
      <c r="Y126" s="180"/>
      <c r="Z126" s="105"/>
      <c r="AA126" s="105"/>
      <c r="AB126" s="105"/>
      <c r="AC126" s="105"/>
      <c r="AD126" s="105"/>
      <c r="AE126" s="180"/>
      <c r="AF126" s="176">
        <v>12362</v>
      </c>
      <c r="AG126" s="176">
        <v>12579</v>
      </c>
      <c r="AH126" s="176">
        <v>12759.7</v>
      </c>
      <c r="AI126" s="176">
        <v>12814</v>
      </c>
      <c r="AJ126" s="176">
        <v>0</v>
      </c>
      <c r="AK126" s="176">
        <v>636</v>
      </c>
      <c r="AL126" s="176">
        <v>267</v>
      </c>
      <c r="AM126" s="176">
        <v>313</v>
      </c>
      <c r="AN126" s="176">
        <v>594</v>
      </c>
      <c r="AO126" s="176">
        <v>63</v>
      </c>
      <c r="AP126" s="176">
        <v>822</v>
      </c>
      <c r="AQ126" s="176">
        <v>1022</v>
      </c>
      <c r="AR126" s="157"/>
      <c r="AS126" s="157"/>
      <c r="AT126" s="157"/>
      <c r="AU126" s="157"/>
      <c r="AV126" s="140"/>
      <c r="AW126" s="143"/>
      <c r="AX126" s="143"/>
      <c r="AY126" s="156"/>
      <c r="AZ126" s="176"/>
      <c r="BA126" s="176"/>
      <c r="BB126" s="176"/>
      <c r="BC126" s="176"/>
      <c r="BD126" s="176"/>
      <c r="BE126" s="176"/>
      <c r="BF126" s="157"/>
      <c r="BG126" s="157"/>
      <c r="BH126" s="157"/>
      <c r="BI126" s="157"/>
      <c r="BJ126" s="157"/>
      <c r="BK126" s="157"/>
      <c r="BL126" s="140"/>
    </row>
    <row r="127" spans="1:64" s="39" customFormat="1" hidden="1" x14ac:dyDescent="0.25">
      <c r="A127" s="105"/>
      <c r="B127" s="105" t="s">
        <v>1784</v>
      </c>
      <c r="C127" s="105"/>
      <c r="D127" s="175"/>
      <c r="E127" s="105"/>
      <c r="F127" s="175"/>
      <c r="G127" s="105"/>
      <c r="H127" s="175"/>
      <c r="I127" s="105"/>
      <c r="J127" s="175"/>
      <c r="K127" s="105"/>
      <c r="L127" s="105"/>
      <c r="M127" s="105"/>
      <c r="N127" s="105"/>
      <c r="O127" s="105"/>
      <c r="P127" s="175"/>
      <c r="Q127" s="180"/>
      <c r="R127" s="105"/>
      <c r="S127" s="105"/>
      <c r="T127" s="105"/>
      <c r="U127" s="105"/>
      <c r="V127" s="105"/>
      <c r="W127" s="175"/>
      <c r="X127" s="183">
        <v>0</v>
      </c>
      <c r="Y127" s="180"/>
      <c r="Z127" s="105"/>
      <c r="AA127" s="105"/>
      <c r="AB127" s="105"/>
      <c r="AC127" s="105"/>
      <c r="AD127" s="105"/>
      <c r="AE127" s="180"/>
      <c r="AF127" s="181">
        <v>32511</v>
      </c>
      <c r="AG127" s="181">
        <v>31427</v>
      </c>
      <c r="AH127" s="181">
        <v>30379</v>
      </c>
      <c r="AI127" s="181">
        <v>29283</v>
      </c>
      <c r="AJ127" s="181">
        <v>28256</v>
      </c>
      <c r="AK127" s="181">
        <v>27214</v>
      </c>
      <c r="AL127" s="181">
        <v>26181</v>
      </c>
      <c r="AM127" s="181">
        <v>25166</v>
      </c>
      <c r="AN127" s="181">
        <v>24155</v>
      </c>
      <c r="AO127" s="181">
        <v>0</v>
      </c>
      <c r="AP127" s="181">
        <v>0</v>
      </c>
      <c r="AQ127" s="181">
        <v>0</v>
      </c>
      <c r="AR127" s="157"/>
      <c r="AS127" s="157"/>
      <c r="AT127" s="157"/>
      <c r="AU127" s="157"/>
      <c r="AV127" s="140"/>
      <c r="AW127" s="143"/>
      <c r="AX127" s="143"/>
      <c r="AY127" s="156"/>
      <c r="AZ127" s="181"/>
      <c r="BA127" s="181"/>
      <c r="BB127" s="181"/>
      <c r="BC127" s="181"/>
      <c r="BD127" s="181"/>
      <c r="BE127" s="181"/>
      <c r="BF127" s="157"/>
      <c r="BG127" s="157"/>
      <c r="BH127" s="157"/>
      <c r="BI127" s="157"/>
      <c r="BJ127" s="157"/>
      <c r="BK127" s="157"/>
      <c r="BL127" s="140"/>
    </row>
    <row r="128" spans="1:64" s="39" customFormat="1" hidden="1" x14ac:dyDescent="0.25">
      <c r="A128" s="105"/>
      <c r="B128" s="105" t="s">
        <v>527</v>
      </c>
      <c r="C128" s="105"/>
      <c r="D128" s="175"/>
      <c r="E128" s="105"/>
      <c r="F128" s="175"/>
      <c r="G128" s="105"/>
      <c r="H128" s="175"/>
      <c r="I128" s="105"/>
      <c r="J128" s="175"/>
      <c r="K128" s="105"/>
      <c r="L128" s="105"/>
      <c r="M128" s="105"/>
      <c r="N128" s="105"/>
      <c r="O128" s="105"/>
      <c r="P128" s="175"/>
      <c r="Q128" s="180"/>
      <c r="R128" s="105"/>
      <c r="S128" s="105"/>
      <c r="T128" s="105"/>
      <c r="U128" s="105"/>
      <c r="V128" s="105"/>
      <c r="W128" s="175"/>
      <c r="X128" s="183"/>
      <c r="Y128" s="180"/>
      <c r="Z128" s="105"/>
      <c r="AA128" s="105"/>
      <c r="AB128" s="105"/>
      <c r="AC128" s="105"/>
      <c r="AD128" s="105"/>
      <c r="AE128" s="180"/>
      <c r="AF128" s="176">
        <f>SUM(AF123:AF127)</f>
        <v>174577</v>
      </c>
      <c r="AG128" s="176">
        <f>SUM(AG123:AG127)</f>
        <v>159126</v>
      </c>
      <c r="AH128" s="176">
        <f t="shared" ref="AH128:AQ128" si="213">SUM(AH123:AH127)</f>
        <v>157298.70000000001</v>
      </c>
      <c r="AI128" s="176">
        <f t="shared" si="213"/>
        <v>155830</v>
      </c>
      <c r="AJ128" s="176">
        <f t="shared" si="213"/>
        <v>128422</v>
      </c>
      <c r="AK128" s="176">
        <f t="shared" si="213"/>
        <v>129841</v>
      </c>
      <c r="AL128" s="176">
        <f t="shared" si="213"/>
        <v>127360</v>
      </c>
      <c r="AM128" s="176">
        <f t="shared" si="213"/>
        <v>126351</v>
      </c>
      <c r="AN128" s="176">
        <f t="shared" si="213"/>
        <v>126519</v>
      </c>
      <c r="AO128" s="176">
        <f t="shared" si="213"/>
        <v>103104</v>
      </c>
      <c r="AP128" s="176">
        <f t="shared" si="213"/>
        <v>99352</v>
      </c>
      <c r="AQ128" s="176">
        <f t="shared" si="213"/>
        <v>104903</v>
      </c>
      <c r="AR128" s="157"/>
      <c r="AS128" s="157"/>
      <c r="AT128" s="157"/>
      <c r="AU128" s="157"/>
      <c r="AV128" s="140"/>
      <c r="AW128" s="143"/>
      <c r="AX128" s="143"/>
      <c r="AY128" s="156"/>
      <c r="AZ128" s="176"/>
      <c r="BA128" s="176"/>
      <c r="BB128" s="176"/>
      <c r="BC128" s="176"/>
      <c r="BD128" s="176"/>
      <c r="BE128" s="176"/>
      <c r="BF128" s="157"/>
      <c r="BG128" s="157"/>
      <c r="BH128" s="157"/>
      <c r="BI128" s="157"/>
      <c r="BJ128" s="157"/>
      <c r="BK128" s="157"/>
      <c r="BL128" s="140"/>
    </row>
    <row r="129" spans="1:64" s="39" customFormat="1" hidden="1" x14ac:dyDescent="0.25">
      <c r="A129" s="105"/>
      <c r="B129" s="105" t="s">
        <v>513</v>
      </c>
      <c r="C129" s="105"/>
      <c r="D129" s="175"/>
      <c r="E129" s="105"/>
      <c r="F129" s="175"/>
      <c r="G129" s="105"/>
      <c r="H129" s="175"/>
      <c r="I129" s="105"/>
      <c r="J129" s="175"/>
      <c r="K129" s="105"/>
      <c r="L129" s="105"/>
      <c r="M129" s="105"/>
      <c r="N129" s="105"/>
      <c r="O129" s="105"/>
      <c r="P129" s="175"/>
      <c r="Q129" s="180"/>
      <c r="R129" s="105"/>
      <c r="S129" s="105"/>
      <c r="T129" s="105"/>
      <c r="U129" s="105"/>
      <c r="V129" s="105"/>
      <c r="W129" s="175"/>
      <c r="X129" s="185"/>
      <c r="Y129" s="180"/>
      <c r="Z129" s="105"/>
      <c r="AA129" s="105"/>
      <c r="AB129" s="105"/>
      <c r="AC129" s="105"/>
      <c r="AD129" s="105"/>
      <c r="AE129" s="180"/>
      <c r="AF129" s="176">
        <v>60000</v>
      </c>
      <c r="AG129" s="176">
        <v>60000</v>
      </c>
      <c r="AH129" s="176">
        <v>60000</v>
      </c>
      <c r="AI129" s="176">
        <v>69440</v>
      </c>
      <c r="AJ129" s="176">
        <v>69440</v>
      </c>
      <c r="AK129" s="176">
        <v>69440</v>
      </c>
      <c r="AL129" s="176">
        <v>69440</v>
      </c>
      <c r="AM129" s="176">
        <v>69440</v>
      </c>
      <c r="AN129" s="176">
        <v>69440</v>
      </c>
      <c r="AO129" s="176">
        <v>69440</v>
      </c>
      <c r="AP129" s="176">
        <v>69440</v>
      </c>
      <c r="AQ129" s="176">
        <v>69440</v>
      </c>
      <c r="AR129" s="157"/>
      <c r="AS129" s="157"/>
      <c r="AT129" s="157"/>
      <c r="AU129" s="157"/>
      <c r="AV129" s="140"/>
      <c r="AW129" s="143"/>
      <c r="AX129" s="143"/>
      <c r="AY129" s="156"/>
      <c r="AZ129" s="176"/>
      <c r="BA129" s="176"/>
      <c r="BB129" s="176"/>
      <c r="BC129" s="176"/>
      <c r="BD129" s="176"/>
      <c r="BE129" s="176"/>
      <c r="BF129" s="157"/>
      <c r="BG129" s="157"/>
      <c r="BH129" s="157"/>
      <c r="BI129" s="157"/>
      <c r="BJ129" s="157"/>
      <c r="BK129" s="157"/>
      <c r="BL129" s="140"/>
    </row>
    <row r="130" spans="1:64" s="39" customFormat="1" hidden="1" x14ac:dyDescent="0.25">
      <c r="A130" s="105"/>
      <c r="B130" s="105" t="s">
        <v>1763</v>
      </c>
      <c r="C130" s="105"/>
      <c r="D130" s="175"/>
      <c r="E130" s="105"/>
      <c r="F130" s="175"/>
      <c r="G130" s="105"/>
      <c r="H130" s="175"/>
      <c r="I130" s="105"/>
      <c r="J130" s="175"/>
      <c r="K130" s="105"/>
      <c r="L130" s="105"/>
      <c r="M130" s="105"/>
      <c r="N130" s="105"/>
      <c r="O130" s="105"/>
      <c r="P130" s="175"/>
      <c r="Q130" s="180"/>
      <c r="R130" s="105"/>
      <c r="S130" s="105"/>
      <c r="T130" s="105"/>
      <c r="U130" s="105"/>
      <c r="V130" s="105"/>
      <c r="W130" s="175"/>
      <c r="X130" s="183"/>
      <c r="Y130" s="180"/>
      <c r="Z130" s="105"/>
      <c r="AA130" s="105"/>
      <c r="AB130" s="105"/>
      <c r="AC130" s="105"/>
      <c r="AD130" s="105"/>
      <c r="AE130" s="180"/>
      <c r="AF130" s="176">
        <v>23031</v>
      </c>
      <c r="AG130" s="176">
        <v>23611</v>
      </c>
      <c r="AH130" s="176">
        <v>29579</v>
      </c>
      <c r="AI130" s="176">
        <v>13635</v>
      </c>
      <c r="AJ130" s="176">
        <v>-3516</v>
      </c>
      <c r="AK130" s="176">
        <v>-3255</v>
      </c>
      <c r="AL130" s="176">
        <v>-497</v>
      </c>
      <c r="AM130" s="176">
        <v>18995</v>
      </c>
      <c r="AN130" s="176">
        <v>27095</v>
      </c>
      <c r="AO130" s="176">
        <v>22445</v>
      </c>
      <c r="AP130" s="176">
        <v>20069</v>
      </c>
      <c r="AQ130" s="176">
        <v>18829</v>
      </c>
      <c r="AR130" s="157"/>
      <c r="AS130" s="157"/>
      <c r="AT130" s="157"/>
      <c r="AU130" s="157"/>
      <c r="AV130" s="140" t="s">
        <v>1786</v>
      </c>
      <c r="AW130" s="143"/>
      <c r="AX130" s="143"/>
      <c r="AY130" s="156"/>
      <c r="AZ130" s="176"/>
      <c r="BA130" s="176"/>
      <c r="BB130" s="176"/>
      <c r="BC130" s="176"/>
      <c r="BD130" s="176"/>
      <c r="BE130" s="176"/>
      <c r="BF130" s="157"/>
      <c r="BG130" s="157"/>
      <c r="BH130" s="157"/>
      <c r="BI130" s="157"/>
      <c r="BJ130" s="157"/>
      <c r="BK130" s="157"/>
      <c r="BL130" s="140" t="s">
        <v>1786</v>
      </c>
    </row>
    <row r="131" spans="1:64" s="39" customFormat="1" hidden="1" x14ac:dyDescent="0.25">
      <c r="A131" s="105"/>
      <c r="B131" s="105" t="s">
        <v>1868</v>
      </c>
      <c r="C131" s="105"/>
      <c r="D131" s="175"/>
      <c r="E131" s="105"/>
      <c r="F131" s="175"/>
      <c r="G131" s="105"/>
      <c r="H131" s="175"/>
      <c r="I131" s="105"/>
      <c r="J131" s="175"/>
      <c r="K131" s="105"/>
      <c r="L131" s="105"/>
      <c r="M131" s="105"/>
      <c r="N131" s="105"/>
      <c r="O131" s="105"/>
      <c r="P131" s="175"/>
      <c r="Q131" s="180"/>
      <c r="R131" s="105"/>
      <c r="S131" s="105"/>
      <c r="T131" s="105"/>
      <c r="U131" s="105"/>
      <c r="V131" s="105"/>
      <c r="W131" s="175"/>
      <c r="X131" s="183"/>
      <c r="Y131" s="180"/>
      <c r="Z131" s="105"/>
      <c r="AA131" s="105"/>
      <c r="AB131" s="105"/>
      <c r="AC131" s="105"/>
      <c r="AD131" s="105"/>
      <c r="AE131" s="180"/>
      <c r="AF131" s="176"/>
      <c r="AG131" s="176"/>
      <c r="AH131" s="176"/>
      <c r="AI131" s="176"/>
      <c r="AJ131" s="176"/>
      <c r="AK131" s="176"/>
      <c r="AL131" s="176">
        <v>39926</v>
      </c>
      <c r="AM131" s="176">
        <v>34296</v>
      </c>
      <c r="AN131" s="176">
        <v>28665</v>
      </c>
      <c r="AO131" s="176">
        <v>23290</v>
      </c>
      <c r="AP131" s="176">
        <v>19659</v>
      </c>
      <c r="AQ131" s="176">
        <v>14028</v>
      </c>
      <c r="AR131" s="157"/>
      <c r="AS131" s="157"/>
      <c r="AT131" s="157"/>
      <c r="AU131" s="157"/>
      <c r="AV131" s="140" t="s">
        <v>2130</v>
      </c>
      <c r="AW131" s="143"/>
      <c r="AX131" s="143"/>
      <c r="AY131" s="156"/>
      <c r="AZ131" s="176"/>
      <c r="BA131" s="176"/>
      <c r="BB131" s="176"/>
      <c r="BC131" s="176"/>
      <c r="BD131" s="176"/>
      <c r="BE131" s="176"/>
      <c r="BF131" s="157"/>
      <c r="BG131" s="157"/>
      <c r="BH131" s="157"/>
      <c r="BI131" s="157"/>
      <c r="BJ131" s="157"/>
      <c r="BK131" s="157"/>
      <c r="BL131" s="140" t="s">
        <v>2130</v>
      </c>
    </row>
    <row r="132" spans="1:64" s="39" customFormat="1" hidden="1" x14ac:dyDescent="0.25">
      <c r="A132" s="105"/>
      <c r="B132" s="105" t="s">
        <v>2131</v>
      </c>
      <c r="C132" s="105"/>
      <c r="D132" s="175"/>
      <c r="E132" s="105"/>
      <c r="F132" s="175"/>
      <c r="G132" s="105"/>
      <c r="H132" s="175"/>
      <c r="I132" s="105"/>
      <c r="J132" s="175"/>
      <c r="K132" s="105"/>
      <c r="L132" s="105"/>
      <c r="M132" s="105"/>
      <c r="N132" s="105"/>
      <c r="O132" s="105"/>
      <c r="P132" s="175"/>
      <c r="Q132" s="180"/>
      <c r="R132" s="105"/>
      <c r="S132" s="105"/>
      <c r="T132" s="105"/>
      <c r="U132" s="105"/>
      <c r="V132" s="105"/>
      <c r="W132" s="175"/>
      <c r="X132" s="183"/>
      <c r="Y132" s="180"/>
      <c r="Z132" s="105"/>
      <c r="AA132" s="105"/>
      <c r="AB132" s="105"/>
      <c r="AC132" s="105"/>
      <c r="AD132" s="105"/>
      <c r="AE132" s="180"/>
      <c r="AF132" s="176"/>
      <c r="AG132" s="176"/>
      <c r="AH132" s="176"/>
      <c r="AI132" s="176"/>
      <c r="AJ132" s="176"/>
      <c r="AK132" s="176"/>
      <c r="AL132" s="176"/>
      <c r="AM132" s="176"/>
      <c r="AN132" s="176"/>
      <c r="AO132" s="176"/>
      <c r="AP132" s="176">
        <v>12562</v>
      </c>
      <c r="AQ132" s="176">
        <v>7142</v>
      </c>
      <c r="AR132" s="157"/>
      <c r="AS132" s="157"/>
      <c r="AT132" s="157"/>
      <c r="AU132" s="157"/>
      <c r="AV132" s="140" t="s">
        <v>2132</v>
      </c>
      <c r="AW132" s="143"/>
      <c r="AX132" s="143"/>
      <c r="AY132" s="156"/>
      <c r="AZ132" s="176"/>
      <c r="BA132" s="176"/>
      <c r="BB132" s="176"/>
      <c r="BC132" s="176"/>
      <c r="BD132" s="176"/>
      <c r="BE132" s="176"/>
      <c r="BF132" s="157"/>
      <c r="BG132" s="157"/>
      <c r="BH132" s="157"/>
      <c r="BI132" s="157"/>
      <c r="BJ132" s="157"/>
      <c r="BK132" s="157"/>
      <c r="BL132" s="140" t="s">
        <v>2132</v>
      </c>
    </row>
    <row r="133" spans="1:64" s="39" customFormat="1" hidden="1" x14ac:dyDescent="0.25">
      <c r="A133" s="105"/>
      <c r="B133" s="105" t="s">
        <v>2141</v>
      </c>
      <c r="C133" s="105"/>
      <c r="D133" s="175"/>
      <c r="E133" s="105"/>
      <c r="F133" s="175"/>
      <c r="G133" s="105"/>
      <c r="H133" s="175"/>
      <c r="I133" s="105"/>
      <c r="J133" s="175"/>
      <c r="K133" s="105"/>
      <c r="L133" s="105"/>
      <c r="M133" s="105"/>
      <c r="N133" s="105"/>
      <c r="O133" s="105"/>
      <c r="P133" s="175"/>
      <c r="Q133" s="180"/>
      <c r="R133" s="105"/>
      <c r="S133" s="105"/>
      <c r="T133" s="105"/>
      <c r="U133" s="105"/>
      <c r="V133" s="105"/>
      <c r="W133" s="175"/>
      <c r="X133" s="183"/>
      <c r="Y133" s="180"/>
      <c r="Z133" s="105"/>
      <c r="AA133" s="105"/>
      <c r="AB133" s="105"/>
      <c r="AC133" s="105"/>
      <c r="AD133" s="105"/>
      <c r="AE133" s="180"/>
      <c r="AF133" s="176"/>
      <c r="AG133" s="176"/>
      <c r="AH133" s="176"/>
      <c r="AI133" s="176"/>
      <c r="AJ133" s="176"/>
      <c r="AK133" s="176"/>
      <c r="AL133" s="176"/>
      <c r="AM133" s="176"/>
      <c r="AN133" s="176"/>
      <c r="AO133" s="176"/>
      <c r="AP133" s="176"/>
      <c r="AQ133" s="176">
        <v>5000</v>
      </c>
      <c r="AR133" s="157"/>
      <c r="AS133" s="157"/>
      <c r="AT133" s="157"/>
      <c r="AU133" s="157"/>
      <c r="AV133" s="140"/>
      <c r="AW133" s="143"/>
      <c r="AX133" s="143"/>
      <c r="AY133" s="156"/>
      <c r="AZ133" s="176"/>
      <c r="BA133" s="176"/>
      <c r="BB133" s="176"/>
      <c r="BC133" s="176"/>
      <c r="BD133" s="176"/>
      <c r="BE133" s="176"/>
      <c r="BF133" s="157"/>
      <c r="BG133" s="157"/>
      <c r="BH133" s="157"/>
      <c r="BI133" s="157"/>
      <c r="BJ133" s="157"/>
      <c r="BK133" s="157"/>
      <c r="BL133" s="140"/>
    </row>
    <row r="134" spans="1:64" s="39" customFormat="1" hidden="1" x14ac:dyDescent="0.25">
      <c r="A134" s="105"/>
      <c r="B134" s="105" t="s">
        <v>1745</v>
      </c>
      <c r="C134" s="105"/>
      <c r="D134" s="175"/>
      <c r="E134" s="105"/>
      <c r="F134" s="175"/>
      <c r="G134" s="105"/>
      <c r="H134" s="175"/>
      <c r="I134" s="105"/>
      <c r="J134" s="175"/>
      <c r="K134" s="105"/>
      <c r="L134" s="105"/>
      <c r="M134" s="105"/>
      <c r="N134" s="105"/>
      <c r="O134" s="105"/>
      <c r="P134" s="175"/>
      <c r="Q134" s="180"/>
      <c r="R134" s="105"/>
      <c r="S134" s="105"/>
      <c r="T134" s="105"/>
      <c r="U134" s="105"/>
      <c r="V134" s="105"/>
      <c r="W134" s="175"/>
      <c r="X134" s="184">
        <v>1136.6400000000001</v>
      </c>
      <c r="Y134" s="180"/>
      <c r="Z134" s="105"/>
      <c r="AA134" s="105"/>
      <c r="AB134" s="105"/>
      <c r="AC134" s="105"/>
      <c r="AD134" s="105"/>
      <c r="AE134" s="180"/>
      <c r="AF134" s="176">
        <v>23869.87</v>
      </c>
      <c r="AG134" s="176">
        <v>0</v>
      </c>
      <c r="AH134" s="176">
        <v>24579</v>
      </c>
      <c r="AI134" s="176">
        <v>19932</v>
      </c>
      <c r="AJ134" s="176">
        <v>14777</v>
      </c>
      <c r="AK134" s="176">
        <v>9319</v>
      </c>
      <c r="AL134" s="176">
        <v>7006</v>
      </c>
      <c r="AM134" s="176">
        <v>4665</v>
      </c>
      <c r="AN134" s="176">
        <v>1738</v>
      </c>
      <c r="AO134" s="176">
        <v>0</v>
      </c>
      <c r="AP134" s="176">
        <v>0</v>
      </c>
      <c r="AQ134" s="176">
        <v>0</v>
      </c>
      <c r="AR134" s="157"/>
      <c r="AS134" s="157"/>
      <c r="AT134" s="157"/>
      <c r="AU134" s="157"/>
      <c r="AV134" s="140" t="s">
        <v>1787</v>
      </c>
      <c r="AW134" s="143"/>
      <c r="AX134" s="143"/>
      <c r="AY134" s="156"/>
      <c r="AZ134" s="176"/>
      <c r="BA134" s="176"/>
      <c r="BB134" s="176"/>
      <c r="BC134" s="176"/>
      <c r="BD134" s="176"/>
      <c r="BE134" s="176"/>
      <c r="BF134" s="157"/>
      <c r="BG134" s="157"/>
      <c r="BH134" s="157"/>
      <c r="BI134" s="157"/>
      <c r="BJ134" s="157"/>
      <c r="BK134" s="157"/>
      <c r="BL134" s="140" t="s">
        <v>1787</v>
      </c>
    </row>
    <row r="135" spans="1:64" s="39" customFormat="1" hidden="1" x14ac:dyDescent="0.25">
      <c r="A135" s="105"/>
      <c r="B135" s="105" t="s">
        <v>483</v>
      </c>
      <c r="C135" s="105"/>
      <c r="D135" s="175"/>
      <c r="E135" s="105"/>
      <c r="F135" s="175"/>
      <c r="G135" s="105"/>
      <c r="H135" s="175"/>
      <c r="I135" s="105"/>
      <c r="J135" s="175"/>
      <c r="K135" s="105"/>
      <c r="L135" s="105"/>
      <c r="M135" s="105"/>
      <c r="N135" s="105"/>
      <c r="O135" s="105"/>
      <c r="P135" s="175"/>
      <c r="Q135" s="180"/>
      <c r="R135" s="105"/>
      <c r="S135" s="105"/>
      <c r="T135" s="105"/>
      <c r="U135" s="105"/>
      <c r="V135" s="105"/>
      <c r="W135" s="175"/>
      <c r="X135" s="183">
        <v>22456</v>
      </c>
      <c r="Y135" s="180"/>
      <c r="Z135" s="105"/>
      <c r="AA135" s="105"/>
      <c r="AB135" s="105"/>
      <c r="AC135" s="105"/>
      <c r="AD135" s="105"/>
      <c r="AE135" s="180"/>
      <c r="AF135" s="176">
        <v>54690</v>
      </c>
      <c r="AG135" s="176">
        <v>76489</v>
      </c>
      <c r="AH135" s="176">
        <v>54876</v>
      </c>
      <c r="AI135" s="176">
        <v>37747</v>
      </c>
      <c r="AJ135" s="176">
        <v>22405</v>
      </c>
      <c r="AK135" s="176">
        <v>11738</v>
      </c>
      <c r="AL135" s="176">
        <v>8599</v>
      </c>
      <c r="AM135" s="176">
        <v>4139</v>
      </c>
      <c r="AN135" s="176">
        <v>0</v>
      </c>
      <c r="AO135" s="176">
        <v>0</v>
      </c>
      <c r="AP135" s="176">
        <v>0</v>
      </c>
      <c r="AQ135" s="176">
        <v>0</v>
      </c>
      <c r="AR135" s="157"/>
      <c r="AS135" s="157"/>
      <c r="AT135" s="157"/>
      <c r="AU135" s="157"/>
      <c r="AV135" s="140" t="s">
        <v>1788</v>
      </c>
      <c r="AW135" s="143"/>
      <c r="AX135" s="143"/>
      <c r="AY135" s="156"/>
      <c r="AZ135" s="176"/>
      <c r="BA135" s="176"/>
      <c r="BB135" s="176"/>
      <c r="BC135" s="176"/>
      <c r="BD135" s="176"/>
      <c r="BE135" s="176"/>
      <c r="BF135" s="157"/>
      <c r="BG135" s="157"/>
      <c r="BH135" s="157"/>
      <c r="BI135" s="157"/>
      <c r="BJ135" s="157"/>
      <c r="BK135" s="157"/>
      <c r="BL135" s="140" t="s">
        <v>1788</v>
      </c>
    </row>
    <row r="136" spans="1:64" s="39" customFormat="1" hidden="1" x14ac:dyDescent="0.25">
      <c r="A136" s="105"/>
      <c r="B136" s="105" t="s">
        <v>514</v>
      </c>
      <c r="C136" s="105"/>
      <c r="D136" s="175"/>
      <c r="E136" s="105"/>
      <c r="F136" s="175"/>
      <c r="G136" s="105"/>
      <c r="H136" s="175"/>
      <c r="I136" s="105"/>
      <c r="J136" s="175"/>
      <c r="K136" s="105"/>
      <c r="L136" s="105"/>
      <c r="M136" s="105"/>
      <c r="N136" s="105"/>
      <c r="O136" s="105"/>
      <c r="P136" s="175"/>
      <c r="Q136" s="180"/>
      <c r="R136" s="105"/>
      <c r="S136" s="105"/>
      <c r="T136" s="105"/>
      <c r="U136" s="105"/>
      <c r="V136" s="105"/>
      <c r="W136" s="175"/>
      <c r="X136" s="183">
        <v>3813</v>
      </c>
      <c r="Y136" s="180"/>
      <c r="Z136" s="105"/>
      <c r="AA136" s="105"/>
      <c r="AB136" s="105"/>
      <c r="AC136" s="105"/>
      <c r="AD136" s="105"/>
      <c r="AE136" s="180"/>
      <c r="AF136" s="176">
        <v>70043</v>
      </c>
      <c r="AG136" s="176">
        <v>67106</v>
      </c>
      <c r="AH136" s="176">
        <v>64131</v>
      </c>
      <c r="AI136" s="176">
        <v>61120</v>
      </c>
      <c r="AJ136" s="176">
        <v>58070</v>
      </c>
      <c r="AK136" s="176">
        <v>51857</v>
      </c>
      <c r="AL136" s="176">
        <v>51857</v>
      </c>
      <c r="AM136" s="176">
        <v>48693</v>
      </c>
      <c r="AN136" s="176">
        <v>45488</v>
      </c>
      <c r="AO136" s="176">
        <v>42244</v>
      </c>
      <c r="AP136" s="176">
        <v>38959</v>
      </c>
      <c r="AQ136" s="176">
        <v>35633</v>
      </c>
      <c r="AR136" s="157"/>
      <c r="AS136" s="157"/>
      <c r="AT136" s="157"/>
      <c r="AU136" s="157"/>
      <c r="AV136" s="140" t="s">
        <v>1789</v>
      </c>
      <c r="AW136" s="143"/>
      <c r="AX136" s="143"/>
      <c r="AY136" s="156"/>
      <c r="AZ136" s="176"/>
      <c r="BA136" s="176"/>
      <c r="BB136" s="176"/>
      <c r="BC136" s="176"/>
      <c r="BD136" s="176"/>
      <c r="BE136" s="176"/>
      <c r="BF136" s="157"/>
      <c r="BG136" s="157"/>
      <c r="BH136" s="157"/>
      <c r="BI136" s="157"/>
      <c r="BJ136" s="157"/>
      <c r="BK136" s="157"/>
      <c r="BL136" s="140" t="s">
        <v>1789</v>
      </c>
    </row>
    <row r="137" spans="1:64" s="39" customFormat="1" hidden="1" x14ac:dyDescent="0.25">
      <c r="A137" s="105"/>
      <c r="B137" s="105" t="s">
        <v>515</v>
      </c>
      <c r="C137" s="105"/>
      <c r="D137" s="175"/>
      <c r="E137" s="105"/>
      <c r="F137" s="175"/>
      <c r="G137" s="105"/>
      <c r="H137" s="175"/>
      <c r="I137" s="105"/>
      <c r="J137" s="175"/>
      <c r="K137" s="105"/>
      <c r="L137" s="105"/>
      <c r="M137" s="105"/>
      <c r="N137" s="105"/>
      <c r="O137" s="105"/>
      <c r="P137" s="175"/>
      <c r="Q137" s="180"/>
      <c r="R137" s="105"/>
      <c r="S137" s="105"/>
      <c r="T137" s="105"/>
      <c r="U137" s="105"/>
      <c r="V137" s="105"/>
      <c r="W137" s="175"/>
      <c r="X137" s="183" t="s">
        <v>531</v>
      </c>
      <c r="Y137" s="180"/>
      <c r="Z137" s="105"/>
      <c r="AA137" s="105"/>
      <c r="AB137" s="105"/>
      <c r="AC137" s="105"/>
      <c r="AD137" s="105"/>
      <c r="AE137" s="180"/>
      <c r="AF137" s="176">
        <v>29082</v>
      </c>
      <c r="AG137" s="176">
        <v>23596</v>
      </c>
      <c r="AH137" s="176">
        <v>19978.62</v>
      </c>
      <c r="AI137" s="176">
        <v>17694</v>
      </c>
      <c r="AJ137" s="176">
        <v>14114</v>
      </c>
      <c r="AK137" s="176">
        <v>12141</v>
      </c>
      <c r="AL137" s="176">
        <v>9086</v>
      </c>
      <c r="AM137" s="176">
        <v>6667</v>
      </c>
      <c r="AN137" s="176">
        <v>5771</v>
      </c>
      <c r="AO137" s="176">
        <v>4861</v>
      </c>
      <c r="AP137" s="176">
        <v>3893</v>
      </c>
      <c r="AQ137" s="176">
        <v>3039</v>
      </c>
      <c r="AR137" s="157"/>
      <c r="AS137" s="157"/>
      <c r="AT137" s="157"/>
      <c r="AU137" s="157"/>
      <c r="AV137" s="140" t="s">
        <v>1790</v>
      </c>
      <c r="AW137" s="143"/>
      <c r="AX137" s="143"/>
      <c r="AY137" s="156"/>
      <c r="AZ137" s="176"/>
      <c r="BA137" s="176"/>
      <c r="BB137" s="176"/>
      <c r="BC137" s="176"/>
      <c r="BD137" s="176"/>
      <c r="BE137" s="176"/>
      <c r="BF137" s="157"/>
      <c r="BG137" s="157"/>
      <c r="BH137" s="157"/>
      <c r="BI137" s="157"/>
      <c r="BJ137" s="157"/>
      <c r="BK137" s="157"/>
      <c r="BL137" s="140" t="s">
        <v>1790</v>
      </c>
    </row>
    <row r="138" spans="1:64" s="39" customFormat="1" hidden="1" x14ac:dyDescent="0.25">
      <c r="A138" s="105"/>
      <c r="B138" s="105" t="s">
        <v>484</v>
      </c>
      <c r="C138" s="105"/>
      <c r="D138" s="175"/>
      <c r="E138" s="105"/>
      <c r="F138" s="175"/>
      <c r="G138" s="105"/>
      <c r="H138" s="175"/>
      <c r="I138" s="105"/>
      <c r="J138" s="175"/>
      <c r="K138" s="105"/>
      <c r="L138" s="105"/>
      <c r="M138" s="105"/>
      <c r="N138" s="105"/>
      <c r="O138" s="105"/>
      <c r="P138" s="175"/>
      <c r="Q138" s="180"/>
      <c r="R138" s="105"/>
      <c r="S138" s="105"/>
      <c r="T138" s="105"/>
      <c r="U138" s="105"/>
      <c r="V138" s="105"/>
      <c r="W138" s="175"/>
      <c r="X138" s="183">
        <v>3967</v>
      </c>
      <c r="Y138" s="180"/>
      <c r="Z138" s="105"/>
      <c r="AA138" s="105"/>
      <c r="AB138" s="105"/>
      <c r="AC138" s="105"/>
      <c r="AD138" s="105"/>
      <c r="AE138" s="180"/>
      <c r="AF138" s="176">
        <v>11585</v>
      </c>
      <c r="AG138" s="176">
        <v>7732</v>
      </c>
      <c r="AH138" s="176">
        <v>3844.04</v>
      </c>
      <c r="AI138" s="176"/>
      <c r="AJ138" s="176"/>
      <c r="AK138" s="176"/>
      <c r="AL138" s="176"/>
      <c r="AM138" s="176"/>
      <c r="AN138" s="176"/>
      <c r="AO138" s="176"/>
      <c r="AP138" s="176"/>
      <c r="AQ138" s="176"/>
      <c r="AR138" s="157"/>
      <c r="AS138" s="157"/>
      <c r="AT138" s="157"/>
      <c r="AU138" s="157"/>
      <c r="AV138" s="140"/>
      <c r="AW138" s="143"/>
      <c r="AX138" s="143"/>
      <c r="AY138" s="156"/>
      <c r="AZ138" s="176"/>
      <c r="BA138" s="176"/>
      <c r="BB138" s="176"/>
      <c r="BC138" s="176"/>
      <c r="BD138" s="176"/>
      <c r="BE138" s="176"/>
      <c r="BF138" s="157"/>
      <c r="BG138" s="157"/>
      <c r="BH138" s="157"/>
      <c r="BI138" s="157"/>
      <c r="BJ138" s="157"/>
      <c r="BK138" s="157"/>
      <c r="BL138" s="140"/>
    </row>
    <row r="139" spans="1:64" s="39" customFormat="1" hidden="1" x14ac:dyDescent="0.25">
      <c r="A139" s="105"/>
      <c r="B139" s="105" t="s">
        <v>485</v>
      </c>
      <c r="C139" s="105"/>
      <c r="D139" s="175"/>
      <c r="E139" s="105"/>
      <c r="F139" s="175"/>
      <c r="G139" s="105"/>
      <c r="H139" s="175"/>
      <c r="I139" s="105"/>
      <c r="J139" s="175"/>
      <c r="K139" s="105"/>
      <c r="L139" s="105"/>
      <c r="M139" s="105"/>
      <c r="N139" s="105"/>
      <c r="O139" s="105"/>
      <c r="P139" s="175"/>
      <c r="Q139" s="180"/>
      <c r="R139" s="105"/>
      <c r="S139" s="105"/>
      <c r="T139" s="105"/>
      <c r="U139" s="105"/>
      <c r="V139" s="105"/>
      <c r="W139" s="175"/>
      <c r="X139" s="183">
        <v>260</v>
      </c>
      <c r="Y139" s="180"/>
      <c r="Z139" s="105"/>
      <c r="AA139" s="105"/>
      <c r="AB139" s="105"/>
      <c r="AC139" s="105"/>
      <c r="AD139" s="105"/>
      <c r="AE139" s="180"/>
      <c r="AF139" s="176">
        <v>8357</v>
      </c>
      <c r="AG139" s="176">
        <v>7403</v>
      </c>
      <c r="AH139" s="176">
        <v>4845</v>
      </c>
      <c r="AI139" s="176">
        <v>2733</v>
      </c>
      <c r="AJ139" s="176">
        <v>7094</v>
      </c>
      <c r="AK139" s="176">
        <v>6483</v>
      </c>
      <c r="AL139" s="176">
        <v>6029</v>
      </c>
      <c r="AM139" s="176">
        <v>5567</v>
      </c>
      <c r="AN139" s="176">
        <v>4990</v>
      </c>
      <c r="AO139" s="176">
        <v>4587</v>
      </c>
      <c r="AP139" s="176">
        <v>3662</v>
      </c>
      <c r="AQ139" s="176">
        <v>2602</v>
      </c>
      <c r="AR139" s="157"/>
      <c r="AS139" s="157"/>
      <c r="AT139" s="157"/>
      <c r="AU139" s="157"/>
      <c r="AV139" s="140" t="s">
        <v>1862</v>
      </c>
      <c r="AW139" s="143"/>
      <c r="AX139" s="143"/>
      <c r="AY139" s="156"/>
      <c r="AZ139" s="176"/>
      <c r="BA139" s="176"/>
      <c r="BB139" s="176"/>
      <c r="BC139" s="176"/>
      <c r="BD139" s="176"/>
      <c r="BE139" s="176"/>
      <c r="BF139" s="157"/>
      <c r="BG139" s="157"/>
      <c r="BH139" s="157"/>
      <c r="BI139" s="157"/>
      <c r="BJ139" s="157"/>
      <c r="BK139" s="157"/>
      <c r="BL139" s="140" t="s">
        <v>1862</v>
      </c>
    </row>
    <row r="140" spans="1:64" s="39" customFormat="1" hidden="1" x14ac:dyDescent="0.25">
      <c r="A140" s="105"/>
      <c r="B140" s="105" t="s">
        <v>250</v>
      </c>
      <c r="C140" s="105"/>
      <c r="D140" s="175"/>
      <c r="E140" s="105"/>
      <c r="F140" s="175"/>
      <c r="G140" s="105"/>
      <c r="H140" s="175"/>
      <c r="I140" s="105"/>
      <c r="J140" s="175"/>
      <c r="K140" s="105"/>
      <c r="L140" s="105"/>
      <c r="M140" s="105"/>
      <c r="N140" s="105"/>
      <c r="O140" s="105"/>
      <c r="P140" s="175"/>
      <c r="Q140" s="180"/>
      <c r="R140" s="105"/>
      <c r="S140" s="105"/>
      <c r="T140" s="105"/>
      <c r="U140" s="105"/>
      <c r="V140" s="105"/>
      <c r="W140" s="175"/>
      <c r="X140" s="183">
        <v>5635</v>
      </c>
      <c r="Y140" s="180"/>
      <c r="Z140" s="105"/>
      <c r="AA140" s="105"/>
      <c r="AB140" s="105"/>
      <c r="AC140" s="105"/>
      <c r="AD140" s="105"/>
      <c r="AE140" s="180"/>
      <c r="AF140" s="181">
        <v>57009</v>
      </c>
      <c r="AG140" s="181">
        <v>51302</v>
      </c>
      <c r="AH140" s="181">
        <v>48452</v>
      </c>
      <c r="AI140" s="181">
        <v>40480</v>
      </c>
      <c r="AJ140" s="181">
        <v>36966</v>
      </c>
      <c r="AK140" s="181">
        <v>30855</v>
      </c>
      <c r="AL140" s="181">
        <v>23554</v>
      </c>
      <c r="AM140" s="176">
        <v>21052</v>
      </c>
      <c r="AN140" s="181">
        <v>16186</v>
      </c>
      <c r="AO140" s="181">
        <v>9298</v>
      </c>
      <c r="AP140" s="176">
        <v>3172</v>
      </c>
      <c r="AQ140" s="176">
        <v>0</v>
      </c>
      <c r="AR140" s="157"/>
      <c r="AS140" s="157"/>
      <c r="AT140" s="157"/>
      <c r="AU140" s="157"/>
      <c r="AV140" s="140" t="s">
        <v>1863</v>
      </c>
      <c r="AW140" s="143"/>
      <c r="AX140" s="143"/>
      <c r="AY140" s="156"/>
      <c r="AZ140" s="181"/>
      <c r="BA140" s="181"/>
      <c r="BB140" s="181"/>
      <c r="BC140" s="176"/>
      <c r="BD140" s="181"/>
      <c r="BE140" s="181"/>
      <c r="BF140" s="157"/>
      <c r="BG140" s="157"/>
      <c r="BH140" s="157"/>
      <c r="BI140" s="157"/>
      <c r="BJ140" s="157"/>
      <c r="BK140" s="157"/>
      <c r="BL140" s="140" t="s">
        <v>1863</v>
      </c>
    </row>
    <row r="141" spans="1:64" s="39" customFormat="1" ht="15.75" hidden="1" thickBot="1" x14ac:dyDescent="0.3">
      <c r="A141" s="105"/>
      <c r="B141" s="105" t="s">
        <v>528</v>
      </c>
      <c r="C141" s="105"/>
      <c r="D141" s="175"/>
      <c r="E141" s="105"/>
      <c r="F141" s="175"/>
      <c r="G141" s="105"/>
      <c r="H141" s="175"/>
      <c r="I141" s="105"/>
      <c r="J141" s="175"/>
      <c r="K141" s="105"/>
      <c r="L141" s="105"/>
      <c r="M141" s="105"/>
      <c r="N141" s="105"/>
      <c r="O141" s="105"/>
      <c r="P141" s="175"/>
      <c r="Q141" s="180"/>
      <c r="R141" s="105"/>
      <c r="S141" s="105"/>
      <c r="T141" s="105"/>
      <c r="U141" s="105"/>
      <c r="V141" s="105"/>
      <c r="W141" s="175"/>
      <c r="X141" s="183">
        <f>SUM(X123:X140)</f>
        <v>45007.64</v>
      </c>
      <c r="Y141" s="180"/>
      <c r="Z141" s="105"/>
      <c r="AA141" s="105"/>
      <c r="AB141" s="105"/>
      <c r="AC141" s="105"/>
      <c r="AD141" s="105"/>
      <c r="AE141" s="180"/>
      <c r="AF141" s="182">
        <f t="shared" ref="AF141:AQ141" si="214">SUM(AF128:AF140)</f>
        <v>512243.87</v>
      </c>
      <c r="AG141" s="182">
        <f t="shared" si="214"/>
        <v>476365</v>
      </c>
      <c r="AH141" s="182">
        <f t="shared" si="214"/>
        <v>467583.36</v>
      </c>
      <c r="AI141" s="182">
        <f t="shared" si="214"/>
        <v>418611</v>
      </c>
      <c r="AJ141" s="182">
        <f t="shared" si="214"/>
        <v>347772</v>
      </c>
      <c r="AK141" s="182">
        <f t="shared" si="214"/>
        <v>318419</v>
      </c>
      <c r="AL141" s="182">
        <f t="shared" si="214"/>
        <v>342360</v>
      </c>
      <c r="AM141" s="182">
        <f t="shared" si="214"/>
        <v>339865</v>
      </c>
      <c r="AN141" s="182">
        <f t="shared" si="214"/>
        <v>325892</v>
      </c>
      <c r="AO141" s="182">
        <f t="shared" si="214"/>
        <v>279269</v>
      </c>
      <c r="AP141" s="182">
        <f t="shared" si="214"/>
        <v>270768</v>
      </c>
      <c r="AQ141" s="182">
        <f t="shared" si="214"/>
        <v>260616</v>
      </c>
      <c r="AR141" s="157"/>
      <c r="AS141" s="157"/>
      <c r="AT141" s="157"/>
      <c r="AU141" s="157"/>
      <c r="AV141" s="140"/>
      <c r="AW141" s="143"/>
      <c r="AX141" s="143"/>
      <c r="AY141" s="156"/>
      <c r="AZ141" s="182"/>
      <c r="BA141" s="182"/>
      <c r="BB141" s="182"/>
      <c r="BC141" s="182"/>
      <c r="BD141" s="182"/>
      <c r="BE141" s="182"/>
      <c r="BF141" s="157"/>
      <c r="BG141" s="157"/>
      <c r="BH141" s="157"/>
      <c r="BI141" s="157"/>
      <c r="BJ141" s="157"/>
      <c r="BK141" s="157"/>
      <c r="BL141" s="140"/>
    </row>
    <row r="142" spans="1:64" ht="15.75" hidden="1" thickTop="1" x14ac:dyDescent="0.25">
      <c r="AG142" s="121"/>
      <c r="AH142" s="121"/>
      <c r="AI142" s="121"/>
      <c r="AJ142" s="121"/>
      <c r="AK142" s="121"/>
      <c r="AL142" s="121"/>
      <c r="AM142" s="178"/>
      <c r="AN142" s="121"/>
      <c r="AO142" s="121"/>
      <c r="AP142" s="178"/>
      <c r="AQ142" s="178"/>
      <c r="AR142" s="121"/>
      <c r="AS142" s="121"/>
      <c r="AT142" s="121"/>
      <c r="AU142" s="121"/>
      <c r="AZ142" s="121"/>
      <c r="BA142" s="121"/>
      <c r="BB142" s="121"/>
      <c r="BC142" s="178"/>
      <c r="BD142" s="121"/>
      <c r="BE142" s="121"/>
      <c r="BF142" s="121"/>
      <c r="BG142" s="121"/>
      <c r="BH142" s="121"/>
      <c r="BI142" s="121"/>
      <c r="BJ142" s="121"/>
      <c r="BK142" s="121"/>
    </row>
    <row r="143" spans="1:64" hidden="1" x14ac:dyDescent="0.25">
      <c r="AG143" s="121"/>
      <c r="AH143" s="121"/>
      <c r="AI143" s="121"/>
      <c r="AJ143" s="121"/>
      <c r="AK143" s="121"/>
      <c r="AL143" s="121"/>
      <c r="AM143" s="178"/>
      <c r="AN143" s="121"/>
      <c r="AO143" s="121"/>
      <c r="AP143" s="178"/>
      <c r="AQ143" s="178"/>
      <c r="AR143" s="121"/>
      <c r="AS143" s="121"/>
      <c r="AT143" s="121"/>
      <c r="AU143" s="121"/>
      <c r="AZ143" s="121"/>
      <c r="BA143" s="121"/>
      <c r="BB143" s="121"/>
      <c r="BC143" s="178"/>
      <c r="BD143" s="121"/>
      <c r="BE143" s="121"/>
      <c r="BF143" s="121"/>
      <c r="BG143" s="121"/>
      <c r="BH143" s="121"/>
      <c r="BI143" s="121"/>
      <c r="BJ143" s="121"/>
      <c r="BK143" s="121"/>
    </row>
    <row r="144" spans="1:64" s="39" customFormat="1" hidden="1" x14ac:dyDescent="0.25">
      <c r="A144" s="39" t="s">
        <v>529</v>
      </c>
      <c r="D144" s="41"/>
      <c r="F144" s="41"/>
      <c r="H144" s="41"/>
      <c r="J144" s="41"/>
      <c r="P144" s="41"/>
      <c r="Q144" s="156"/>
      <c r="W144" s="41"/>
      <c r="Y144" s="156"/>
      <c r="AE144" s="156"/>
      <c r="AF144" s="140"/>
      <c r="AG144" s="157"/>
      <c r="AH144" s="157">
        <v>3</v>
      </c>
      <c r="AI144" s="157">
        <v>2</v>
      </c>
      <c r="AJ144" s="157">
        <v>2</v>
      </c>
      <c r="AK144" s="157">
        <v>2</v>
      </c>
      <c r="AL144" s="157">
        <v>2</v>
      </c>
      <c r="AM144" s="176">
        <v>2</v>
      </c>
      <c r="AN144" s="157">
        <v>3</v>
      </c>
      <c r="AO144" s="157">
        <v>2</v>
      </c>
      <c r="AP144" s="176"/>
      <c r="AQ144" s="176"/>
      <c r="AR144" s="157"/>
      <c r="AS144" s="157"/>
      <c r="AT144" s="157"/>
      <c r="AU144" s="157"/>
      <c r="AV144" s="140"/>
      <c r="AW144" s="143"/>
      <c r="AX144" s="143"/>
      <c r="AY144" s="156"/>
      <c r="AZ144" s="157"/>
      <c r="BA144" s="157"/>
      <c r="BB144" s="157"/>
      <c r="BC144" s="176"/>
      <c r="BD144" s="157"/>
      <c r="BE144" s="157"/>
      <c r="BF144" s="157"/>
      <c r="BG144" s="157"/>
      <c r="BH144" s="157"/>
      <c r="BI144" s="157"/>
      <c r="BJ144" s="157"/>
      <c r="BK144" s="157"/>
      <c r="BL144" s="140"/>
    </row>
    <row r="145" spans="2:63" ht="15.75" thickTop="1" x14ac:dyDescent="0.25">
      <c r="AG145" s="121"/>
      <c r="AH145" s="121"/>
      <c r="AI145" s="121"/>
      <c r="AJ145" s="121"/>
      <c r="AK145" s="121"/>
      <c r="AL145" s="121"/>
      <c r="AM145" s="178"/>
      <c r="AN145" s="121"/>
      <c r="AO145" s="121"/>
      <c r="AP145" s="178"/>
      <c r="AQ145" s="178"/>
      <c r="AR145" s="121"/>
      <c r="AS145" s="121"/>
      <c r="AT145" s="121"/>
      <c r="AU145" s="121"/>
      <c r="AZ145" s="121"/>
      <c r="BA145" s="121"/>
      <c r="BB145" s="121"/>
      <c r="BC145" s="178"/>
      <c r="BD145" s="121"/>
      <c r="BE145" s="121"/>
      <c r="BF145" s="121"/>
      <c r="BG145" s="121"/>
      <c r="BH145" s="121"/>
      <c r="BI145" s="121"/>
      <c r="BJ145" s="121"/>
      <c r="BK145" s="121"/>
    </row>
    <row r="146" spans="2:63" hidden="1" x14ac:dyDescent="0.25">
      <c r="B146" s="105" t="s">
        <v>1797</v>
      </c>
      <c r="AF146" s="176">
        <v>50000</v>
      </c>
      <c r="AG146" s="176">
        <v>62500</v>
      </c>
      <c r="AH146" s="176">
        <v>68750</v>
      </c>
      <c r="AI146" s="176">
        <v>68750</v>
      </c>
      <c r="AJ146" s="176">
        <v>71875</v>
      </c>
      <c r="AK146" s="176">
        <v>75000</v>
      </c>
      <c r="AL146" s="176">
        <v>80375</v>
      </c>
      <c r="AM146" s="176">
        <v>83125</v>
      </c>
      <c r="AN146" s="176">
        <v>81750</v>
      </c>
      <c r="AO146" s="176">
        <v>81750</v>
      </c>
      <c r="AP146" s="176">
        <v>78300</v>
      </c>
      <c r="AQ146" s="176">
        <v>76800</v>
      </c>
      <c r="AZ146" s="176"/>
      <c r="BA146" s="176"/>
      <c r="BB146" s="176"/>
      <c r="BC146" s="176"/>
      <c r="BD146" s="176"/>
      <c r="BE146" s="176"/>
    </row>
  </sheetData>
  <mergeCells count="11">
    <mergeCell ref="AZ2:BK2"/>
    <mergeCell ref="AZ4:BK4"/>
    <mergeCell ref="AJ2:AU2"/>
    <mergeCell ref="K3:O3"/>
    <mergeCell ref="R3:V3"/>
    <mergeCell ref="AF3:AV3"/>
    <mergeCell ref="K4:N4"/>
    <mergeCell ref="R4:U4"/>
    <mergeCell ref="AJ4:AQ4"/>
    <mergeCell ref="AR4:AU4"/>
    <mergeCell ref="Z4:AC4"/>
  </mergeCells>
  <pageMargins left="0.7" right="0.7" top="0.75" bottom="0.75" header="0.3" footer="0.3"/>
  <pageSetup scale="74" fitToHeight="3"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A8E3-4155-417E-A8DE-E3EF8071978F}">
  <sheetPr>
    <pageSetUpPr fitToPage="1"/>
  </sheetPr>
  <dimension ref="A1:AS145"/>
  <sheetViews>
    <sheetView zoomScale="158" zoomScaleNormal="158" workbookViewId="0">
      <pane xSplit="2" ySplit="5" topLeftCell="AD15" activePane="bottomRight" state="frozen"/>
      <selection pane="topRight" activeCell="C1" sqref="C1"/>
      <selection pane="bottomLeft" activeCell="A5" sqref="A5"/>
      <selection pane="bottomRight" activeCell="AK63" sqref="AK63"/>
    </sheetView>
  </sheetViews>
  <sheetFormatPr defaultColWidth="8.85546875" defaultRowHeight="15" x14ac:dyDescent="0.25"/>
  <cols>
    <col min="1" max="1" width="3.140625" customWidth="1"/>
    <col min="2" max="2" width="25.7109375"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9" width="10.7109375" hidden="1" customWidth="1"/>
    <col min="10" max="10" width="8" style="41" hidden="1" customWidth="1"/>
    <col min="11" max="15" width="10.7109375" hidden="1" customWidth="1"/>
    <col min="16" max="16" width="8" style="41" hidden="1" customWidth="1"/>
    <col min="17" max="17" width="1.42578125" style="112" hidden="1" customWidth="1"/>
    <col min="18" max="22" width="10.7109375" hidden="1" customWidth="1"/>
    <col min="23" max="23" width="8" style="41" hidden="1" customWidth="1"/>
    <col min="24" max="24" width="11.140625" hidden="1" customWidth="1"/>
    <col min="25" max="25" width="1.42578125" style="112" hidden="1" customWidth="1"/>
    <col min="26" max="27" width="10.7109375" style="108" hidden="1" customWidth="1"/>
    <col min="28" max="29" width="9.7109375" style="108" hidden="1" customWidth="1"/>
    <col min="30" max="41" width="9.7109375" style="108" customWidth="1"/>
    <col min="42" max="42" width="10.7109375" style="108" customWidth="1"/>
    <col min="43" max="43" width="8" style="143" customWidth="1"/>
    <col min="44" max="44" width="42" style="143" customWidth="1"/>
    <col min="45" max="45" width="1.42578125" style="112" customWidth="1"/>
    <col min="46" max="46" width="8.85546875" customWidth="1"/>
  </cols>
  <sheetData>
    <row r="1" spans="1:45" s="45" customFormat="1" x14ac:dyDescent="0.25">
      <c r="A1" s="45" t="s">
        <v>146</v>
      </c>
      <c r="C1" s="45" t="s">
        <v>491</v>
      </c>
      <c r="D1" s="51"/>
      <c r="F1" s="51"/>
      <c r="H1" s="51"/>
      <c r="J1" s="51"/>
      <c r="P1" s="51"/>
      <c r="Q1" s="110"/>
      <c r="W1" s="51"/>
      <c r="Y1" s="110"/>
      <c r="Z1" s="139"/>
      <c r="AA1" s="139"/>
      <c r="AB1" s="139"/>
      <c r="AC1" s="139"/>
      <c r="AD1" s="139"/>
      <c r="AE1" s="139"/>
      <c r="AF1" s="139"/>
      <c r="AG1" s="139"/>
      <c r="AH1" s="139"/>
      <c r="AI1" s="139"/>
      <c r="AJ1" s="139"/>
      <c r="AK1" s="139"/>
      <c r="AL1" s="139"/>
      <c r="AM1" s="139"/>
      <c r="AN1" s="139"/>
      <c r="AO1" s="139"/>
      <c r="AP1" s="139"/>
      <c r="AQ1" s="141"/>
      <c r="AR1" s="141"/>
      <c r="AS1" s="110"/>
    </row>
    <row r="2" spans="1:45" s="45" customFormat="1" x14ac:dyDescent="0.25">
      <c r="A2" s="45" t="s">
        <v>2127</v>
      </c>
      <c r="D2" s="51"/>
      <c r="F2" s="51"/>
      <c r="H2" s="51"/>
      <c r="J2" s="51"/>
      <c r="P2" s="51"/>
      <c r="Q2" s="110"/>
      <c r="W2" s="51"/>
      <c r="Y2" s="110"/>
      <c r="Z2" s="139"/>
      <c r="AA2" s="139"/>
      <c r="AB2" s="139"/>
      <c r="AC2" s="139"/>
      <c r="AD2" s="258" t="s">
        <v>1885</v>
      </c>
      <c r="AE2" s="258"/>
      <c r="AF2" s="258"/>
      <c r="AG2" s="258"/>
      <c r="AH2" s="258"/>
      <c r="AI2" s="258"/>
      <c r="AJ2" s="258"/>
      <c r="AK2" s="258"/>
      <c r="AL2" s="258"/>
      <c r="AM2" s="258"/>
      <c r="AN2" s="258"/>
      <c r="AO2" s="258"/>
      <c r="AP2" s="139"/>
      <c r="AQ2" s="141"/>
      <c r="AR2" s="141"/>
      <c r="AS2" s="110"/>
    </row>
    <row r="3" spans="1:45" s="45" customFormat="1" hidden="1" x14ac:dyDescent="0.25">
      <c r="D3" s="51"/>
      <c r="F3" s="51"/>
      <c r="H3" s="51"/>
      <c r="J3" s="51"/>
      <c r="K3" s="259" t="s">
        <v>477</v>
      </c>
      <c r="L3" s="259"/>
      <c r="M3" s="259"/>
      <c r="N3" s="259"/>
      <c r="O3" s="259"/>
      <c r="P3" s="51"/>
      <c r="Q3" s="110"/>
      <c r="R3" s="259" t="s">
        <v>477</v>
      </c>
      <c r="S3" s="259"/>
      <c r="T3" s="259"/>
      <c r="U3" s="259"/>
      <c r="V3" s="259"/>
      <c r="W3" s="51"/>
      <c r="Y3" s="110"/>
      <c r="Z3" s="257"/>
      <c r="AA3" s="257"/>
      <c r="AB3" s="257"/>
      <c r="AC3" s="257"/>
      <c r="AD3" s="257"/>
      <c r="AE3" s="257"/>
      <c r="AF3" s="257"/>
      <c r="AG3" s="257"/>
      <c r="AH3" s="257"/>
      <c r="AI3" s="257"/>
      <c r="AJ3" s="257"/>
      <c r="AK3" s="257"/>
      <c r="AL3" s="257"/>
      <c r="AM3" s="257"/>
      <c r="AN3" s="257"/>
      <c r="AO3" s="257"/>
      <c r="AP3" s="257"/>
      <c r="AQ3" s="141"/>
      <c r="AR3" s="141"/>
      <c r="AS3" s="110"/>
    </row>
    <row r="4" spans="1:45" s="45" customFormat="1" x14ac:dyDescent="0.25">
      <c r="D4" s="51"/>
      <c r="F4" s="51"/>
      <c r="H4" s="51"/>
      <c r="J4" s="51"/>
      <c r="K4" s="259">
        <v>2023</v>
      </c>
      <c r="L4" s="259"/>
      <c r="M4" s="259"/>
      <c r="N4" s="259"/>
      <c r="O4" s="109"/>
      <c r="P4" s="51"/>
      <c r="Q4" s="110"/>
      <c r="R4" s="259">
        <v>2024</v>
      </c>
      <c r="S4" s="259"/>
      <c r="T4" s="259"/>
      <c r="U4" s="259"/>
      <c r="V4" s="109"/>
      <c r="W4" s="51"/>
      <c r="Y4" s="110"/>
      <c r="Z4" s="226"/>
      <c r="AA4" s="226"/>
      <c r="AB4" s="226"/>
      <c r="AC4" s="226"/>
      <c r="AD4" s="260" t="s">
        <v>1865</v>
      </c>
      <c r="AE4" s="260"/>
      <c r="AF4" s="260"/>
      <c r="AG4" s="260"/>
      <c r="AH4" s="260"/>
      <c r="AI4" s="260"/>
      <c r="AJ4" s="257" t="s">
        <v>1886</v>
      </c>
      <c r="AK4" s="257"/>
      <c r="AL4" s="257"/>
      <c r="AM4" s="257"/>
      <c r="AN4" s="257"/>
      <c r="AO4" s="257"/>
      <c r="AP4" s="226"/>
      <c r="AQ4" s="141"/>
      <c r="AR4" s="141"/>
      <c r="AS4" s="110"/>
    </row>
    <row r="5" spans="1:45" s="68" customFormat="1" ht="15" customHeight="1" x14ac:dyDescent="0.25">
      <c r="C5" s="68">
        <v>2019</v>
      </c>
      <c r="D5" s="69"/>
      <c r="E5" s="68">
        <v>2020</v>
      </c>
      <c r="F5" s="69"/>
      <c r="G5" s="68">
        <v>2021</v>
      </c>
      <c r="H5" s="69"/>
      <c r="I5" s="68">
        <v>2022</v>
      </c>
      <c r="J5" s="69"/>
      <c r="K5" s="228" t="s">
        <v>187</v>
      </c>
      <c r="L5" s="228" t="s">
        <v>188</v>
      </c>
      <c r="M5" s="228" t="s">
        <v>189</v>
      </c>
      <c r="N5" s="228" t="s">
        <v>190</v>
      </c>
      <c r="O5" s="68">
        <v>2023</v>
      </c>
      <c r="P5" s="69"/>
      <c r="Q5" s="111"/>
      <c r="R5" s="68" t="s">
        <v>187</v>
      </c>
      <c r="S5" s="109" t="s">
        <v>188</v>
      </c>
      <c r="T5" s="109" t="s">
        <v>189</v>
      </c>
      <c r="U5" s="109" t="s">
        <v>190</v>
      </c>
      <c r="V5" s="68">
        <v>2024</v>
      </c>
      <c r="W5" s="69"/>
      <c r="X5" s="68" t="s">
        <v>193</v>
      </c>
      <c r="Y5" s="111"/>
      <c r="Z5" s="109" t="s">
        <v>493</v>
      </c>
      <c r="AA5" s="109" t="s">
        <v>281</v>
      </c>
      <c r="AB5" s="109" t="s">
        <v>282</v>
      </c>
      <c r="AC5" s="109" t="s">
        <v>283</v>
      </c>
      <c r="AD5" s="109" t="s">
        <v>494</v>
      </c>
      <c r="AE5" s="109" t="s">
        <v>495</v>
      </c>
      <c r="AF5" s="109" t="s">
        <v>496</v>
      </c>
      <c r="AG5" s="109" t="s">
        <v>497</v>
      </c>
      <c r="AH5" s="109" t="s">
        <v>498</v>
      </c>
      <c r="AI5" s="109" t="s">
        <v>499</v>
      </c>
      <c r="AJ5" s="109" t="s">
        <v>240</v>
      </c>
      <c r="AK5" s="226" t="s">
        <v>1764</v>
      </c>
      <c r="AL5" s="226" t="s">
        <v>1765</v>
      </c>
      <c r="AM5" s="226" t="s">
        <v>281</v>
      </c>
      <c r="AN5" s="226" t="s">
        <v>282</v>
      </c>
      <c r="AO5" s="226" t="s">
        <v>283</v>
      </c>
      <c r="AP5" s="109" t="s">
        <v>1766</v>
      </c>
      <c r="AQ5" s="142"/>
      <c r="AR5" s="142" t="s">
        <v>500</v>
      </c>
      <c r="AS5" s="111"/>
    </row>
    <row r="6" spans="1:45" hidden="1" x14ac:dyDescent="0.25">
      <c r="A6" t="s">
        <v>149</v>
      </c>
      <c r="K6" s="229"/>
      <c r="L6" s="229"/>
      <c r="M6" s="229"/>
      <c r="N6" s="229"/>
    </row>
    <row r="7" spans="1:45" hidden="1" x14ac:dyDescent="0.25">
      <c r="B7" t="s">
        <v>153</v>
      </c>
      <c r="C7" s="8"/>
      <c r="E7" s="8"/>
      <c r="G7" s="8"/>
      <c r="I7" s="8"/>
      <c r="K7" s="230"/>
      <c r="L7" s="230"/>
      <c r="M7" s="230"/>
      <c r="N7" s="230"/>
      <c r="O7" s="8"/>
      <c r="Q7" s="113"/>
      <c r="R7" s="8"/>
      <c r="S7" s="8"/>
      <c r="T7" s="8"/>
      <c r="U7" s="8"/>
      <c r="V7" s="8"/>
      <c r="Y7" s="113"/>
      <c r="Z7" s="121"/>
      <c r="AA7" s="121"/>
      <c r="AB7" s="121"/>
      <c r="AC7" s="121"/>
      <c r="AD7" s="178"/>
      <c r="AE7" s="178"/>
      <c r="AF7" s="178"/>
      <c r="AG7" s="178"/>
      <c r="AH7" s="178"/>
      <c r="AI7" s="178"/>
      <c r="AJ7" s="178"/>
      <c r="AK7" s="178"/>
      <c r="AL7" s="178"/>
      <c r="AM7" s="178"/>
      <c r="AN7" s="178"/>
      <c r="AO7" s="178"/>
      <c r="AP7" s="121">
        <f>SUM(AD7:AO7)</f>
        <v>0</v>
      </c>
      <c r="AQ7" s="143">
        <f>AP7/AP$15</f>
        <v>0</v>
      </c>
      <c r="AS7" s="113"/>
    </row>
    <row r="8" spans="1:45" hidden="1" x14ac:dyDescent="0.25">
      <c r="B8" t="s">
        <v>288</v>
      </c>
      <c r="C8" s="8"/>
      <c r="E8" s="8"/>
      <c r="G8" s="8"/>
      <c r="I8" s="8"/>
      <c r="K8" s="230"/>
      <c r="L8" s="230"/>
      <c r="M8" s="230"/>
      <c r="N8" s="230"/>
      <c r="O8" s="8"/>
      <c r="Q8" s="113"/>
      <c r="R8" s="8"/>
      <c r="S8" s="8"/>
      <c r="T8" s="8"/>
      <c r="U8" s="8"/>
      <c r="V8" s="8"/>
      <c r="Y8" s="113"/>
      <c r="Z8" s="121"/>
      <c r="AA8" s="121"/>
      <c r="AB8" s="121"/>
      <c r="AC8" s="121"/>
      <c r="AD8" s="178"/>
      <c r="AE8" s="178"/>
      <c r="AF8" s="178"/>
      <c r="AG8" s="178"/>
      <c r="AH8" s="178"/>
      <c r="AI8" s="178"/>
      <c r="AJ8" s="178"/>
      <c r="AK8" s="178"/>
      <c r="AL8" s="178"/>
      <c r="AM8" s="178"/>
      <c r="AN8" s="178"/>
      <c r="AO8" s="178"/>
      <c r="AP8" s="121">
        <f t="shared" ref="AP8:AP11" si="0">SUM(AD8:AO8)</f>
        <v>0</v>
      </c>
      <c r="AQ8" s="143">
        <f>AP8/AP$15</f>
        <v>0</v>
      </c>
      <c r="AS8" s="113"/>
    </row>
    <row r="9" spans="1:45" hidden="1" x14ac:dyDescent="0.25">
      <c r="B9" t="s">
        <v>501</v>
      </c>
      <c r="C9" s="8"/>
      <c r="E9" s="8"/>
      <c r="G9" s="8"/>
      <c r="I9" s="8"/>
      <c r="K9" s="230"/>
      <c r="L9" s="230"/>
      <c r="M9" s="230"/>
      <c r="N9" s="230"/>
      <c r="O9" s="8"/>
      <c r="Q9" s="113"/>
      <c r="R9" s="8"/>
      <c r="S9" s="8"/>
      <c r="T9" s="8"/>
      <c r="U9" s="8"/>
      <c r="V9" s="8"/>
      <c r="Y9" s="113"/>
      <c r="Z9" s="121"/>
      <c r="AA9" s="121"/>
      <c r="AB9" s="121"/>
      <c r="AC9" s="121"/>
      <c r="AD9" s="178"/>
      <c r="AE9" s="178"/>
      <c r="AF9" s="178"/>
      <c r="AG9" s="178"/>
      <c r="AH9" s="178"/>
      <c r="AI9" s="178"/>
      <c r="AJ9" s="178"/>
      <c r="AK9" s="178"/>
      <c r="AL9" s="178"/>
      <c r="AM9" s="178"/>
      <c r="AN9" s="178"/>
      <c r="AO9" s="178"/>
      <c r="AP9" s="121">
        <f t="shared" si="0"/>
        <v>0</v>
      </c>
      <c r="AQ9" s="143">
        <f>AP9/AP$15</f>
        <v>0</v>
      </c>
      <c r="AS9" s="113"/>
    </row>
    <row r="10" spans="1:45" hidden="1" x14ac:dyDescent="0.25">
      <c r="B10" t="s">
        <v>150</v>
      </c>
      <c r="C10" s="8"/>
      <c r="E10" s="8"/>
      <c r="G10" s="8"/>
      <c r="I10" s="8"/>
      <c r="K10" s="230"/>
      <c r="L10" s="230"/>
      <c r="M10" s="230"/>
      <c r="N10" s="230"/>
      <c r="O10" s="8"/>
      <c r="Q10" s="113"/>
      <c r="R10" s="8"/>
      <c r="S10" s="8"/>
      <c r="T10" s="8"/>
      <c r="U10" s="8"/>
      <c r="V10" s="8"/>
      <c r="Y10" s="113"/>
      <c r="Z10" s="121"/>
      <c r="AA10" s="121"/>
      <c r="AB10" s="121"/>
      <c r="AC10" s="121"/>
      <c r="AD10" s="178"/>
      <c r="AE10" s="178"/>
      <c r="AF10" s="178"/>
      <c r="AG10" s="178"/>
      <c r="AH10" s="178"/>
      <c r="AI10" s="178"/>
      <c r="AJ10" s="178"/>
      <c r="AK10" s="178"/>
      <c r="AL10" s="178"/>
      <c r="AM10" s="178"/>
      <c r="AN10" s="178"/>
      <c r="AO10" s="178"/>
      <c r="AP10" s="121">
        <f t="shared" si="0"/>
        <v>0</v>
      </c>
      <c r="AQ10" s="143">
        <f>AP10/AP$15</f>
        <v>0</v>
      </c>
      <c r="AS10" s="113"/>
    </row>
    <row r="11" spans="1:45" hidden="1" x14ac:dyDescent="0.25">
      <c r="B11" t="s">
        <v>151</v>
      </c>
      <c r="C11" s="9"/>
      <c r="D11" s="43"/>
      <c r="E11" s="9"/>
      <c r="F11" s="43"/>
      <c r="G11" s="9"/>
      <c r="H11" s="43"/>
      <c r="I11" s="9"/>
      <c r="J11" s="43"/>
      <c r="K11" s="231"/>
      <c r="L11" s="231"/>
      <c r="M11" s="231"/>
      <c r="N11" s="231"/>
      <c r="O11" s="9"/>
      <c r="P11" s="43"/>
      <c r="Q11" s="113"/>
      <c r="R11" s="9"/>
      <c r="S11" s="9"/>
      <c r="T11" s="9"/>
      <c r="U11" s="9"/>
      <c r="V11" s="9"/>
      <c r="W11" s="43"/>
      <c r="Y11" s="113"/>
      <c r="Z11" s="122"/>
      <c r="AA11" s="122"/>
      <c r="AB11" s="122"/>
      <c r="AC11" s="122"/>
      <c r="AD11" s="201"/>
      <c r="AE11" s="201"/>
      <c r="AF11" s="201"/>
      <c r="AG11" s="201"/>
      <c r="AH11" s="201"/>
      <c r="AI11" s="201"/>
      <c r="AJ11" s="201"/>
      <c r="AK11" s="201"/>
      <c r="AL11" s="201"/>
      <c r="AM11" s="201"/>
      <c r="AN11" s="201"/>
      <c r="AO11" s="201"/>
      <c r="AP11" s="122">
        <f t="shared" si="0"/>
        <v>0</v>
      </c>
      <c r="AQ11" s="144">
        <f>AP11/AP$15</f>
        <v>0</v>
      </c>
      <c r="AS11" s="113"/>
    </row>
    <row r="12" spans="1:45" hidden="1" x14ac:dyDescent="0.25">
      <c r="B12" t="s">
        <v>186</v>
      </c>
      <c r="C12" s="8">
        <f>QB!F20+QB!F30+QB!F33+QB!F34+QB!F40</f>
        <v>1176162.07</v>
      </c>
      <c r="E12" s="8">
        <f>QB!K20+QB!K30+QB!K33+QB!K34+QB!K40</f>
        <v>1985300.71</v>
      </c>
      <c r="G12" s="8">
        <f>QB!P20+QB!P30+QB!P33+QB!P34+QB!P40</f>
        <v>1946199.25</v>
      </c>
      <c r="I12" s="8"/>
      <c r="K12" s="229"/>
      <c r="L12" s="229"/>
      <c r="M12" s="229"/>
      <c r="N12" s="229"/>
    </row>
    <row r="13" spans="1:45" hidden="1" x14ac:dyDescent="0.25">
      <c r="B13" t="s">
        <v>192</v>
      </c>
      <c r="C13" s="8">
        <f>QB!F24+QB!F29</f>
        <v>98761.520000000019</v>
      </c>
      <c r="E13" s="8">
        <f>QB!K24+QB!K29</f>
        <v>182871.54</v>
      </c>
      <c r="G13" s="8">
        <f>QB!P24+QB!P29</f>
        <v>249354.49999999997</v>
      </c>
      <c r="I13" s="8"/>
      <c r="K13" s="229"/>
      <c r="L13" s="229"/>
      <c r="M13" s="229"/>
      <c r="N13" s="229"/>
    </row>
    <row r="14" spans="1:45" hidden="1" x14ac:dyDescent="0.25">
      <c r="B14" t="s">
        <v>154</v>
      </c>
      <c r="C14" s="9">
        <f>QB!F42+QB!F43+QB!F44</f>
        <v>5945.28</v>
      </c>
      <c r="E14" s="9">
        <f>QB!K42+QB!K43+QB!K44</f>
        <v>1082.8899999999999</v>
      </c>
      <c r="G14" s="9">
        <f>QB!P42+QB!P43+QB!P44</f>
        <v>6343.26</v>
      </c>
      <c r="I14" s="8"/>
      <c r="K14" s="229"/>
      <c r="L14" s="229"/>
      <c r="M14" s="229"/>
      <c r="N14" s="229"/>
    </row>
    <row r="15" spans="1:45" s="45" customFormat="1" x14ac:dyDescent="0.25">
      <c r="A15" t="s">
        <v>149</v>
      </c>
      <c r="C15" s="46">
        <f>SUM(C12:C14)</f>
        <v>1280868.8700000001</v>
      </c>
      <c r="D15" s="47">
        <f t="shared" ref="D15" si="1">C15/C$15</f>
        <v>1</v>
      </c>
      <c r="E15" s="46">
        <f>SUM(E12:E14)</f>
        <v>2169255.14</v>
      </c>
      <c r="F15" s="47">
        <f>E15/E$15</f>
        <v>1</v>
      </c>
      <c r="G15" s="46">
        <f>SUM(G12:G14)</f>
        <v>2201897.0099999998</v>
      </c>
      <c r="H15" s="47">
        <f>G15/G$15</f>
        <v>1</v>
      </c>
      <c r="I15" s="48">
        <v>2321440</v>
      </c>
      <c r="J15" s="47">
        <f>I15/I$15</f>
        <v>1</v>
      </c>
      <c r="K15" s="232">
        <v>570041</v>
      </c>
      <c r="L15" s="232">
        <v>405174</v>
      </c>
      <c r="M15" s="232">
        <v>347143</v>
      </c>
      <c r="N15" s="232">
        <v>432361</v>
      </c>
      <c r="O15" s="48">
        <f>SUM(K15:N15)</f>
        <v>1754719</v>
      </c>
      <c r="P15" s="47">
        <f>O15/O$15</f>
        <v>1</v>
      </c>
      <c r="Q15" s="114"/>
      <c r="R15" s="48">
        <f>SUM(AD15:AF15)</f>
        <v>232955</v>
      </c>
      <c r="S15" s="48">
        <f>SUM(AG15:AI15)</f>
        <v>218307</v>
      </c>
      <c r="T15" s="48">
        <f>SUM(AJ15:AL15)</f>
        <v>154911</v>
      </c>
      <c r="U15" s="48">
        <f>SUM(AM15:AO15)</f>
        <v>210000</v>
      </c>
      <c r="V15" s="48">
        <f>SUM(R15:U15)</f>
        <v>816173</v>
      </c>
      <c r="W15" s="47">
        <f>V15/V$15</f>
        <v>1</v>
      </c>
      <c r="Y15" s="114"/>
      <c r="Z15" s="126">
        <v>347143</v>
      </c>
      <c r="AA15" s="126">
        <v>155912</v>
      </c>
      <c r="AB15" s="126">
        <v>147384</v>
      </c>
      <c r="AC15" s="126">
        <v>129065</v>
      </c>
      <c r="AD15" s="48">
        <v>97342</v>
      </c>
      <c r="AE15" s="126">
        <v>69706</v>
      </c>
      <c r="AF15" s="216">
        <v>65907</v>
      </c>
      <c r="AG15" s="126">
        <v>58908</v>
      </c>
      <c r="AH15" s="126">
        <v>77566</v>
      </c>
      <c r="AI15" s="126">
        <v>81833</v>
      </c>
      <c r="AJ15" s="126">
        <v>62186</v>
      </c>
      <c r="AK15" s="173">
        <v>22725</v>
      </c>
      <c r="AL15" s="173">
        <v>70000</v>
      </c>
      <c r="AM15" s="173">
        <v>70000</v>
      </c>
      <c r="AN15" s="173">
        <v>70000</v>
      </c>
      <c r="AO15" s="173">
        <v>70000</v>
      </c>
      <c r="AP15" s="173">
        <f>SUM(AD15:AO15)</f>
        <v>816173</v>
      </c>
      <c r="AQ15" s="174">
        <f t="shared" ref="AQ15" si="2">AP15/AP$15</f>
        <v>1</v>
      </c>
      <c r="AR15" s="143" t="s">
        <v>1772</v>
      </c>
      <c r="AS15" s="117"/>
    </row>
    <row r="16" spans="1:45" x14ac:dyDescent="0.25">
      <c r="A16" t="s">
        <v>155</v>
      </c>
      <c r="C16" s="8"/>
      <c r="E16" s="8"/>
      <c r="G16" s="8"/>
      <c r="I16" s="8"/>
      <c r="K16" s="229"/>
      <c r="L16" s="229"/>
      <c r="M16" s="229"/>
      <c r="N16" s="229"/>
    </row>
    <row r="17" spans="1:45" x14ac:dyDescent="0.25">
      <c r="B17" t="s">
        <v>184</v>
      </c>
      <c r="C17" s="8">
        <f>QB!F47+QB!F48+QB!F50+QB!F51</f>
        <v>497738.93</v>
      </c>
      <c r="D17" s="41">
        <f t="shared" ref="D17:D18" si="3">C17/C$15</f>
        <v>0.38859475911847241</v>
      </c>
      <c r="E17" s="8">
        <v>725353</v>
      </c>
      <c r="F17" s="41">
        <f>E17/E$15</f>
        <v>0.33437883198930668</v>
      </c>
      <c r="G17" s="8">
        <f>QB!P47+QB!P48+QB!P50+QB!P51</f>
        <v>943998.9</v>
      </c>
      <c r="H17" s="41">
        <f t="shared" ref="H17:H25" si="4">G17/G$15</f>
        <v>0.42872073294654234</v>
      </c>
      <c r="I17" s="8">
        <v>1012654</v>
      </c>
      <c r="J17" s="41">
        <f>I17/I$15</f>
        <v>0.43621803708043283</v>
      </c>
      <c r="K17" s="230">
        <v>342783</v>
      </c>
      <c r="L17" s="230">
        <v>213990</v>
      </c>
      <c r="M17" s="230">
        <v>225540</v>
      </c>
      <c r="N17" s="230">
        <v>184128</v>
      </c>
      <c r="O17" s="8">
        <f>SUM(K17:N17)</f>
        <v>966441</v>
      </c>
      <c r="P17" s="41">
        <f>O17/O$15</f>
        <v>0.55076681793495141</v>
      </c>
      <c r="Q17" s="113"/>
      <c r="R17" s="8">
        <f>SUM(AD17:AF17)</f>
        <v>101494</v>
      </c>
      <c r="S17" s="8">
        <f>SUM(AG17:AI17)</f>
        <v>125769</v>
      </c>
      <c r="T17" s="8">
        <f>SUM(AJ17:AL17)</f>
        <v>63046</v>
      </c>
      <c r="U17" s="8">
        <f>SUM(AM17:AO17)</f>
        <v>94500</v>
      </c>
      <c r="V17" s="8">
        <f>SUM(R17:U17)</f>
        <v>384809</v>
      </c>
      <c r="W17" s="41">
        <f>V17/V$15</f>
        <v>0.47147969854430372</v>
      </c>
      <c r="Y17" s="113"/>
      <c r="Z17" s="121">
        <v>199547</v>
      </c>
      <c r="AA17" s="121">
        <v>51354</v>
      </c>
      <c r="AB17" s="121">
        <v>56556</v>
      </c>
      <c r="AC17" s="121">
        <v>54070</v>
      </c>
      <c r="AD17" s="121">
        <v>40909</v>
      </c>
      <c r="AE17" s="121">
        <v>27875</v>
      </c>
      <c r="AF17" s="121">
        <v>32710</v>
      </c>
      <c r="AG17" s="121">
        <v>44532</v>
      </c>
      <c r="AH17" s="121">
        <v>47887</v>
      </c>
      <c r="AI17" s="121">
        <v>33350</v>
      </c>
      <c r="AJ17" s="121">
        <v>21398</v>
      </c>
      <c r="AK17" s="121">
        <v>10148</v>
      </c>
      <c r="AL17" s="121">
        <f t="shared" ref="AL17:AO17" si="5">AL15*0.45</f>
        <v>31500</v>
      </c>
      <c r="AM17" s="121">
        <f t="shared" si="5"/>
        <v>31500</v>
      </c>
      <c r="AN17" s="121">
        <f t="shared" si="5"/>
        <v>31500</v>
      </c>
      <c r="AO17" s="121">
        <f t="shared" si="5"/>
        <v>31500</v>
      </c>
      <c r="AP17" s="121">
        <f t="shared" ref="AP17:AP23" si="6">SUM(AD17:AO17)</f>
        <v>384809</v>
      </c>
      <c r="AQ17" s="143">
        <f t="shared" ref="AQ17:AQ25" si="7">AP17/AP$15</f>
        <v>0.47147969854430372</v>
      </c>
      <c r="AR17" s="143" t="s">
        <v>2126</v>
      </c>
      <c r="AS17" s="113"/>
    </row>
    <row r="18" spans="1:45" x14ac:dyDescent="0.25">
      <c r="B18" t="s">
        <v>183</v>
      </c>
      <c r="C18" s="8">
        <f>QB!F49</f>
        <v>115308.88</v>
      </c>
      <c r="D18" s="41">
        <f t="shared" si="3"/>
        <v>9.0023953818160946E-2</v>
      </c>
      <c r="E18" s="8">
        <f>QB!K49</f>
        <v>198278.66999999998</v>
      </c>
      <c r="F18" s="41">
        <f>E18/E$15</f>
        <v>9.1404033736667778E-2</v>
      </c>
      <c r="G18" s="8">
        <f>QB!P49</f>
        <v>268052.96999999997</v>
      </c>
      <c r="H18" s="41">
        <f t="shared" si="4"/>
        <v>0.12173728779440052</v>
      </c>
      <c r="I18" s="8">
        <v>214975</v>
      </c>
      <c r="J18" s="41">
        <f>I18/I$15</f>
        <v>9.2604159487214829E-2</v>
      </c>
      <c r="K18" s="230">
        <v>46962</v>
      </c>
      <c r="L18" s="230">
        <v>32407</v>
      </c>
      <c r="M18" s="230">
        <v>27976</v>
      </c>
      <c r="N18" s="230">
        <v>27158</v>
      </c>
      <c r="O18" s="8">
        <f t="shared" ref="O18:O23" si="8">SUM(K18:N18)</f>
        <v>134503</v>
      </c>
      <c r="P18" s="41">
        <f>O18/O$15</f>
        <v>7.6652159120634125E-2</v>
      </c>
      <c r="Q18" s="113"/>
      <c r="R18" s="8">
        <f t="shared" ref="R18:R23" si="9">SUM(AD18:AF18)</f>
        <v>18015</v>
      </c>
      <c r="S18" s="8">
        <f t="shared" ref="S18:S23" si="10">SUM(AG18:AI18)</f>
        <v>12763</v>
      </c>
      <c r="T18" s="8">
        <f t="shared" ref="T18:T23" si="11">SUM(AJ18:AL18)</f>
        <v>12867</v>
      </c>
      <c r="U18" s="8">
        <f t="shared" ref="U18:U23" si="12">SUM(AM18:AO18)</f>
        <v>14700.000000000004</v>
      </c>
      <c r="V18" s="8">
        <f t="shared" ref="V18:V23" si="13">SUM(R18:U18)</f>
        <v>58345</v>
      </c>
      <c r="W18" s="41">
        <f>V18/V$15</f>
        <v>7.1486069742566827E-2</v>
      </c>
      <c r="Y18" s="113"/>
      <c r="Z18" s="121">
        <v>27976</v>
      </c>
      <c r="AA18" s="121">
        <v>8573</v>
      </c>
      <c r="AB18" s="121">
        <v>10446</v>
      </c>
      <c r="AC18" s="121">
        <v>8139</v>
      </c>
      <c r="AD18" s="121">
        <v>8646</v>
      </c>
      <c r="AE18" s="121">
        <v>5159</v>
      </c>
      <c r="AF18" s="121">
        <v>4210</v>
      </c>
      <c r="AG18" s="121">
        <v>4062</v>
      </c>
      <c r="AH18" s="121">
        <v>5030</v>
      </c>
      <c r="AI18" s="121">
        <v>3671</v>
      </c>
      <c r="AJ18" s="121">
        <v>4688</v>
      </c>
      <c r="AK18" s="121">
        <v>3279</v>
      </c>
      <c r="AL18" s="121">
        <f t="shared" ref="AL18:AO18" si="14">0.07*AL15</f>
        <v>4900.0000000000009</v>
      </c>
      <c r="AM18" s="121">
        <f t="shared" si="14"/>
        <v>4900.0000000000009</v>
      </c>
      <c r="AN18" s="121">
        <f t="shared" si="14"/>
        <v>4900.0000000000009</v>
      </c>
      <c r="AO18" s="121">
        <f t="shared" si="14"/>
        <v>4900.0000000000009</v>
      </c>
      <c r="AP18" s="121">
        <f t="shared" si="6"/>
        <v>58345</v>
      </c>
      <c r="AQ18" s="143">
        <f t="shared" si="7"/>
        <v>7.1486069742566827E-2</v>
      </c>
      <c r="AR18" s="143" t="s">
        <v>538</v>
      </c>
      <c r="AS18" s="113"/>
    </row>
    <row r="19" spans="1:45" x14ac:dyDescent="0.25">
      <c r="B19" t="s">
        <v>1791</v>
      </c>
      <c r="C19" s="8"/>
      <c r="E19" s="8"/>
      <c r="G19" s="8"/>
      <c r="I19" s="8">
        <v>-100</v>
      </c>
      <c r="J19" s="41">
        <f>I19/I$15</f>
        <v>-4.3076711006961198E-5</v>
      </c>
      <c r="K19" s="230"/>
      <c r="L19" s="230"/>
      <c r="M19" s="230"/>
      <c r="N19" s="230"/>
      <c r="O19" s="8">
        <f t="shared" si="8"/>
        <v>0</v>
      </c>
      <c r="Q19" s="113"/>
      <c r="R19" s="8">
        <f t="shared" si="9"/>
        <v>6240</v>
      </c>
      <c r="S19" s="8">
        <f t="shared" si="10"/>
        <v>3848</v>
      </c>
      <c r="T19" s="8">
        <f t="shared" si="11"/>
        <v>2171</v>
      </c>
      <c r="U19" s="8">
        <f t="shared" si="12"/>
        <v>0</v>
      </c>
      <c r="V19" s="8">
        <f t="shared" si="13"/>
        <v>12259</v>
      </c>
      <c r="Y19" s="113"/>
      <c r="Z19" s="121"/>
      <c r="AA19" s="121"/>
      <c r="AB19" s="121"/>
      <c r="AC19" s="121"/>
      <c r="AD19" s="121">
        <v>6900</v>
      </c>
      <c r="AE19" s="121">
        <v>-2315</v>
      </c>
      <c r="AF19" s="121">
        <v>1655</v>
      </c>
      <c r="AG19" s="121">
        <v>2783</v>
      </c>
      <c r="AH19" s="121">
        <v>696</v>
      </c>
      <c r="AI19" s="121">
        <v>369</v>
      </c>
      <c r="AJ19" s="121">
        <v>1326</v>
      </c>
      <c r="AK19" s="121">
        <v>845</v>
      </c>
      <c r="AL19" s="121"/>
      <c r="AM19" s="121"/>
      <c r="AN19" s="121"/>
      <c r="AO19" s="121"/>
      <c r="AP19" s="121">
        <f t="shared" si="6"/>
        <v>12259</v>
      </c>
      <c r="AS19" s="113"/>
    </row>
    <row r="20" spans="1:45" x14ac:dyDescent="0.25">
      <c r="B20" t="s">
        <v>185</v>
      </c>
      <c r="C20" s="8">
        <f>QB!F52</f>
        <v>128054.04000000001</v>
      </c>
      <c r="D20" s="41">
        <f t="shared" ref="D20:D22" si="15">C20/C$15</f>
        <v>9.99743556887287E-2</v>
      </c>
      <c r="E20" s="8">
        <f>QB!K52</f>
        <v>194413.35</v>
      </c>
      <c r="F20" s="41">
        <f>E20/E$15</f>
        <v>8.9622168649096751E-2</v>
      </c>
      <c r="G20" s="8">
        <f>QB!P52</f>
        <v>179567.31000000003</v>
      </c>
      <c r="H20" s="41">
        <f t="shared" si="4"/>
        <v>8.1551184812227007E-2</v>
      </c>
      <c r="I20" s="8"/>
      <c r="J20" s="41">
        <f>I20/I$15</f>
        <v>0</v>
      </c>
      <c r="K20" s="230">
        <f>SUM(I20:J20)</f>
        <v>0</v>
      </c>
      <c r="L20" s="230">
        <f>SUM(I20:K20)</f>
        <v>0</v>
      </c>
      <c r="M20" s="230">
        <f>SUM(J20:L20)</f>
        <v>0</v>
      </c>
      <c r="N20" s="230">
        <f>SUM(K20:M20)</f>
        <v>0</v>
      </c>
      <c r="O20" s="8">
        <f t="shared" si="8"/>
        <v>0</v>
      </c>
      <c r="P20" s="41">
        <f>O20/O$15</f>
        <v>0</v>
      </c>
      <c r="Q20" s="113"/>
      <c r="R20" s="8">
        <f t="shared" si="9"/>
        <v>0</v>
      </c>
      <c r="S20" s="8">
        <f t="shared" si="10"/>
        <v>0</v>
      </c>
      <c r="T20" s="8">
        <f t="shared" si="11"/>
        <v>0</v>
      </c>
      <c r="U20" s="8">
        <f t="shared" si="12"/>
        <v>0</v>
      </c>
      <c r="V20" s="8">
        <f t="shared" si="13"/>
        <v>0</v>
      </c>
      <c r="W20" s="41">
        <f>V20/V$15</f>
        <v>0</v>
      </c>
      <c r="Y20" s="113"/>
      <c r="Z20" s="121"/>
      <c r="AA20" s="121"/>
      <c r="AB20" s="121"/>
      <c r="AC20" s="121"/>
      <c r="AD20" s="121"/>
      <c r="AE20" s="121"/>
      <c r="AF20" s="121"/>
      <c r="AG20" s="121"/>
      <c r="AH20" s="121"/>
      <c r="AI20" s="121"/>
      <c r="AJ20" s="121"/>
      <c r="AK20" s="121"/>
      <c r="AL20" s="121"/>
      <c r="AM20" s="121"/>
      <c r="AN20" s="121"/>
      <c r="AO20" s="121"/>
      <c r="AP20" s="121">
        <f t="shared" si="6"/>
        <v>0</v>
      </c>
      <c r="AQ20" s="143">
        <f t="shared" si="7"/>
        <v>0</v>
      </c>
      <c r="AS20" s="113"/>
    </row>
    <row r="21" spans="1:45" x14ac:dyDescent="0.25">
      <c r="B21" t="s">
        <v>1771</v>
      </c>
      <c r="C21" s="8"/>
      <c r="E21" s="8"/>
      <c r="G21" s="8"/>
      <c r="I21" s="8"/>
      <c r="K21" s="230"/>
      <c r="L21" s="230"/>
      <c r="M21" s="230"/>
      <c r="N21" s="230"/>
      <c r="O21" s="8">
        <f t="shared" si="8"/>
        <v>0</v>
      </c>
      <c r="Q21" s="113"/>
      <c r="R21" s="8">
        <f t="shared" si="9"/>
        <v>0</v>
      </c>
      <c r="S21" s="8">
        <f t="shared" si="10"/>
        <v>0</v>
      </c>
      <c r="T21" s="8">
        <f t="shared" si="11"/>
        <v>0</v>
      </c>
      <c r="U21" s="8">
        <f t="shared" si="12"/>
        <v>0</v>
      </c>
      <c r="V21" s="8">
        <f t="shared" si="13"/>
        <v>0</v>
      </c>
      <c r="Y21" s="113"/>
      <c r="Z21" s="121"/>
      <c r="AA21" s="121"/>
      <c r="AB21" s="121"/>
      <c r="AC21" s="121"/>
      <c r="AD21" s="121"/>
      <c r="AE21" s="121"/>
      <c r="AF21" s="121"/>
      <c r="AG21" s="121"/>
      <c r="AH21" s="121"/>
      <c r="AI21" s="121"/>
      <c r="AJ21" s="121"/>
      <c r="AK21" s="121"/>
      <c r="AL21" s="121"/>
      <c r="AM21" s="121"/>
      <c r="AN21" s="121"/>
      <c r="AO21" s="121"/>
      <c r="AP21" s="121">
        <f t="shared" si="6"/>
        <v>0</v>
      </c>
      <c r="AS21" s="113"/>
    </row>
    <row r="22" spans="1:45" ht="17.25" x14ac:dyDescent="0.25">
      <c r="A22" s="202"/>
      <c r="B22" t="s">
        <v>539</v>
      </c>
      <c r="C22" s="8">
        <v>25822</v>
      </c>
      <c r="D22" s="41">
        <f t="shared" si="15"/>
        <v>2.0159752965188387E-2</v>
      </c>
      <c r="E22" s="8">
        <v>62660</v>
      </c>
      <c r="F22" s="41">
        <f>E22/E$15</f>
        <v>2.8885491081514735E-2</v>
      </c>
      <c r="G22" s="8"/>
      <c r="I22" s="8">
        <v>82476</v>
      </c>
      <c r="J22" s="41">
        <f>I22/I$15</f>
        <v>3.5527948170101319E-2</v>
      </c>
      <c r="K22" s="230">
        <v>18624</v>
      </c>
      <c r="L22" s="230">
        <v>15910</v>
      </c>
      <c r="M22" s="230">
        <v>46676</v>
      </c>
      <c r="N22" s="230">
        <v>34766</v>
      </c>
      <c r="O22" s="8">
        <f t="shared" si="8"/>
        <v>115976</v>
      </c>
      <c r="P22" s="41">
        <f>O22/O$15</f>
        <v>6.6093773418991877E-2</v>
      </c>
      <c r="Q22" s="113"/>
      <c r="R22" s="8">
        <f t="shared" si="9"/>
        <v>44790</v>
      </c>
      <c r="S22" s="8">
        <f t="shared" si="10"/>
        <v>11937</v>
      </c>
      <c r="T22" s="8">
        <f t="shared" si="11"/>
        <v>12941</v>
      </c>
      <c r="U22" s="8">
        <f t="shared" si="12"/>
        <v>12600</v>
      </c>
      <c r="V22" s="8">
        <f t="shared" si="13"/>
        <v>82268</v>
      </c>
      <c r="Y22" s="113"/>
      <c r="Z22" s="121">
        <v>52288</v>
      </c>
      <c r="AA22" s="121">
        <v>20454</v>
      </c>
      <c r="AB22" s="121">
        <v>12986</v>
      </c>
      <c r="AC22" s="121">
        <v>2493</v>
      </c>
      <c r="AD22" s="121">
        <v>19221</v>
      </c>
      <c r="AE22" s="121">
        <v>18623</v>
      </c>
      <c r="AF22" s="121">
        <v>6946</v>
      </c>
      <c r="AG22" s="121">
        <v>7371</v>
      </c>
      <c r="AH22" s="121">
        <v>2440</v>
      </c>
      <c r="AI22" s="121">
        <v>2126</v>
      </c>
      <c r="AJ22" s="121">
        <v>5443</v>
      </c>
      <c r="AK22" s="121">
        <v>3298</v>
      </c>
      <c r="AL22" s="121">
        <f t="shared" ref="AL22:AO22" si="16">AL15*0.06</f>
        <v>4200</v>
      </c>
      <c r="AM22" s="121">
        <f t="shared" si="16"/>
        <v>4200</v>
      </c>
      <c r="AN22" s="121">
        <f t="shared" si="16"/>
        <v>4200</v>
      </c>
      <c r="AO22" s="121">
        <f t="shared" si="16"/>
        <v>4200</v>
      </c>
      <c r="AP22" s="121">
        <f t="shared" si="6"/>
        <v>82268</v>
      </c>
      <c r="AR22" s="143" t="s">
        <v>1887</v>
      </c>
      <c r="AS22" s="113"/>
    </row>
    <row r="23" spans="1:45" x14ac:dyDescent="0.25">
      <c r="B23" t="s">
        <v>154</v>
      </c>
      <c r="C23" s="9"/>
      <c r="D23" s="43">
        <f t="shared" ref="D23:D25" si="17">C23/C$15</f>
        <v>0</v>
      </c>
      <c r="E23" s="9">
        <v>33331</v>
      </c>
      <c r="F23" s="43">
        <f>E23/E$15</f>
        <v>1.5365181985923517E-2</v>
      </c>
      <c r="G23" s="9">
        <f>QB!P53+QB!P54+QB!P55+QB!P56+QB!P57+QB!P58+QB!P59+QB!P60+QB!P61+QB!P62+QB!P64</f>
        <v>76433.53</v>
      </c>
      <c r="H23" s="43">
        <f t="shared" si="4"/>
        <v>3.4712581766029107E-2</v>
      </c>
      <c r="I23" s="9">
        <v>1566</v>
      </c>
      <c r="J23" s="43">
        <f>I23/I$15</f>
        <v>6.7458129436901229E-4</v>
      </c>
      <c r="K23" s="231">
        <v>7237</v>
      </c>
      <c r="L23" s="231">
        <v>1331</v>
      </c>
      <c r="M23" s="231">
        <v>9057</v>
      </c>
      <c r="N23" s="231">
        <v>4257</v>
      </c>
      <c r="O23" s="8">
        <f t="shared" si="8"/>
        <v>21882</v>
      </c>
      <c r="P23" s="43">
        <f>O23/O$15</f>
        <v>1.2470372749141031E-2</v>
      </c>
      <c r="Q23" s="113"/>
      <c r="R23" s="8">
        <f t="shared" si="9"/>
        <v>7098</v>
      </c>
      <c r="S23" s="8">
        <f t="shared" si="10"/>
        <v>6573</v>
      </c>
      <c r="T23" s="8">
        <f t="shared" si="11"/>
        <v>4865</v>
      </c>
      <c r="U23" s="8">
        <f t="shared" si="12"/>
        <v>6300</v>
      </c>
      <c r="V23" s="8">
        <f t="shared" si="13"/>
        <v>24836</v>
      </c>
      <c r="W23" s="43">
        <f>V23/V$15</f>
        <v>3.0429823088977459E-2</v>
      </c>
      <c r="Y23" s="113"/>
      <c r="Z23" s="122">
        <v>29434</v>
      </c>
      <c r="AA23" s="122">
        <v>10167</v>
      </c>
      <c r="AB23" s="122">
        <v>6575</v>
      </c>
      <c r="AC23" s="122">
        <v>9120</v>
      </c>
      <c r="AD23" s="122">
        <v>1408</v>
      </c>
      <c r="AE23" s="122">
        <v>97</v>
      </c>
      <c r="AF23" s="122">
        <v>5593</v>
      </c>
      <c r="AG23" s="122">
        <v>5783</v>
      </c>
      <c r="AH23" s="122">
        <v>484</v>
      </c>
      <c r="AI23" s="122">
        <v>306</v>
      </c>
      <c r="AJ23" s="122">
        <v>2519</v>
      </c>
      <c r="AK23" s="122">
        <v>246</v>
      </c>
      <c r="AL23" s="122">
        <f t="shared" ref="AL23:AO23" si="18">AL15*0.03</f>
        <v>2100</v>
      </c>
      <c r="AM23" s="122">
        <f t="shared" si="18"/>
        <v>2100</v>
      </c>
      <c r="AN23" s="122">
        <f t="shared" si="18"/>
        <v>2100</v>
      </c>
      <c r="AO23" s="122">
        <f t="shared" si="18"/>
        <v>2100</v>
      </c>
      <c r="AP23" s="121">
        <f t="shared" si="6"/>
        <v>24836</v>
      </c>
      <c r="AQ23" s="144">
        <f t="shared" si="7"/>
        <v>3.0429823088977459E-2</v>
      </c>
      <c r="AR23" s="143" t="s">
        <v>301</v>
      </c>
      <c r="AS23" s="113"/>
    </row>
    <row r="24" spans="1:45" s="45" customFormat="1" x14ac:dyDescent="0.25">
      <c r="A24" s="45" t="s">
        <v>156</v>
      </c>
      <c r="B24" s="45" t="s">
        <v>291</v>
      </c>
      <c r="C24" s="46">
        <f>SUM(C17:C23)</f>
        <v>766923.85000000009</v>
      </c>
      <c r="D24" s="50">
        <f t="shared" si="17"/>
        <v>0.59875282159055054</v>
      </c>
      <c r="E24" s="46">
        <f>SUM(E17:E23)</f>
        <v>1214036.02</v>
      </c>
      <c r="F24" s="50">
        <f>E24/E$15</f>
        <v>0.55965570744250948</v>
      </c>
      <c r="G24" s="46">
        <f>SUM(G17:G23)</f>
        <v>1468052.7100000002</v>
      </c>
      <c r="H24" s="50">
        <f t="shared" si="4"/>
        <v>0.66672178731919907</v>
      </c>
      <c r="I24" s="46">
        <f>SUM(I17:I23)</f>
        <v>1311571</v>
      </c>
      <c r="J24" s="50">
        <f>I24/I$15</f>
        <v>0.56498164932111106</v>
      </c>
      <c r="K24" s="233">
        <f>SUM(K17:K23)</f>
        <v>415606</v>
      </c>
      <c r="L24" s="233">
        <f>SUM(L17:L23)</f>
        <v>263638</v>
      </c>
      <c r="M24" s="233">
        <f>SUM(M17:M23)</f>
        <v>309249</v>
      </c>
      <c r="N24" s="233">
        <f>SUM(N17:N23)</f>
        <v>250309</v>
      </c>
      <c r="O24" s="46">
        <f>SUM(O17:O23)</f>
        <v>1238802</v>
      </c>
      <c r="P24" s="50">
        <f>O24/O$15</f>
        <v>0.70598312322371848</v>
      </c>
      <c r="Q24" s="115"/>
      <c r="R24" s="46">
        <f>SUM(R17:R23)</f>
        <v>177637</v>
      </c>
      <c r="S24" s="46">
        <f>SUM(S17:S23)</f>
        <v>160890</v>
      </c>
      <c r="T24" s="46">
        <f>SUM(T17:T23)</f>
        <v>95890</v>
      </c>
      <c r="U24" s="46">
        <f>SUM(U17:U23)</f>
        <v>128100</v>
      </c>
      <c r="V24" s="46">
        <f>SUM(V17:V23)</f>
        <v>562517</v>
      </c>
      <c r="W24" s="50">
        <f>V24/V$15</f>
        <v>0.68921294872533156</v>
      </c>
      <c r="Y24" s="115"/>
      <c r="Z24" s="127">
        <f t="shared" ref="Z24:AC24" si="19">SUM(Z17:Z23)</f>
        <v>309245</v>
      </c>
      <c r="AA24" s="127">
        <f t="shared" si="19"/>
        <v>90548</v>
      </c>
      <c r="AB24" s="127">
        <f t="shared" si="19"/>
        <v>86563</v>
      </c>
      <c r="AC24" s="127">
        <f t="shared" si="19"/>
        <v>73822</v>
      </c>
      <c r="AD24" s="127">
        <f t="shared" ref="AD24:AP24" si="20">SUM(AD17:AD23)</f>
        <v>77084</v>
      </c>
      <c r="AE24" s="127">
        <f t="shared" si="20"/>
        <v>49439</v>
      </c>
      <c r="AF24" s="127">
        <f t="shared" si="20"/>
        <v>51114</v>
      </c>
      <c r="AG24" s="127">
        <f t="shared" si="20"/>
        <v>64531</v>
      </c>
      <c r="AH24" s="127">
        <f t="shared" si="20"/>
        <v>56537</v>
      </c>
      <c r="AI24" s="127">
        <f t="shared" si="20"/>
        <v>39822</v>
      </c>
      <c r="AJ24" s="127">
        <f t="shared" si="20"/>
        <v>35374</v>
      </c>
      <c r="AK24" s="127">
        <f t="shared" si="20"/>
        <v>17816</v>
      </c>
      <c r="AL24" s="127">
        <f t="shared" si="20"/>
        <v>42700</v>
      </c>
      <c r="AM24" s="127">
        <f t="shared" si="20"/>
        <v>42700</v>
      </c>
      <c r="AN24" s="127">
        <f t="shared" si="20"/>
        <v>42700</v>
      </c>
      <c r="AO24" s="127">
        <f t="shared" si="20"/>
        <v>42700</v>
      </c>
      <c r="AP24" s="127">
        <f t="shared" si="20"/>
        <v>562517</v>
      </c>
      <c r="AQ24" s="145">
        <f t="shared" si="7"/>
        <v>0.68921294872533156</v>
      </c>
      <c r="AR24" s="141"/>
      <c r="AS24" s="117"/>
    </row>
    <row r="25" spans="1:45" s="45" customFormat="1" x14ac:dyDescent="0.25">
      <c r="A25" s="45" t="s">
        <v>191</v>
      </c>
      <c r="C25" s="46">
        <f>C15-C24</f>
        <v>513945.02</v>
      </c>
      <c r="D25" s="50">
        <f t="shared" si="17"/>
        <v>0.40124717840944951</v>
      </c>
      <c r="E25" s="46">
        <f>E15-E24</f>
        <v>955219.12000000011</v>
      </c>
      <c r="F25" s="50">
        <f>E25/E$15</f>
        <v>0.44034429255749052</v>
      </c>
      <c r="G25" s="46">
        <f>G15-G24</f>
        <v>733844.29999999958</v>
      </c>
      <c r="H25" s="50">
        <f t="shared" si="4"/>
        <v>0.33327821268080093</v>
      </c>
      <c r="I25" s="46">
        <f>I15-I24</f>
        <v>1009869</v>
      </c>
      <c r="J25" s="50">
        <f>I25/I$15</f>
        <v>0.43501835067888894</v>
      </c>
      <c r="K25" s="233">
        <f>K15-K24</f>
        <v>154435</v>
      </c>
      <c r="L25" s="233">
        <f>L15-L24</f>
        <v>141536</v>
      </c>
      <c r="M25" s="233">
        <f>M15-M24</f>
        <v>37894</v>
      </c>
      <c r="N25" s="233">
        <f>N15-N24</f>
        <v>182052</v>
      </c>
      <c r="O25" s="46">
        <f>O15-O24</f>
        <v>515917</v>
      </c>
      <c r="P25" s="50">
        <f>O25/O$15</f>
        <v>0.29401687677628158</v>
      </c>
      <c r="Q25" s="115"/>
      <c r="R25" s="46">
        <f>R15-R24</f>
        <v>55318</v>
      </c>
      <c r="S25" s="46">
        <f>S15-S24</f>
        <v>57417</v>
      </c>
      <c r="T25" s="46">
        <f>T15-T24</f>
        <v>59021</v>
      </c>
      <c r="U25" s="46">
        <f>U15-U24</f>
        <v>81900</v>
      </c>
      <c r="V25" s="46">
        <f>V15-V24</f>
        <v>253656</v>
      </c>
      <c r="W25" s="50">
        <f>V25/V$15</f>
        <v>0.31078705127466849</v>
      </c>
      <c r="Y25" s="115"/>
      <c r="Z25" s="127">
        <f t="shared" ref="Z25:AC25" si="21">Z15-Z24</f>
        <v>37898</v>
      </c>
      <c r="AA25" s="127">
        <f t="shared" si="21"/>
        <v>65364</v>
      </c>
      <c r="AB25" s="127">
        <f t="shared" si="21"/>
        <v>60821</v>
      </c>
      <c r="AC25" s="127">
        <f t="shared" si="21"/>
        <v>55243</v>
      </c>
      <c r="AD25" s="127">
        <f t="shared" ref="AD25:AP25" si="22">AD15-AD24</f>
        <v>20258</v>
      </c>
      <c r="AE25" s="127">
        <f t="shared" si="22"/>
        <v>20267</v>
      </c>
      <c r="AF25" s="127">
        <f t="shared" si="22"/>
        <v>14793</v>
      </c>
      <c r="AG25" s="127">
        <f t="shared" si="22"/>
        <v>-5623</v>
      </c>
      <c r="AH25" s="127">
        <f>AH15-AH24</f>
        <v>21029</v>
      </c>
      <c r="AI25" s="127">
        <f t="shared" si="22"/>
        <v>42011</v>
      </c>
      <c r="AJ25" s="127">
        <f t="shared" si="22"/>
        <v>26812</v>
      </c>
      <c r="AK25" s="127">
        <f>AK15-AK24</f>
        <v>4909</v>
      </c>
      <c r="AL25" s="127">
        <f t="shared" si="22"/>
        <v>27300</v>
      </c>
      <c r="AM25" s="127">
        <f t="shared" si="22"/>
        <v>27300</v>
      </c>
      <c r="AN25" s="127">
        <f t="shared" si="22"/>
        <v>27300</v>
      </c>
      <c r="AO25" s="127">
        <f t="shared" si="22"/>
        <v>27300</v>
      </c>
      <c r="AP25" s="127">
        <f t="shared" si="22"/>
        <v>253656</v>
      </c>
      <c r="AQ25" s="145">
        <f t="shared" si="7"/>
        <v>0.31078705127466849</v>
      </c>
      <c r="AR25" s="141"/>
      <c r="AS25" s="117"/>
    </row>
    <row r="26" spans="1:45" x14ac:dyDescent="0.25">
      <c r="C26" s="8"/>
      <c r="E26" s="8"/>
      <c r="G26" s="8"/>
      <c r="I26" s="8"/>
      <c r="K26" s="236">
        <f>K25/K15</f>
        <v>0.27091910932722385</v>
      </c>
      <c r="L26" s="236">
        <f t="shared" ref="L26:N26" si="23">L25/L15</f>
        <v>0.34932152606040862</v>
      </c>
      <c r="M26" s="236">
        <f t="shared" si="23"/>
        <v>0.10915962586023627</v>
      </c>
      <c r="N26" s="236">
        <f t="shared" si="23"/>
        <v>0.42106480464241686</v>
      </c>
      <c r="Q26" s="113"/>
      <c r="R26" s="128">
        <f>R25/R15</f>
        <v>0.23746217080552037</v>
      </c>
      <c r="S26" s="128">
        <f t="shared" ref="S26:U26" si="24">S25/S15</f>
        <v>0.2630103478129423</v>
      </c>
      <c r="T26" s="128">
        <f t="shared" si="24"/>
        <v>0.38099941256592496</v>
      </c>
      <c r="U26" s="128">
        <f t="shared" si="24"/>
        <v>0.39</v>
      </c>
      <c r="Y26" s="113"/>
      <c r="Z26" s="128">
        <f t="shared" ref="Z26:AC26" si="25">Z25/Z15</f>
        <v>0.10917114848923931</v>
      </c>
      <c r="AA26" s="128">
        <f t="shared" si="25"/>
        <v>0.41923649238031713</v>
      </c>
      <c r="AB26" s="128">
        <f t="shared" si="25"/>
        <v>0.4126703034250665</v>
      </c>
      <c r="AC26" s="128">
        <f t="shared" si="25"/>
        <v>0.42802463874791774</v>
      </c>
      <c r="AD26" s="128">
        <f>AD25/AD15</f>
        <v>0.20811160650079102</v>
      </c>
      <c r="AE26" s="128">
        <f>AE25/AE15</f>
        <v>0.29074972025363671</v>
      </c>
      <c r="AF26" s="128">
        <f>AF25/AF15</f>
        <v>0.2244526378078201</v>
      </c>
      <c r="AG26" s="128">
        <f t="shared" ref="AG26:AO26" si="26">AG25/AG15</f>
        <v>-9.545392815916344E-2</v>
      </c>
      <c r="AH26" s="128">
        <f t="shared" si="26"/>
        <v>0.27111105381223732</v>
      </c>
      <c r="AI26" s="128">
        <f t="shared" si="26"/>
        <v>0.51337479989735191</v>
      </c>
      <c r="AJ26" s="128">
        <f t="shared" si="26"/>
        <v>0.43115813848776252</v>
      </c>
      <c r="AK26" s="128">
        <f>AK25/AK15</f>
        <v>0.21601760176017601</v>
      </c>
      <c r="AL26" s="128">
        <f t="shared" si="26"/>
        <v>0.39</v>
      </c>
      <c r="AM26" s="128">
        <f t="shared" si="26"/>
        <v>0.39</v>
      </c>
      <c r="AN26" s="128">
        <f t="shared" si="26"/>
        <v>0.39</v>
      </c>
      <c r="AO26" s="128">
        <f t="shared" si="26"/>
        <v>0.39</v>
      </c>
      <c r="AS26" s="113"/>
    </row>
    <row r="27" spans="1:45" x14ac:dyDescent="0.25">
      <c r="A27" t="s">
        <v>157</v>
      </c>
      <c r="C27" s="8"/>
      <c r="E27" s="8"/>
      <c r="G27" s="8"/>
      <c r="I27" s="8"/>
      <c r="K27" s="230"/>
      <c r="L27" s="229"/>
      <c r="M27" s="229"/>
      <c r="N27" s="229"/>
      <c r="Q27" s="113"/>
      <c r="R27" s="8"/>
      <c r="Y27" s="113"/>
      <c r="AD27" s="128"/>
      <c r="AS27" s="113"/>
    </row>
    <row r="28" spans="1:45" x14ac:dyDescent="0.25">
      <c r="B28" t="s">
        <v>158</v>
      </c>
      <c r="C28" s="8"/>
      <c r="E28" s="8"/>
      <c r="G28" s="8"/>
      <c r="I28" s="8"/>
      <c r="K28" s="230"/>
      <c r="L28" s="229"/>
      <c r="M28" s="229"/>
      <c r="N28" s="229"/>
      <c r="Q28" s="113"/>
      <c r="R28" s="8"/>
      <c r="Y28" s="113"/>
      <c r="AS28" s="113"/>
    </row>
    <row r="29" spans="1:45" x14ac:dyDescent="0.25">
      <c r="B29" t="s">
        <v>159</v>
      </c>
      <c r="C29" s="8">
        <f>QB!F110</f>
        <v>0</v>
      </c>
      <c r="D29" s="41">
        <f t="shared" ref="D29" si="27">C29/C$15</f>
        <v>0</v>
      </c>
      <c r="E29" s="8">
        <f>QB!K110</f>
        <v>216764.24</v>
      </c>
      <c r="F29" s="41">
        <f>E29/E$15</f>
        <v>9.992565466503861E-2</v>
      </c>
      <c r="G29" s="8">
        <f>QB!P110</f>
        <v>391277.16000000003</v>
      </c>
      <c r="H29" s="41">
        <f>G29/G$15</f>
        <v>0.17770002785007646</v>
      </c>
      <c r="I29" s="8">
        <v>410305</v>
      </c>
      <c r="J29" s="41">
        <f>I29/I$15</f>
        <v>0.17674589909711214</v>
      </c>
      <c r="K29" s="230">
        <v>113695</v>
      </c>
      <c r="L29" s="230">
        <v>113361</v>
      </c>
      <c r="M29" s="230">
        <v>88012</v>
      </c>
      <c r="N29" s="230">
        <v>79844</v>
      </c>
      <c r="O29" s="8">
        <f>SUM(K29:N29)</f>
        <v>394912</v>
      </c>
      <c r="P29" s="41">
        <f>O29/O$15</f>
        <v>0.22505711740740256</v>
      </c>
      <c r="Q29" s="113"/>
      <c r="R29" s="8">
        <f>SUM(AD29:AF29)</f>
        <v>74406</v>
      </c>
      <c r="S29" s="8">
        <f t="shared" ref="S29" si="28">SUM(AG29:AI29)</f>
        <v>40476</v>
      </c>
      <c r="T29" s="8">
        <f t="shared" ref="T29" si="29">SUM(AJ29:AL29)</f>
        <v>22574</v>
      </c>
      <c r="U29" s="8">
        <f t="shared" ref="U29" si="30">SUM(AM29:AO29)</f>
        <v>45222</v>
      </c>
      <c r="V29" s="8">
        <f>SUM(R29:U29)</f>
        <v>182678</v>
      </c>
      <c r="W29" s="41">
        <f>V29/V$15</f>
        <v>0.2238226454440419</v>
      </c>
      <c r="Y29" s="113"/>
      <c r="Z29" s="121">
        <v>88012</v>
      </c>
      <c r="AA29" s="121">
        <v>32685</v>
      </c>
      <c r="AB29" s="121">
        <v>24892</v>
      </c>
      <c r="AC29" s="121">
        <v>22267</v>
      </c>
      <c r="AD29" s="121">
        <v>29409</v>
      </c>
      <c r="AE29" s="121">
        <v>22407</v>
      </c>
      <c r="AF29" s="121">
        <v>22590</v>
      </c>
      <c r="AG29" s="121">
        <v>17255</v>
      </c>
      <c r="AH29" s="121">
        <v>14039</v>
      </c>
      <c r="AI29" s="121">
        <v>9182</v>
      </c>
      <c r="AJ29" s="121">
        <v>5000</v>
      </c>
      <c r="AK29" s="121">
        <v>2500</v>
      </c>
      <c r="AL29" s="121">
        <v>15074</v>
      </c>
      <c r="AM29" s="121">
        <v>15074</v>
      </c>
      <c r="AN29" s="121">
        <v>15074</v>
      </c>
      <c r="AO29" s="121">
        <v>15074</v>
      </c>
      <c r="AP29" s="121">
        <f t="shared" ref="AP29" si="31">SUM(AD29:AO29)</f>
        <v>182678</v>
      </c>
      <c r="AQ29" s="143">
        <f t="shared" ref="AQ29:AQ71" si="32">AP29/AP$15</f>
        <v>0.2238226454440419</v>
      </c>
      <c r="AS29" s="113"/>
    </row>
    <row r="30" spans="1:45" s="39" customFormat="1" x14ac:dyDescent="0.25">
      <c r="B30" s="39" t="s">
        <v>502</v>
      </c>
      <c r="C30" s="40"/>
      <c r="D30" s="41"/>
      <c r="E30" s="40"/>
      <c r="F30" s="41"/>
      <c r="G30" s="40"/>
      <c r="H30" s="41"/>
      <c r="I30" s="40"/>
      <c r="J30" s="41"/>
      <c r="K30" s="234"/>
      <c r="L30" s="234"/>
      <c r="M30" s="234"/>
      <c r="N30" s="234"/>
      <c r="O30" s="40"/>
      <c r="P30" s="41"/>
      <c r="Q30" s="160"/>
      <c r="R30" s="40"/>
      <c r="S30" s="40"/>
      <c r="T30" s="40"/>
      <c r="U30" s="40"/>
      <c r="V30" s="40"/>
      <c r="W30" s="41"/>
      <c r="Y30" s="160"/>
      <c r="Z30" s="157"/>
      <c r="AA30" s="157"/>
      <c r="AB30" s="157">
        <f t="shared" ref="AB30:AC33" si="33">$AR30*2</f>
        <v>4744</v>
      </c>
      <c r="AC30" s="157">
        <f t="shared" si="33"/>
        <v>4744</v>
      </c>
      <c r="AD30" s="200">
        <f t="shared" ref="AD30:AI32" si="34">$AR30*2</f>
        <v>4744</v>
      </c>
      <c r="AE30" s="200">
        <v>1313</v>
      </c>
      <c r="AF30" s="200"/>
      <c r="AG30" s="200"/>
      <c r="AH30" s="200"/>
      <c r="AI30" s="200"/>
      <c r="AJ30" s="200"/>
      <c r="AK30" s="200"/>
      <c r="AL30" s="200"/>
      <c r="AM30" s="200"/>
      <c r="AN30" s="200"/>
      <c r="AO30" s="200"/>
      <c r="AP30" s="157"/>
      <c r="AQ30" s="143"/>
      <c r="AR30" s="158">
        <v>2372</v>
      </c>
      <c r="AS30" s="160"/>
    </row>
    <row r="31" spans="1:45" s="39" customFormat="1" x14ac:dyDescent="0.25">
      <c r="B31" s="39" t="s">
        <v>1769</v>
      </c>
      <c r="C31" s="40"/>
      <c r="D31" s="41"/>
      <c r="E31" s="40"/>
      <c r="F31" s="41"/>
      <c r="G31" s="40"/>
      <c r="H31" s="41"/>
      <c r="I31" s="40"/>
      <c r="J31" s="41"/>
      <c r="K31" s="234"/>
      <c r="L31" s="234"/>
      <c r="M31" s="234"/>
      <c r="N31" s="234"/>
      <c r="O31" s="40"/>
      <c r="P31" s="41"/>
      <c r="Q31" s="160"/>
      <c r="R31" s="40"/>
      <c r="S31" s="40"/>
      <c r="T31" s="40"/>
      <c r="U31" s="40"/>
      <c r="V31" s="40"/>
      <c r="W31" s="41"/>
      <c r="Y31" s="160"/>
      <c r="Z31" s="157"/>
      <c r="AA31" s="157"/>
      <c r="AB31" s="157">
        <f t="shared" si="33"/>
        <v>5000</v>
      </c>
      <c r="AC31" s="157">
        <f t="shared" si="33"/>
        <v>5000</v>
      </c>
      <c r="AD31" s="200">
        <f t="shared" si="34"/>
        <v>5000</v>
      </c>
      <c r="AE31" s="200">
        <f t="shared" si="34"/>
        <v>5000</v>
      </c>
      <c r="AF31" s="200"/>
      <c r="AG31" s="200"/>
      <c r="AH31" s="200"/>
      <c r="AI31" s="200"/>
      <c r="AJ31" s="200"/>
      <c r="AK31" s="200"/>
      <c r="AL31" s="200"/>
      <c r="AM31" s="200"/>
      <c r="AN31" s="200"/>
      <c r="AO31" s="200"/>
      <c r="AP31" s="157"/>
      <c r="AQ31" s="143"/>
      <c r="AR31" s="158">
        <v>2500</v>
      </c>
      <c r="AS31" s="160"/>
    </row>
    <row r="32" spans="1:45" s="39" customFormat="1" x14ac:dyDescent="0.25">
      <c r="B32" s="39" t="s">
        <v>503</v>
      </c>
      <c r="C32" s="40"/>
      <c r="D32" s="41"/>
      <c r="E32" s="40"/>
      <c r="F32" s="41"/>
      <c r="G32" s="40"/>
      <c r="H32" s="41"/>
      <c r="I32" s="40"/>
      <c r="J32" s="41"/>
      <c r="K32" s="234"/>
      <c r="L32" s="234"/>
      <c r="M32" s="234"/>
      <c r="N32" s="234"/>
      <c r="O32" s="40"/>
      <c r="P32" s="41"/>
      <c r="Q32" s="160"/>
      <c r="R32" s="40"/>
      <c r="S32" s="40"/>
      <c r="T32" s="40"/>
      <c r="U32" s="40"/>
      <c r="V32" s="40"/>
      <c r="W32" s="41"/>
      <c r="Y32" s="160"/>
      <c r="Z32" s="157"/>
      <c r="AA32" s="157"/>
      <c r="AB32" s="157">
        <f t="shared" si="33"/>
        <v>4574</v>
      </c>
      <c r="AC32" s="157">
        <f t="shared" si="33"/>
        <v>4574</v>
      </c>
      <c r="AD32" s="200">
        <v>4416</v>
      </c>
      <c r="AE32" s="200">
        <v>4468</v>
      </c>
      <c r="AF32" s="200">
        <f t="shared" si="34"/>
        <v>4574</v>
      </c>
      <c r="AG32" s="200">
        <f>$AR32*2</f>
        <v>4574</v>
      </c>
      <c r="AH32" s="200">
        <f t="shared" si="34"/>
        <v>4574</v>
      </c>
      <c r="AI32" s="200">
        <f t="shared" si="34"/>
        <v>4574</v>
      </c>
      <c r="AJ32" s="200">
        <v>3776</v>
      </c>
      <c r="AK32" s="200">
        <v>3776</v>
      </c>
      <c r="AL32" s="200">
        <v>3776</v>
      </c>
      <c r="AM32" s="200">
        <v>3776</v>
      </c>
      <c r="AN32" s="200">
        <v>3776</v>
      </c>
      <c r="AO32" s="200">
        <v>3776</v>
      </c>
      <c r="AP32" s="157"/>
      <c r="AQ32" s="143"/>
      <c r="AR32" s="158">
        <v>2287</v>
      </c>
      <c r="AS32" s="160"/>
    </row>
    <row r="33" spans="2:45" s="39" customFormat="1" x14ac:dyDescent="0.25">
      <c r="B33" s="39" t="s">
        <v>504</v>
      </c>
      <c r="C33" s="40"/>
      <c r="D33" s="41"/>
      <c r="E33" s="40"/>
      <c r="F33" s="41"/>
      <c r="G33" s="40"/>
      <c r="H33" s="41"/>
      <c r="I33" s="40"/>
      <c r="J33" s="41"/>
      <c r="K33" s="234"/>
      <c r="L33" s="234"/>
      <c r="M33" s="234"/>
      <c r="N33" s="234"/>
      <c r="O33" s="40"/>
      <c r="P33" s="41"/>
      <c r="Q33" s="160"/>
      <c r="R33" s="40"/>
      <c r="S33" s="40"/>
      <c r="T33" s="40"/>
      <c r="U33" s="40"/>
      <c r="V33" s="40"/>
      <c r="W33" s="41"/>
      <c r="Y33" s="160"/>
      <c r="Z33" s="157"/>
      <c r="AA33" s="157"/>
      <c r="AB33" s="157">
        <f t="shared" si="33"/>
        <v>1834</v>
      </c>
      <c r="AC33" s="157">
        <f t="shared" si="33"/>
        <v>1834</v>
      </c>
      <c r="AD33" s="200">
        <v>1834</v>
      </c>
      <c r="AE33" s="200">
        <v>1834</v>
      </c>
      <c r="AF33" s="200"/>
      <c r="AG33" s="200"/>
      <c r="AH33" s="200"/>
      <c r="AI33" s="200"/>
      <c r="AJ33" s="200"/>
      <c r="AK33" s="200"/>
      <c r="AL33" s="200"/>
      <c r="AM33" s="200"/>
      <c r="AN33" s="200"/>
      <c r="AO33" s="200"/>
      <c r="AP33" s="157"/>
      <c r="AQ33" s="143"/>
      <c r="AR33" s="158">
        <v>917</v>
      </c>
      <c r="AS33" s="160"/>
    </row>
    <row r="34" spans="2:45" s="39" customFormat="1" x14ac:dyDescent="0.25">
      <c r="B34" s="39" t="s">
        <v>505</v>
      </c>
      <c r="C34" s="40"/>
      <c r="D34" s="41"/>
      <c r="E34" s="40"/>
      <c r="F34" s="41"/>
      <c r="G34" s="40"/>
      <c r="H34" s="41"/>
      <c r="I34" s="40"/>
      <c r="J34" s="41"/>
      <c r="K34" s="234"/>
      <c r="L34" s="234"/>
      <c r="M34" s="234"/>
      <c r="N34" s="234"/>
      <c r="O34" s="40"/>
      <c r="P34" s="41"/>
      <c r="Q34" s="160"/>
      <c r="R34" s="40"/>
      <c r="S34" s="40"/>
      <c r="T34" s="40"/>
      <c r="U34" s="40"/>
      <c r="V34" s="40"/>
      <c r="W34" s="41"/>
      <c r="Y34" s="160"/>
      <c r="Z34" s="157"/>
      <c r="AA34" s="157"/>
      <c r="AB34" s="176">
        <f>$AR34*2</f>
        <v>2490</v>
      </c>
      <c r="AC34" s="176">
        <f>$AR34*AC$143</f>
        <v>2490</v>
      </c>
      <c r="AD34" s="200">
        <v>6666</v>
      </c>
      <c r="AE34" s="200">
        <v>6667</v>
      </c>
      <c r="AF34" s="200">
        <v>5000</v>
      </c>
      <c r="AG34" s="200">
        <v>5000</v>
      </c>
      <c r="AH34" s="200">
        <v>5000</v>
      </c>
      <c r="AI34" s="200">
        <v>5000</v>
      </c>
      <c r="AJ34" s="200">
        <v>5000</v>
      </c>
      <c r="AK34" s="200">
        <v>5000</v>
      </c>
      <c r="AL34" s="200">
        <v>5000</v>
      </c>
      <c r="AM34" s="200">
        <v>5000</v>
      </c>
      <c r="AN34" s="200">
        <v>5000</v>
      </c>
      <c r="AO34" s="200">
        <v>5000</v>
      </c>
      <c r="AP34" s="176"/>
      <c r="AQ34" s="175"/>
      <c r="AR34" s="177">
        <v>1245</v>
      </c>
      <c r="AS34" s="160"/>
    </row>
    <row r="35" spans="2:45" s="39" customFormat="1" x14ac:dyDescent="0.25">
      <c r="B35" s="39" t="s">
        <v>506</v>
      </c>
      <c r="C35" s="40"/>
      <c r="D35" s="41"/>
      <c r="E35" s="40"/>
      <c r="F35" s="41"/>
      <c r="G35" s="40"/>
      <c r="H35" s="41"/>
      <c r="I35" s="40"/>
      <c r="J35" s="41"/>
      <c r="K35" s="234"/>
      <c r="L35" s="234"/>
      <c r="M35" s="234"/>
      <c r="N35" s="234"/>
      <c r="O35" s="40"/>
      <c r="P35" s="41"/>
      <c r="Q35" s="160"/>
      <c r="R35" s="40"/>
      <c r="S35" s="40"/>
      <c r="T35" s="40"/>
      <c r="U35" s="40"/>
      <c r="V35" s="40"/>
      <c r="W35" s="41"/>
      <c r="Y35" s="160"/>
      <c r="Z35" s="157"/>
      <c r="AA35" s="157"/>
      <c r="AB35" s="176">
        <f>$AR35*2</f>
        <v>7000</v>
      </c>
      <c r="AC35" s="176">
        <f>$AR35*2</f>
        <v>7000</v>
      </c>
      <c r="AD35" s="200">
        <v>3625</v>
      </c>
      <c r="AE35" s="200">
        <v>0</v>
      </c>
      <c r="AF35" s="200">
        <v>3000</v>
      </c>
      <c r="AG35" s="200">
        <v>3000</v>
      </c>
      <c r="AH35" s="200">
        <v>3000</v>
      </c>
      <c r="AI35" s="200">
        <v>3500</v>
      </c>
      <c r="AJ35" s="200">
        <v>3500</v>
      </c>
      <c r="AK35" s="200">
        <v>3500</v>
      </c>
      <c r="AL35" s="200">
        <v>3500</v>
      </c>
      <c r="AM35" s="200">
        <v>3500</v>
      </c>
      <c r="AN35" s="200">
        <v>3500</v>
      </c>
      <c r="AO35" s="200">
        <v>3500</v>
      </c>
      <c r="AP35" s="176"/>
      <c r="AQ35" s="175"/>
      <c r="AR35" s="177">
        <v>3500</v>
      </c>
      <c r="AS35" s="160"/>
    </row>
    <row r="36" spans="2:45" x14ac:dyDescent="0.25">
      <c r="B36" t="s">
        <v>160</v>
      </c>
      <c r="C36" s="8">
        <f>QB!F108</f>
        <v>142452.45000000001</v>
      </c>
      <c r="D36" s="41">
        <f t="shared" ref="D36" si="35">C36/C$15</f>
        <v>0.11121548297133647</v>
      </c>
      <c r="E36" s="8">
        <f>QB!K108</f>
        <v>57528.860000000008</v>
      </c>
      <c r="F36" s="41">
        <f>E36/E$15</f>
        <v>2.6520098507176987E-2</v>
      </c>
      <c r="G36" s="8">
        <f>QB!P108</f>
        <v>18232.21</v>
      </c>
      <c r="H36" s="41">
        <f>G36/G$15</f>
        <v>8.2802283291169929E-3</v>
      </c>
      <c r="I36" s="8">
        <v>84566</v>
      </c>
      <c r="J36" s="41">
        <f>I36/I$15</f>
        <v>3.6428251430146809E-2</v>
      </c>
      <c r="K36" s="230">
        <v>30320</v>
      </c>
      <c r="L36" s="230">
        <v>9582</v>
      </c>
      <c r="M36" s="230">
        <v>9031</v>
      </c>
      <c r="N36" s="230">
        <v>16319</v>
      </c>
      <c r="O36" s="8">
        <f t="shared" ref="O36:O42" si="36">SUM(K36:N36)</f>
        <v>65252</v>
      </c>
      <c r="P36" s="41">
        <f>O36/O$15</f>
        <v>3.7186580871353188E-2</v>
      </c>
      <c r="Q36" s="113"/>
      <c r="R36" s="8">
        <f>SUM(AD36:AF36)</f>
        <v>18540</v>
      </c>
      <c r="S36" s="8">
        <f t="shared" ref="S36" si="37">SUM(AG36:AI36)</f>
        <v>19428</v>
      </c>
      <c r="T36" s="8">
        <f t="shared" ref="T36" si="38">SUM(AJ36:AL36)</f>
        <v>20449</v>
      </c>
      <c r="U36" s="8">
        <f t="shared" ref="U36" si="39">SUM(AM36:AO36)</f>
        <v>17160</v>
      </c>
      <c r="V36" s="8">
        <f t="shared" ref="V36" si="40">SUM(R36:U36)</f>
        <v>75577</v>
      </c>
      <c r="W36" s="41">
        <f>V36/V$15</f>
        <v>9.2599240602176253E-2</v>
      </c>
      <c r="Y36" s="113"/>
      <c r="Z36" s="121">
        <v>9030</v>
      </c>
      <c r="AA36" s="121">
        <v>4939</v>
      </c>
      <c r="AB36" s="121">
        <v>6242</v>
      </c>
      <c r="AC36" s="121">
        <v>5138</v>
      </c>
      <c r="AD36" s="121">
        <f t="shared" ref="AD36:AO36" si="41">SUM(AD37:AD40)</f>
        <v>7721</v>
      </c>
      <c r="AE36" s="121">
        <f t="shared" si="41"/>
        <v>3588</v>
      </c>
      <c r="AF36" s="121">
        <v>7231</v>
      </c>
      <c r="AG36" s="121">
        <v>6049</v>
      </c>
      <c r="AH36" s="121">
        <v>6115</v>
      </c>
      <c r="AI36" s="121">
        <v>7264</v>
      </c>
      <c r="AJ36" s="121">
        <v>8034</v>
      </c>
      <c r="AK36" s="121">
        <v>6695</v>
      </c>
      <c r="AL36" s="121">
        <f t="shared" si="41"/>
        <v>5720</v>
      </c>
      <c r="AM36" s="121">
        <f t="shared" si="41"/>
        <v>5720</v>
      </c>
      <c r="AN36" s="121">
        <f t="shared" si="41"/>
        <v>5720</v>
      </c>
      <c r="AO36" s="121">
        <f t="shared" si="41"/>
        <v>5720</v>
      </c>
      <c r="AP36" s="121">
        <f t="shared" ref="AP36" si="42">SUM(AD36:AO36)</f>
        <v>75577</v>
      </c>
      <c r="AQ36" s="143">
        <f t="shared" si="32"/>
        <v>9.2599240602176253E-2</v>
      </c>
      <c r="AS36" s="113"/>
    </row>
    <row r="37" spans="2:45" s="39" customFormat="1" x14ac:dyDescent="0.25">
      <c r="B37" s="39" t="s">
        <v>507</v>
      </c>
      <c r="C37" s="40"/>
      <c r="D37" s="41"/>
      <c r="E37" s="40"/>
      <c r="F37" s="41"/>
      <c r="G37" s="40"/>
      <c r="H37" s="41"/>
      <c r="I37" s="40"/>
      <c r="J37" s="41"/>
      <c r="K37" s="234"/>
      <c r="L37" s="234"/>
      <c r="M37" s="234"/>
      <c r="N37" s="234"/>
      <c r="O37" s="40"/>
      <c r="P37" s="41"/>
      <c r="Q37" s="160"/>
      <c r="R37" s="40"/>
      <c r="S37" s="40"/>
      <c r="T37" s="40"/>
      <c r="U37" s="40"/>
      <c r="V37" s="40"/>
      <c r="W37" s="41"/>
      <c r="Y37" s="160"/>
      <c r="Z37" s="157"/>
      <c r="AA37" s="157"/>
      <c r="AB37" s="157">
        <v>2860</v>
      </c>
      <c r="AC37" s="157">
        <v>2860</v>
      </c>
      <c r="AD37" s="200">
        <v>4767</v>
      </c>
      <c r="AE37" s="200">
        <v>1428</v>
      </c>
      <c r="AF37" s="200">
        <v>2860</v>
      </c>
      <c r="AG37" s="200">
        <v>2860</v>
      </c>
      <c r="AH37" s="200">
        <v>2860</v>
      </c>
      <c r="AI37" s="200">
        <v>2860</v>
      </c>
      <c r="AJ37" s="200">
        <v>2860</v>
      </c>
      <c r="AK37" s="200">
        <v>2860</v>
      </c>
      <c r="AL37" s="200">
        <v>2860</v>
      </c>
      <c r="AM37" s="200">
        <v>2860</v>
      </c>
      <c r="AN37" s="200">
        <v>2860</v>
      </c>
      <c r="AO37" s="200">
        <v>2860</v>
      </c>
      <c r="AP37" s="157"/>
      <c r="AQ37" s="143"/>
      <c r="AR37" s="158" t="s">
        <v>1856</v>
      </c>
      <c r="AS37" s="160"/>
    </row>
    <row r="38" spans="2:45" s="39" customFormat="1" x14ac:dyDescent="0.25">
      <c r="B38" s="39" t="s">
        <v>508</v>
      </c>
      <c r="C38" s="40"/>
      <c r="D38" s="41"/>
      <c r="E38" s="40"/>
      <c r="F38" s="41"/>
      <c r="G38" s="40"/>
      <c r="H38" s="41"/>
      <c r="I38" s="40"/>
      <c r="J38" s="41"/>
      <c r="K38" s="234"/>
      <c r="L38" s="234"/>
      <c r="M38" s="234"/>
      <c r="N38" s="234"/>
      <c r="O38" s="40"/>
      <c r="P38" s="41"/>
      <c r="Q38" s="160"/>
      <c r="R38" s="40"/>
      <c r="S38" s="40"/>
      <c r="T38" s="40"/>
      <c r="U38" s="40"/>
      <c r="V38" s="40"/>
      <c r="W38" s="41"/>
      <c r="Y38" s="160"/>
      <c r="Z38" s="157"/>
      <c r="AA38" s="157"/>
      <c r="AB38" s="157">
        <v>2860</v>
      </c>
      <c r="AC38" s="157">
        <v>2860</v>
      </c>
      <c r="AD38" s="200">
        <v>2954</v>
      </c>
      <c r="AE38" s="200">
        <v>2160</v>
      </c>
      <c r="AF38" s="200">
        <v>2860</v>
      </c>
      <c r="AG38" s="200">
        <v>2860</v>
      </c>
      <c r="AH38" s="200">
        <v>2860</v>
      </c>
      <c r="AI38" s="200">
        <v>2860</v>
      </c>
      <c r="AJ38" s="200">
        <v>2860</v>
      </c>
      <c r="AK38" s="200">
        <v>2860</v>
      </c>
      <c r="AL38" s="200">
        <v>2860</v>
      </c>
      <c r="AM38" s="200">
        <v>2860</v>
      </c>
      <c r="AN38" s="200">
        <v>2860</v>
      </c>
      <c r="AO38" s="200">
        <v>2860</v>
      </c>
      <c r="AP38" s="157"/>
      <c r="AQ38" s="143"/>
      <c r="AR38" s="158" t="s">
        <v>1857</v>
      </c>
      <c r="AS38" s="160"/>
    </row>
    <row r="39" spans="2:45" s="39" customFormat="1" x14ac:dyDescent="0.25">
      <c r="C39" s="40"/>
      <c r="D39" s="41"/>
      <c r="E39" s="40"/>
      <c r="F39" s="41"/>
      <c r="G39" s="40"/>
      <c r="H39" s="41"/>
      <c r="I39" s="40"/>
      <c r="J39" s="41"/>
      <c r="K39" s="234"/>
      <c r="L39" s="234"/>
      <c r="M39" s="234"/>
      <c r="N39" s="234"/>
      <c r="O39" s="40"/>
      <c r="P39" s="41"/>
      <c r="Q39" s="160"/>
      <c r="R39" s="40"/>
      <c r="S39" s="40"/>
      <c r="T39" s="40"/>
      <c r="U39" s="40"/>
      <c r="V39" s="40"/>
      <c r="W39" s="41"/>
      <c r="Y39" s="160"/>
      <c r="Z39" s="157"/>
      <c r="AA39" s="157"/>
      <c r="AB39" s="157"/>
      <c r="AC39" s="157"/>
      <c r="AD39" s="157"/>
      <c r="AE39" s="157"/>
      <c r="AF39" s="157"/>
      <c r="AG39" s="157"/>
      <c r="AH39" s="157"/>
      <c r="AI39" s="157"/>
      <c r="AJ39" s="157"/>
      <c r="AK39" s="157"/>
      <c r="AL39" s="157"/>
      <c r="AM39" s="157"/>
      <c r="AN39" s="157"/>
      <c r="AO39" s="157"/>
      <c r="AP39" s="157"/>
      <c r="AQ39" s="143"/>
      <c r="AR39" s="158"/>
      <c r="AS39" s="160"/>
    </row>
    <row r="40" spans="2:45" s="39" customFormat="1" x14ac:dyDescent="0.25">
      <c r="C40" s="40"/>
      <c r="D40" s="41"/>
      <c r="E40" s="40"/>
      <c r="F40" s="41"/>
      <c r="G40" s="40"/>
      <c r="H40" s="41"/>
      <c r="I40" s="40"/>
      <c r="J40" s="41"/>
      <c r="K40" s="234"/>
      <c r="L40" s="234"/>
      <c r="M40" s="234"/>
      <c r="N40" s="234"/>
      <c r="O40" s="40"/>
      <c r="P40" s="41"/>
      <c r="Q40" s="160"/>
      <c r="R40" s="40"/>
      <c r="S40" s="40"/>
      <c r="T40" s="40"/>
      <c r="U40" s="40"/>
      <c r="V40" s="40"/>
      <c r="W40" s="41"/>
      <c r="Y40" s="160"/>
      <c r="Z40" s="157"/>
      <c r="AA40" s="157"/>
      <c r="AB40" s="157"/>
      <c r="AC40" s="157"/>
      <c r="AD40" s="157"/>
      <c r="AE40" s="157"/>
      <c r="AF40" s="157"/>
      <c r="AG40" s="157"/>
      <c r="AH40" s="157"/>
      <c r="AI40" s="157"/>
      <c r="AJ40" s="157"/>
      <c r="AK40" s="157"/>
      <c r="AL40" s="157"/>
      <c r="AM40" s="157"/>
      <c r="AN40" s="157"/>
      <c r="AO40" s="157"/>
      <c r="AP40" s="157"/>
      <c r="AQ40" s="143"/>
      <c r="AR40" s="158"/>
      <c r="AS40" s="160"/>
    </row>
    <row r="41" spans="2:45" x14ac:dyDescent="0.25">
      <c r="B41" t="s">
        <v>161</v>
      </c>
      <c r="C41" s="8">
        <f>QB!F109</f>
        <v>0</v>
      </c>
      <c r="D41" s="41">
        <f t="shared" ref="D41:D44" si="43">C41/C$15</f>
        <v>0</v>
      </c>
      <c r="E41" s="8">
        <f>QB!K109</f>
        <v>18516.46</v>
      </c>
      <c r="F41" s="41">
        <f>E41/E$15</f>
        <v>8.5358608393109534E-3</v>
      </c>
      <c r="G41" s="8">
        <f>QB!P109</f>
        <v>32796.35</v>
      </c>
      <c r="H41" s="41">
        <f>G41/G$15</f>
        <v>1.4894588552985956E-2</v>
      </c>
      <c r="I41" s="8">
        <v>31028</v>
      </c>
      <c r="J41" s="41">
        <f t="shared" ref="J41:J63" si="44">I41/I$15</f>
        <v>1.336584189123992E-2</v>
      </c>
      <c r="K41" s="230">
        <v>7707</v>
      </c>
      <c r="L41" s="230">
        <v>6925</v>
      </c>
      <c r="M41" s="230">
        <v>5184</v>
      </c>
      <c r="N41" s="230">
        <v>4472</v>
      </c>
      <c r="O41" s="8">
        <f t="shared" si="36"/>
        <v>24288</v>
      </c>
      <c r="P41" s="41">
        <f t="shared" ref="P41:P63" si="45">O41/O$15</f>
        <v>1.3841532461892759E-2</v>
      </c>
      <c r="Q41" s="113"/>
      <c r="R41" s="8">
        <f t="shared" ref="R41:R42" si="46">SUM(AD41:AF41)</f>
        <v>4724</v>
      </c>
      <c r="S41" s="8">
        <f t="shared" ref="S41:S42" si="47">SUM(AG41:AI41)</f>
        <v>2011</v>
      </c>
      <c r="T41" s="8">
        <f t="shared" ref="T41:T42" si="48">SUM(AJ41:AL41)</f>
        <v>1555.92</v>
      </c>
      <c r="U41" s="8">
        <f t="shared" ref="U41:U44" si="49">SUM(AM41:AO41)</f>
        <v>3617.76</v>
      </c>
      <c r="V41" s="8">
        <f t="shared" ref="V41:V42" si="50">SUM(R41:U41)</f>
        <v>11908.68</v>
      </c>
      <c r="W41" s="41">
        <f t="shared" ref="W41:W44" si="51">V41/V$15</f>
        <v>1.4590877179225484E-2</v>
      </c>
      <c r="Y41" s="113"/>
      <c r="Z41" s="121">
        <v>5184</v>
      </c>
      <c r="AA41" s="121">
        <v>1439</v>
      </c>
      <c r="AB41" s="121">
        <v>1363</v>
      </c>
      <c r="AC41" s="121">
        <v>1670</v>
      </c>
      <c r="AD41" s="121">
        <v>2184</v>
      </c>
      <c r="AE41" s="121">
        <v>1545</v>
      </c>
      <c r="AF41" s="121">
        <v>995</v>
      </c>
      <c r="AG41" s="121">
        <v>683</v>
      </c>
      <c r="AH41" s="121">
        <v>804</v>
      </c>
      <c r="AI41" s="121">
        <v>524</v>
      </c>
      <c r="AJ41" s="121">
        <v>350</v>
      </c>
      <c r="AK41" s="121">
        <v>0</v>
      </c>
      <c r="AL41" s="121">
        <f t="shared" ref="AL41:AO41" si="52">AL29*0.08</f>
        <v>1205.92</v>
      </c>
      <c r="AM41" s="121">
        <f t="shared" si="52"/>
        <v>1205.92</v>
      </c>
      <c r="AN41" s="121">
        <f t="shared" si="52"/>
        <v>1205.92</v>
      </c>
      <c r="AO41" s="121">
        <f t="shared" si="52"/>
        <v>1205.92</v>
      </c>
      <c r="AP41" s="121">
        <f t="shared" ref="AP41:AP42" si="53">SUM(AD41:AO41)</f>
        <v>11908.68</v>
      </c>
      <c r="AQ41" s="143">
        <f t="shared" si="32"/>
        <v>1.4590877179225484E-2</v>
      </c>
      <c r="AR41" s="143" t="s">
        <v>509</v>
      </c>
      <c r="AS41" s="113"/>
    </row>
    <row r="42" spans="2:45" x14ac:dyDescent="0.25">
      <c r="B42" t="s">
        <v>162</v>
      </c>
      <c r="C42" s="9">
        <f>QB!F104</f>
        <v>6974.56</v>
      </c>
      <c r="D42" s="43">
        <f t="shared" si="43"/>
        <v>5.4451787871150304E-3</v>
      </c>
      <c r="E42" s="9">
        <f>QB!K104</f>
        <v>10175.58</v>
      </c>
      <c r="F42" s="43">
        <f>E42/E$15</f>
        <v>4.6908175125955909E-3</v>
      </c>
      <c r="G42" s="9">
        <f>QB!P104</f>
        <v>2511.54</v>
      </c>
      <c r="H42" s="43">
        <f>G42/G$15</f>
        <v>1.1406255554159638E-3</v>
      </c>
      <c r="I42" s="9">
        <v>18506</v>
      </c>
      <c r="J42" s="43">
        <f t="shared" si="44"/>
        <v>7.9717761389482382E-3</v>
      </c>
      <c r="K42" s="231">
        <v>3190</v>
      </c>
      <c r="L42" s="231">
        <v>3417</v>
      </c>
      <c r="M42" s="231">
        <v>3692</v>
      </c>
      <c r="N42" s="231">
        <v>4817</v>
      </c>
      <c r="O42" s="9">
        <f t="shared" si="36"/>
        <v>15116</v>
      </c>
      <c r="P42" s="43">
        <f t="shared" si="45"/>
        <v>8.6144847123670511E-3</v>
      </c>
      <c r="Q42" s="116"/>
      <c r="R42" s="9">
        <f t="shared" si="46"/>
        <v>690</v>
      </c>
      <c r="S42" s="9">
        <f t="shared" si="47"/>
        <v>5594</v>
      </c>
      <c r="T42" s="9">
        <f t="shared" si="48"/>
        <v>2856</v>
      </c>
      <c r="U42" s="9">
        <f t="shared" si="49"/>
        <v>1050</v>
      </c>
      <c r="V42" s="9">
        <f t="shared" si="50"/>
        <v>10190</v>
      </c>
      <c r="W42" s="43">
        <f t="shared" si="51"/>
        <v>1.2485098134831708E-2</v>
      </c>
      <c r="Y42" s="116"/>
      <c r="Z42" s="122">
        <v>3692</v>
      </c>
      <c r="AA42" s="122"/>
      <c r="AB42" s="122"/>
      <c r="AC42" s="122">
        <v>4817</v>
      </c>
      <c r="AD42" s="122">
        <v>345</v>
      </c>
      <c r="AE42" s="122">
        <v>138</v>
      </c>
      <c r="AF42" s="122">
        <v>207</v>
      </c>
      <c r="AG42" s="122">
        <v>3311</v>
      </c>
      <c r="AH42" s="122">
        <v>138</v>
      </c>
      <c r="AI42" s="122">
        <v>2145</v>
      </c>
      <c r="AJ42" s="122">
        <v>1756</v>
      </c>
      <c r="AK42" s="122">
        <v>0</v>
      </c>
      <c r="AL42" s="122">
        <v>1100</v>
      </c>
      <c r="AM42" s="122">
        <v>350</v>
      </c>
      <c r="AN42" s="122">
        <v>350</v>
      </c>
      <c r="AO42" s="122">
        <v>350</v>
      </c>
      <c r="AP42" s="122">
        <f t="shared" si="53"/>
        <v>10190</v>
      </c>
      <c r="AQ42" s="143">
        <f t="shared" si="32"/>
        <v>1.2485098134831708E-2</v>
      </c>
      <c r="AR42" s="143" t="s">
        <v>1888</v>
      </c>
      <c r="AS42" s="113"/>
    </row>
    <row r="43" spans="2:45" x14ac:dyDescent="0.25">
      <c r="B43" t="s">
        <v>163</v>
      </c>
      <c r="C43" s="8">
        <f>SUM(C29:C42)</f>
        <v>149427.01</v>
      </c>
      <c r="D43" s="41">
        <f t="shared" si="43"/>
        <v>0.11666066175845151</v>
      </c>
      <c r="E43" s="8">
        <f>SUM(E29:E42)</f>
        <v>302985.14</v>
      </c>
      <c r="F43" s="41">
        <f>E43/E$15</f>
        <v>0.13967243152412215</v>
      </c>
      <c r="G43" s="8">
        <f>SUM(G29:G42)</f>
        <v>444817.26</v>
      </c>
      <c r="H43" s="41">
        <f>G43/G$15</f>
        <v>0.20201547028759537</v>
      </c>
      <c r="I43" s="8">
        <f t="shared" ref="I43" si="54">SUM(I29:I42)</f>
        <v>544405</v>
      </c>
      <c r="J43" s="41">
        <f t="shared" si="44"/>
        <v>0.2345117685574471</v>
      </c>
      <c r="K43" s="230">
        <f t="shared" ref="K43:O43" si="55">SUM(K29:K42)</f>
        <v>154912</v>
      </c>
      <c r="L43" s="230">
        <f t="shared" si="55"/>
        <v>133285</v>
      </c>
      <c r="M43" s="230">
        <f t="shared" si="55"/>
        <v>105919</v>
      </c>
      <c r="N43" s="230">
        <f t="shared" si="55"/>
        <v>105452</v>
      </c>
      <c r="O43" s="8">
        <f t="shared" si="55"/>
        <v>499568</v>
      </c>
      <c r="P43" s="41">
        <f t="shared" si="45"/>
        <v>0.28469971545301553</v>
      </c>
      <c r="Q43" s="113"/>
      <c r="R43" s="8">
        <f t="shared" ref="R43:V43" si="56">SUM(R29:R42)</f>
        <v>98360</v>
      </c>
      <c r="S43" s="8">
        <f t="shared" si="56"/>
        <v>67509</v>
      </c>
      <c r="T43" s="8">
        <f t="shared" si="56"/>
        <v>47434.92</v>
      </c>
      <c r="U43" s="8">
        <f t="shared" si="56"/>
        <v>67049.759999999995</v>
      </c>
      <c r="V43" s="8">
        <f t="shared" si="56"/>
        <v>280353.68</v>
      </c>
      <c r="W43" s="41">
        <f t="shared" si="51"/>
        <v>0.34349786136027533</v>
      </c>
      <c r="Y43" s="113"/>
      <c r="Z43" s="121">
        <f t="shared" ref="Z43:AA43" si="57">SUM(Z29:Z42)</f>
        <v>105918</v>
      </c>
      <c r="AA43" s="121">
        <f t="shared" si="57"/>
        <v>39063</v>
      </c>
      <c r="AB43" s="121">
        <f>AB29+AB36+AB41+AB42</f>
        <v>32497</v>
      </c>
      <c r="AC43" s="121">
        <f t="shared" ref="AC43:AO43" si="58">AC29+AC36+AC41+AC42</f>
        <v>33892</v>
      </c>
      <c r="AD43" s="121">
        <f t="shared" si="58"/>
        <v>39659</v>
      </c>
      <c r="AE43" s="121">
        <f t="shared" si="58"/>
        <v>27678</v>
      </c>
      <c r="AF43" s="121">
        <f t="shared" si="58"/>
        <v>31023</v>
      </c>
      <c r="AG43" s="121">
        <f t="shared" si="58"/>
        <v>27298</v>
      </c>
      <c r="AH43" s="121">
        <f t="shared" si="58"/>
        <v>21096</v>
      </c>
      <c r="AI43" s="121">
        <f t="shared" si="58"/>
        <v>19115</v>
      </c>
      <c r="AJ43" s="121">
        <f t="shared" si="58"/>
        <v>15140</v>
      </c>
      <c r="AK43" s="121">
        <f t="shared" si="58"/>
        <v>9195</v>
      </c>
      <c r="AL43" s="121">
        <f t="shared" si="58"/>
        <v>23099.919999999998</v>
      </c>
      <c r="AM43" s="121">
        <f t="shared" si="58"/>
        <v>22349.919999999998</v>
      </c>
      <c r="AN43" s="121">
        <f t="shared" si="58"/>
        <v>22349.919999999998</v>
      </c>
      <c r="AO43" s="121">
        <f t="shared" si="58"/>
        <v>22349.919999999998</v>
      </c>
      <c r="AP43" s="121">
        <f>SUM(AP29:AP42)</f>
        <v>280353.68</v>
      </c>
      <c r="AQ43" s="143">
        <f t="shared" si="32"/>
        <v>0.34349786136027533</v>
      </c>
      <c r="AS43" s="113"/>
    </row>
    <row r="44" spans="2:45" x14ac:dyDescent="0.25">
      <c r="B44" t="s">
        <v>164</v>
      </c>
      <c r="C44" s="8">
        <f>QB!F80</f>
        <v>120088.93</v>
      </c>
      <c r="D44" s="41">
        <f t="shared" si="43"/>
        <v>9.3755834662450646E-2</v>
      </c>
      <c r="E44" s="8">
        <f>QB!K80</f>
        <v>126166.54000000001</v>
      </c>
      <c r="F44" s="41">
        <f>E44/E$15</f>
        <v>5.8161226714899011E-2</v>
      </c>
      <c r="G44" s="8">
        <f>QB!P80</f>
        <v>153428.37</v>
      </c>
      <c r="H44" s="41">
        <f>G44/G$15</f>
        <v>6.968008462848134E-2</v>
      </c>
      <c r="I44" s="8">
        <v>182458</v>
      </c>
      <c r="J44" s="41">
        <f t="shared" si="44"/>
        <v>7.859690536908126E-2</v>
      </c>
      <c r="K44" s="230">
        <v>47826</v>
      </c>
      <c r="L44" s="230">
        <v>43028</v>
      </c>
      <c r="M44" s="230">
        <v>32671</v>
      </c>
      <c r="N44" s="230">
        <v>13368</v>
      </c>
      <c r="O44" s="8">
        <f>SUM(K44:N44)</f>
        <v>136893</v>
      </c>
      <c r="P44" s="41">
        <f t="shared" si="45"/>
        <v>7.8014200564306871E-2</v>
      </c>
      <c r="Q44" s="113"/>
      <c r="R44" s="8">
        <f>SUM(AD44:AF44)</f>
        <v>15741</v>
      </c>
      <c r="S44" s="8">
        <f t="shared" ref="S44" si="59">SUM(AG44:AI44)</f>
        <v>13643</v>
      </c>
      <c r="T44" s="8">
        <f t="shared" ref="T44" si="60">SUM(AJ44:AL44)</f>
        <v>6297</v>
      </c>
      <c r="U44" s="8">
        <f t="shared" si="49"/>
        <v>6000</v>
      </c>
      <c r="V44" s="8">
        <f>SUM(R44:U44)</f>
        <v>41681</v>
      </c>
      <c r="W44" s="41">
        <f t="shared" si="51"/>
        <v>5.1068829770159023E-2</v>
      </c>
      <c r="Y44" s="113"/>
      <c r="Z44" s="121">
        <v>35371</v>
      </c>
      <c r="AA44" s="121">
        <v>-277</v>
      </c>
      <c r="AB44" s="121">
        <f>SUM(AB45:AB51)</f>
        <v>37351</v>
      </c>
      <c r="AC44" s="121">
        <f>SUM(AC45:AC51)</f>
        <v>11703</v>
      </c>
      <c r="AD44" s="121">
        <f t="shared" ref="AD44:AO44" si="61">SUM(AD45:AD51)</f>
        <v>4931</v>
      </c>
      <c r="AE44" s="121">
        <f t="shared" si="61"/>
        <v>8652</v>
      </c>
      <c r="AF44" s="121">
        <v>2158</v>
      </c>
      <c r="AG44" s="121">
        <f t="shared" si="61"/>
        <v>3074</v>
      </c>
      <c r="AH44" s="121">
        <v>7656</v>
      </c>
      <c r="AI44" s="121">
        <v>2913</v>
      </c>
      <c r="AJ44" s="121">
        <v>2482</v>
      </c>
      <c r="AK44" s="121">
        <v>1815</v>
      </c>
      <c r="AL44" s="121">
        <f t="shared" si="61"/>
        <v>2000</v>
      </c>
      <c r="AM44" s="121">
        <f t="shared" si="61"/>
        <v>2000</v>
      </c>
      <c r="AN44" s="121">
        <f t="shared" si="61"/>
        <v>2000</v>
      </c>
      <c r="AO44" s="121">
        <f t="shared" si="61"/>
        <v>2000</v>
      </c>
      <c r="AP44" s="121">
        <f t="shared" ref="AP44" si="62">SUM(AD44:AO44)</f>
        <v>41681</v>
      </c>
      <c r="AQ44" s="143">
        <f t="shared" si="32"/>
        <v>5.1068829770159023E-2</v>
      </c>
      <c r="AR44" s="143" t="s">
        <v>1772</v>
      </c>
      <c r="AS44" s="113"/>
    </row>
    <row r="45" spans="2:45" s="39" customFormat="1" hidden="1" x14ac:dyDescent="0.25">
      <c r="B45" s="39" t="s">
        <v>544</v>
      </c>
      <c r="C45" s="40"/>
      <c r="D45" s="41"/>
      <c r="E45" s="40"/>
      <c r="F45" s="41"/>
      <c r="G45" s="40"/>
      <c r="H45" s="41"/>
      <c r="I45" s="40"/>
      <c r="J45" s="41"/>
      <c r="K45" s="234"/>
      <c r="L45" s="234"/>
      <c r="M45" s="234"/>
      <c r="N45" s="234"/>
      <c r="O45" s="40"/>
      <c r="P45" s="41"/>
      <c r="Q45" s="160"/>
      <c r="R45" s="40"/>
      <c r="S45" s="40"/>
      <c r="T45" s="40"/>
      <c r="U45" s="40"/>
      <c r="V45" s="40"/>
      <c r="W45" s="41"/>
      <c r="Y45" s="160"/>
      <c r="Z45" s="157"/>
      <c r="AA45" s="157"/>
      <c r="AB45" s="176">
        <v>5091</v>
      </c>
      <c r="AC45" s="176"/>
      <c r="AD45" s="200">
        <v>15</v>
      </c>
      <c r="AE45" s="200">
        <v>3991</v>
      </c>
      <c r="AF45" s="200">
        <v>5</v>
      </c>
      <c r="AG45" s="200">
        <v>75</v>
      </c>
      <c r="AH45" s="200"/>
      <c r="AI45" s="200"/>
      <c r="AJ45" s="200">
        <v>3000</v>
      </c>
      <c r="AK45" s="200"/>
      <c r="AL45" s="200"/>
      <c r="AM45" s="200"/>
      <c r="AN45" s="200"/>
      <c r="AO45" s="200"/>
      <c r="AP45" s="176"/>
      <c r="AQ45" s="175"/>
      <c r="AR45" s="175"/>
      <c r="AS45" s="160"/>
    </row>
    <row r="46" spans="2:45" s="39" customFormat="1" hidden="1" x14ac:dyDescent="0.25">
      <c r="B46" s="39" t="s">
        <v>1795</v>
      </c>
      <c r="C46" s="40"/>
      <c r="D46" s="41"/>
      <c r="E46" s="40"/>
      <c r="F46" s="41"/>
      <c r="G46" s="40"/>
      <c r="H46" s="41"/>
      <c r="I46" s="40"/>
      <c r="J46" s="41"/>
      <c r="K46" s="234"/>
      <c r="L46" s="234"/>
      <c r="M46" s="234"/>
      <c r="N46" s="234"/>
      <c r="O46" s="40"/>
      <c r="P46" s="41"/>
      <c r="Q46" s="160"/>
      <c r="R46" s="40"/>
      <c r="S46" s="40"/>
      <c r="T46" s="40"/>
      <c r="U46" s="40"/>
      <c r="V46" s="40"/>
      <c r="W46" s="41"/>
      <c r="Y46" s="160"/>
      <c r="Z46" s="157"/>
      <c r="AA46" s="157"/>
      <c r="AB46" s="176"/>
      <c r="AC46" s="176"/>
      <c r="AD46" s="200">
        <v>3487</v>
      </c>
      <c r="AE46" s="200">
        <v>209</v>
      </c>
      <c r="AF46" s="200">
        <v>732</v>
      </c>
      <c r="AG46" s="200">
        <v>362</v>
      </c>
      <c r="AH46" s="200"/>
      <c r="AI46" s="200"/>
      <c r="AJ46" s="200"/>
      <c r="AK46" s="200"/>
      <c r="AL46" s="200"/>
      <c r="AM46" s="200"/>
      <c r="AN46" s="200"/>
      <c r="AO46" s="200"/>
      <c r="AP46" s="176"/>
      <c r="AQ46" s="175"/>
      <c r="AR46" s="175"/>
      <c r="AS46" s="160"/>
    </row>
    <row r="47" spans="2:45" s="39" customFormat="1" hidden="1" x14ac:dyDescent="0.25">
      <c r="B47" s="39" t="s">
        <v>1880</v>
      </c>
      <c r="C47" s="40"/>
      <c r="D47" s="41"/>
      <c r="E47" s="40"/>
      <c r="F47" s="41"/>
      <c r="G47" s="40"/>
      <c r="H47" s="41"/>
      <c r="I47" s="40"/>
      <c r="J47" s="41"/>
      <c r="K47" s="234"/>
      <c r="L47" s="234"/>
      <c r="M47" s="234"/>
      <c r="N47" s="234"/>
      <c r="O47" s="40"/>
      <c r="P47" s="41"/>
      <c r="Q47" s="160"/>
      <c r="R47" s="40"/>
      <c r="S47" s="40"/>
      <c r="T47" s="40"/>
      <c r="U47" s="40"/>
      <c r="V47" s="40"/>
      <c r="W47" s="41"/>
      <c r="Y47" s="160"/>
      <c r="Z47" s="157"/>
      <c r="AA47" s="157"/>
      <c r="AB47" s="176"/>
      <c r="AC47" s="176"/>
      <c r="AD47" s="200">
        <v>741</v>
      </c>
      <c r="AE47" s="200"/>
      <c r="AF47" s="200"/>
      <c r="AG47" s="200"/>
      <c r="AH47" s="200">
        <v>300</v>
      </c>
      <c r="AI47" s="200">
        <v>300</v>
      </c>
      <c r="AJ47" s="200">
        <v>300</v>
      </c>
      <c r="AK47" s="200">
        <v>300</v>
      </c>
      <c r="AL47" s="200">
        <v>300</v>
      </c>
      <c r="AM47" s="200">
        <v>300</v>
      </c>
      <c r="AN47" s="200">
        <v>300</v>
      </c>
      <c r="AO47" s="200">
        <v>300</v>
      </c>
      <c r="AP47" s="176"/>
      <c r="AQ47" s="175"/>
      <c r="AR47" s="175"/>
      <c r="AS47" s="160"/>
    </row>
    <row r="48" spans="2:45" s="39" customFormat="1" hidden="1" x14ac:dyDescent="0.25">
      <c r="B48" s="39" t="s">
        <v>545</v>
      </c>
      <c r="C48" s="40"/>
      <c r="D48" s="41"/>
      <c r="E48" s="40"/>
      <c r="F48" s="41"/>
      <c r="G48" s="40"/>
      <c r="H48" s="41"/>
      <c r="I48" s="40"/>
      <c r="J48" s="41"/>
      <c r="K48" s="234"/>
      <c r="L48" s="234"/>
      <c r="M48" s="234"/>
      <c r="N48" s="234"/>
      <c r="O48" s="40"/>
      <c r="P48" s="41"/>
      <c r="Q48" s="160"/>
      <c r="R48" s="40"/>
      <c r="S48" s="40"/>
      <c r="T48" s="40"/>
      <c r="U48" s="40"/>
      <c r="V48" s="40"/>
      <c r="W48" s="41"/>
      <c r="Y48" s="160"/>
      <c r="Z48" s="157"/>
      <c r="AA48" s="157"/>
      <c r="AB48" s="176"/>
      <c r="AC48" s="176"/>
      <c r="AD48" s="200">
        <v>192</v>
      </c>
      <c r="AE48" s="200">
        <v>30</v>
      </c>
      <c r="AF48" s="200">
        <v>106</v>
      </c>
      <c r="AG48" s="200">
        <v>141</v>
      </c>
      <c r="AH48" s="200">
        <v>300</v>
      </c>
      <c r="AI48" s="200">
        <v>300</v>
      </c>
      <c r="AJ48" s="200">
        <v>300</v>
      </c>
      <c r="AK48" s="200">
        <v>300</v>
      </c>
      <c r="AL48" s="200">
        <v>300</v>
      </c>
      <c r="AM48" s="200">
        <v>300</v>
      </c>
      <c r="AN48" s="200">
        <v>300</v>
      </c>
      <c r="AO48" s="200">
        <v>300</v>
      </c>
      <c r="AP48" s="176"/>
      <c r="AQ48" s="175"/>
      <c r="AR48" s="175"/>
      <c r="AS48" s="160"/>
    </row>
    <row r="49" spans="1:45" s="39" customFormat="1" hidden="1" x14ac:dyDescent="0.25">
      <c r="B49" s="39" t="s">
        <v>546</v>
      </c>
      <c r="C49" s="40"/>
      <c r="D49" s="41"/>
      <c r="E49" s="40"/>
      <c r="F49" s="41"/>
      <c r="G49" s="40"/>
      <c r="H49" s="41"/>
      <c r="I49" s="40"/>
      <c r="J49" s="41"/>
      <c r="K49" s="234"/>
      <c r="L49" s="234"/>
      <c r="M49" s="234"/>
      <c r="N49" s="234"/>
      <c r="O49" s="40"/>
      <c r="P49" s="41"/>
      <c r="Q49" s="160"/>
      <c r="R49" s="40"/>
      <c r="S49" s="40"/>
      <c r="T49" s="40"/>
      <c r="U49" s="40"/>
      <c r="V49" s="40"/>
      <c r="W49" s="41"/>
      <c r="Y49" s="160"/>
      <c r="Z49" s="157"/>
      <c r="AA49" s="157"/>
      <c r="AB49" s="176"/>
      <c r="AC49" s="176"/>
      <c r="AD49" s="200"/>
      <c r="AE49" s="200"/>
      <c r="AF49" s="200"/>
      <c r="AG49" s="200"/>
      <c r="AH49" s="200"/>
      <c r="AI49" s="200"/>
      <c r="AJ49" s="200"/>
      <c r="AK49" s="200"/>
      <c r="AL49" s="200"/>
      <c r="AM49" s="200"/>
      <c r="AN49" s="200"/>
      <c r="AO49" s="200"/>
      <c r="AP49" s="176"/>
      <c r="AQ49" s="175"/>
      <c r="AR49" s="175"/>
      <c r="AS49" s="160"/>
    </row>
    <row r="50" spans="1:45" s="39" customFormat="1" ht="17.25" hidden="1" x14ac:dyDescent="0.25">
      <c r="A50" s="202" t="s">
        <v>1767</v>
      </c>
      <c r="B50" s="39" t="s">
        <v>1794</v>
      </c>
      <c r="C50" s="40"/>
      <c r="D50" s="41"/>
      <c r="E50" s="40"/>
      <c r="F50" s="41"/>
      <c r="G50" s="40"/>
      <c r="H50" s="41"/>
      <c r="I50" s="40"/>
      <c r="J50" s="41"/>
      <c r="K50" s="234"/>
      <c r="L50" s="234"/>
      <c r="M50" s="234">
        <v>2700</v>
      </c>
      <c r="N50" s="234">
        <v>35410</v>
      </c>
      <c r="O50" s="8">
        <f>SUM(K50:N50)</f>
        <v>38110</v>
      </c>
      <c r="P50" s="41">
        <f t="shared" ref="P50" si="63">O50/O$15</f>
        <v>2.1718577162497244E-2</v>
      </c>
      <c r="Q50" s="160"/>
      <c r="R50" s="40"/>
      <c r="S50" s="40"/>
      <c r="T50" s="8">
        <f t="shared" ref="T50:T59" si="64">SUM(AJ50:AL50)</f>
        <v>0</v>
      </c>
      <c r="U50" s="8">
        <f t="shared" ref="U50:U69" si="65">SUM(AM50:AO50)</f>
        <v>0</v>
      </c>
      <c r="V50" s="8">
        <f>SUM(R50:U50)</f>
        <v>0</v>
      </c>
      <c r="W50" s="41">
        <f t="shared" ref="W50" si="66">V50/V$15</f>
        <v>0</v>
      </c>
      <c r="Y50" s="160"/>
      <c r="Z50" s="157"/>
      <c r="AA50" s="157"/>
      <c r="AB50" s="176">
        <v>30280</v>
      </c>
      <c r="AC50" s="176">
        <v>5130</v>
      </c>
      <c r="AD50" s="200"/>
      <c r="AE50" s="200"/>
      <c r="AF50" s="200"/>
      <c r="AG50" s="200"/>
      <c r="AH50" s="200"/>
      <c r="AI50" s="200"/>
      <c r="AJ50" s="200"/>
      <c r="AK50" s="200"/>
      <c r="AL50" s="200"/>
      <c r="AM50" s="200"/>
      <c r="AN50" s="200"/>
      <c r="AO50" s="200"/>
      <c r="AP50" s="176"/>
      <c r="AQ50" s="175"/>
      <c r="AR50" s="175"/>
      <c r="AS50" s="160"/>
    </row>
    <row r="51" spans="1:45" s="39" customFormat="1" hidden="1" x14ac:dyDescent="0.25">
      <c r="B51" s="39" t="s">
        <v>547</v>
      </c>
      <c r="C51" s="40"/>
      <c r="D51" s="41"/>
      <c r="E51" s="40"/>
      <c r="F51" s="41"/>
      <c r="G51" s="40"/>
      <c r="H51" s="41"/>
      <c r="I51" s="40"/>
      <c r="J51" s="41"/>
      <c r="K51" s="234"/>
      <c r="L51" s="234"/>
      <c r="M51" s="234"/>
      <c r="N51" s="234"/>
      <c r="O51" s="40"/>
      <c r="P51" s="41"/>
      <c r="Q51" s="160"/>
      <c r="R51" s="40"/>
      <c r="S51" s="40"/>
      <c r="T51" s="40"/>
      <c r="U51" s="40"/>
      <c r="V51" s="40"/>
      <c r="W51" s="41"/>
      <c r="Y51" s="160"/>
      <c r="Z51" s="157"/>
      <c r="AA51" s="157"/>
      <c r="AB51" s="176">
        <v>1980</v>
      </c>
      <c r="AC51" s="176">
        <v>6573</v>
      </c>
      <c r="AD51" s="200">
        <v>496</v>
      </c>
      <c r="AE51" s="200">
        <v>4422</v>
      </c>
      <c r="AF51" s="200">
        <v>1314</v>
      </c>
      <c r="AG51" s="200">
        <v>2496</v>
      </c>
      <c r="AH51" s="200">
        <v>1400</v>
      </c>
      <c r="AI51" s="200">
        <v>1400</v>
      </c>
      <c r="AJ51" s="200">
        <v>1400</v>
      </c>
      <c r="AK51" s="200">
        <v>1400</v>
      </c>
      <c r="AL51" s="200">
        <v>1400</v>
      </c>
      <c r="AM51" s="200">
        <v>1400</v>
      </c>
      <c r="AN51" s="200">
        <v>1400</v>
      </c>
      <c r="AO51" s="200">
        <v>1400</v>
      </c>
      <c r="AP51" s="176"/>
      <c r="AQ51" s="175"/>
      <c r="AR51" s="143"/>
      <c r="AS51" s="160"/>
    </row>
    <row r="52" spans="1:45" x14ac:dyDescent="0.25">
      <c r="B52" t="s">
        <v>165</v>
      </c>
      <c r="C52" s="8">
        <f>QB!F85</f>
        <v>38000.699999999997</v>
      </c>
      <c r="D52" s="41">
        <f t="shared" ref="D52:D57" si="67">C52/C$15</f>
        <v>2.9667908159872754E-2</v>
      </c>
      <c r="E52" s="8">
        <f>QB!K85</f>
        <v>32084.48</v>
      </c>
      <c r="F52" s="41">
        <f t="shared" ref="F52:F57" si="68">E52/E$15</f>
        <v>1.4790551562321064E-2</v>
      </c>
      <c r="G52" s="8">
        <f>QB!P85</f>
        <v>84207.42</v>
      </c>
      <c r="H52" s="41">
        <f t="shared" ref="H52:H57" si="69">G52/G$15</f>
        <v>3.8243123823488913E-2</v>
      </c>
      <c r="I52" s="8">
        <v>109406</v>
      </c>
      <c r="J52" s="41">
        <f t="shared" si="44"/>
        <v>4.7128506444275964E-2</v>
      </c>
      <c r="K52" s="230">
        <v>37316</v>
      </c>
      <c r="L52" s="230">
        <v>28264</v>
      </c>
      <c r="M52" s="230">
        <v>28321</v>
      </c>
      <c r="N52" s="230">
        <v>28907</v>
      </c>
      <c r="O52" s="8">
        <f>SUM(K52:N52)</f>
        <v>122808</v>
      </c>
      <c r="P52" s="41">
        <f t="shared" si="45"/>
        <v>6.9987274315716649E-2</v>
      </c>
      <c r="Q52" s="113"/>
      <c r="R52" s="8">
        <f>SUM(AD52:AF52)</f>
        <v>9705</v>
      </c>
      <c r="S52" s="8">
        <f t="shared" ref="S52:S69" si="70">SUM(AG52:AI52)</f>
        <v>13399</v>
      </c>
      <c r="T52" s="8">
        <f t="shared" si="64"/>
        <v>5086</v>
      </c>
      <c r="U52" s="8">
        <f t="shared" si="65"/>
        <v>4660</v>
      </c>
      <c r="V52" s="8">
        <f>SUM(R52:U52)</f>
        <v>32850</v>
      </c>
      <c r="W52" s="41">
        <f t="shared" ref="W52:W57" si="71">V52/V$15</f>
        <v>4.0248819796783283E-2</v>
      </c>
      <c r="Y52" s="113"/>
      <c r="Z52" s="121">
        <v>29360</v>
      </c>
      <c r="AA52" s="121">
        <v>9440</v>
      </c>
      <c r="AB52" s="121">
        <v>9372</v>
      </c>
      <c r="AC52" s="121">
        <v>10026</v>
      </c>
      <c r="AD52" s="121">
        <f>9560-4500</f>
        <v>5060</v>
      </c>
      <c r="AE52" s="121">
        <v>9559</v>
      </c>
      <c r="AF52" s="121">
        <v>-4914</v>
      </c>
      <c r="AG52" s="121">
        <v>4653</v>
      </c>
      <c r="AH52" s="121">
        <v>6034</v>
      </c>
      <c r="AI52" s="121">
        <v>2712</v>
      </c>
      <c r="AJ52" s="121">
        <v>2548</v>
      </c>
      <c r="AK52" s="121">
        <v>2538</v>
      </c>
      <c r="AL52" s="121">
        <v>0</v>
      </c>
      <c r="AM52" s="121">
        <v>0</v>
      </c>
      <c r="AN52" s="121">
        <v>2330</v>
      </c>
      <c r="AO52" s="121">
        <f t="shared" ref="AM52:AO53" si="72">AN52</f>
        <v>2330</v>
      </c>
      <c r="AP52" s="121">
        <f t="shared" ref="AP52:AP69" si="73">SUM(AD52:AO52)</f>
        <v>32850</v>
      </c>
      <c r="AQ52" s="143">
        <f t="shared" si="32"/>
        <v>4.0248819796783283E-2</v>
      </c>
      <c r="AR52" s="143" t="s">
        <v>1889</v>
      </c>
      <c r="AS52" s="113"/>
    </row>
    <row r="53" spans="1:45" x14ac:dyDescent="0.25">
      <c r="B53" t="s">
        <v>1436</v>
      </c>
      <c r="C53" s="8">
        <v>20867</v>
      </c>
      <c r="D53" s="41">
        <f t="shared" si="67"/>
        <v>1.6291285149275272E-2</v>
      </c>
      <c r="E53" s="8">
        <f>QB!K89</f>
        <v>28881.79</v>
      </c>
      <c r="F53" s="41">
        <f t="shared" si="68"/>
        <v>1.331415077343092E-2</v>
      </c>
      <c r="G53" s="8">
        <f>QB!P89</f>
        <v>62978.55</v>
      </c>
      <c r="H53" s="41">
        <f t="shared" si="69"/>
        <v>2.8601950824212258E-2</v>
      </c>
      <c r="I53" s="8">
        <v>65098</v>
      </c>
      <c r="J53" s="41">
        <f t="shared" si="44"/>
        <v>2.8042077331311598E-2</v>
      </c>
      <c r="K53" s="230">
        <v>11546</v>
      </c>
      <c r="L53" s="230">
        <v>6569</v>
      </c>
      <c r="M53" s="230">
        <v>1645</v>
      </c>
      <c r="N53" s="230">
        <v>3394</v>
      </c>
      <c r="O53" s="8">
        <f t="shared" ref="O53:O69" si="74">SUM(K53:N53)</f>
        <v>23154</v>
      </c>
      <c r="P53" s="41">
        <f t="shared" si="45"/>
        <v>1.3195275140919999E-2</v>
      </c>
      <c r="Q53" s="113"/>
      <c r="R53" s="8">
        <f t="shared" ref="R53:R69" si="75">SUM(AD53:AF53)</f>
        <v>3695</v>
      </c>
      <c r="S53" s="8">
        <f t="shared" si="70"/>
        <v>3293</v>
      </c>
      <c r="T53" s="8">
        <f t="shared" si="64"/>
        <v>3163</v>
      </c>
      <c r="U53" s="8">
        <f t="shared" si="65"/>
        <v>3600</v>
      </c>
      <c r="V53" s="8">
        <f t="shared" ref="V53:V69" si="76">SUM(R53:U53)</f>
        <v>13751</v>
      </c>
      <c r="W53" s="41">
        <f t="shared" si="71"/>
        <v>1.684814371462913E-2</v>
      </c>
      <c r="Y53" s="113"/>
      <c r="Z53" s="121">
        <v>1644</v>
      </c>
      <c r="AA53" s="121">
        <v>1798</v>
      </c>
      <c r="AB53" s="121">
        <v>1032</v>
      </c>
      <c r="AC53" s="121">
        <v>564</v>
      </c>
      <c r="AD53" s="121">
        <v>251</v>
      </c>
      <c r="AE53" s="121">
        <v>1029</v>
      </c>
      <c r="AF53" s="121">
        <v>2415</v>
      </c>
      <c r="AG53" s="121">
        <v>1007</v>
      </c>
      <c r="AH53" s="121">
        <v>1318</v>
      </c>
      <c r="AI53" s="121">
        <v>968</v>
      </c>
      <c r="AJ53" s="121">
        <v>1746</v>
      </c>
      <c r="AK53" s="121">
        <v>217</v>
      </c>
      <c r="AL53" s="121">
        <v>1200</v>
      </c>
      <c r="AM53" s="121">
        <f t="shared" si="72"/>
        <v>1200</v>
      </c>
      <c r="AN53" s="121">
        <f t="shared" si="72"/>
        <v>1200</v>
      </c>
      <c r="AO53" s="121">
        <f t="shared" si="72"/>
        <v>1200</v>
      </c>
      <c r="AP53" s="121">
        <f t="shared" si="73"/>
        <v>13751</v>
      </c>
      <c r="AQ53" s="143">
        <f t="shared" si="32"/>
        <v>1.684814371462913E-2</v>
      </c>
      <c r="AR53" s="143" t="s">
        <v>541</v>
      </c>
      <c r="AS53" s="113"/>
    </row>
    <row r="54" spans="1:45" x14ac:dyDescent="0.25">
      <c r="B54" t="s">
        <v>167</v>
      </c>
      <c r="C54" s="8">
        <v>10236</v>
      </c>
      <c r="D54" s="41">
        <f t="shared" si="67"/>
        <v>7.9914503660316136E-3</v>
      </c>
      <c r="E54" s="8">
        <f>QB!K113</f>
        <v>6913.83</v>
      </c>
      <c r="F54" s="41">
        <f t="shared" si="68"/>
        <v>3.1871907884473191E-3</v>
      </c>
      <c r="G54" s="8">
        <f>QB!P113</f>
        <v>9268.26</v>
      </c>
      <c r="H54" s="41">
        <f t="shared" si="69"/>
        <v>4.209215943301545E-3</v>
      </c>
      <c r="I54" s="8">
        <v>23884</v>
      </c>
      <c r="J54" s="41">
        <f t="shared" si="44"/>
        <v>1.0288441656902613E-2</v>
      </c>
      <c r="K54" s="230">
        <v>10230</v>
      </c>
      <c r="L54" s="230">
        <v>17117</v>
      </c>
      <c r="M54" s="230">
        <v>9398</v>
      </c>
      <c r="N54" s="230">
        <v>2277</v>
      </c>
      <c r="O54" s="8">
        <f t="shared" si="74"/>
        <v>39022</v>
      </c>
      <c r="P54" s="41">
        <f t="shared" si="45"/>
        <v>2.2238318499999146E-2</v>
      </c>
      <c r="Q54" s="113"/>
      <c r="R54" s="8">
        <f t="shared" si="75"/>
        <v>18</v>
      </c>
      <c r="S54" s="8">
        <f t="shared" si="70"/>
        <v>95</v>
      </c>
      <c r="T54" s="8">
        <f t="shared" si="64"/>
        <v>591</v>
      </c>
      <c r="U54" s="8">
        <f t="shared" si="65"/>
        <v>1500</v>
      </c>
      <c r="V54" s="8">
        <f t="shared" si="76"/>
        <v>2204</v>
      </c>
      <c r="W54" s="41">
        <f t="shared" si="71"/>
        <v>2.7004078792118827E-3</v>
      </c>
      <c r="Y54" s="113"/>
      <c r="Z54" s="121">
        <v>9398</v>
      </c>
      <c r="AA54" s="121">
        <v>1514</v>
      </c>
      <c r="AB54" s="121">
        <v>571</v>
      </c>
      <c r="AC54" s="121">
        <v>192</v>
      </c>
      <c r="AD54" s="121"/>
      <c r="AE54" s="121"/>
      <c r="AF54" s="121">
        <v>18</v>
      </c>
      <c r="AG54" s="121"/>
      <c r="AH54" s="121"/>
      <c r="AI54" s="121">
        <v>95</v>
      </c>
      <c r="AJ54" s="121">
        <v>13</v>
      </c>
      <c r="AK54" s="121">
        <v>78</v>
      </c>
      <c r="AL54" s="121">
        <v>500</v>
      </c>
      <c r="AM54" s="121">
        <v>500</v>
      </c>
      <c r="AN54" s="121">
        <v>500</v>
      </c>
      <c r="AO54" s="121">
        <v>500</v>
      </c>
      <c r="AP54" s="121">
        <f t="shared" si="73"/>
        <v>2204</v>
      </c>
      <c r="AQ54" s="143">
        <f t="shared" si="32"/>
        <v>2.7004078792118827E-3</v>
      </c>
      <c r="AR54" s="143" t="s">
        <v>1772</v>
      </c>
      <c r="AS54" s="113"/>
    </row>
    <row r="55" spans="1:45" x14ac:dyDescent="0.25">
      <c r="B55" t="s">
        <v>168</v>
      </c>
      <c r="C55" s="8">
        <f>QB!F100</f>
        <v>9066.619999999999</v>
      </c>
      <c r="D55" s="41">
        <f t="shared" si="67"/>
        <v>7.0784919614761176E-3</v>
      </c>
      <c r="E55" s="8">
        <f>QB!K100</f>
        <v>9832.89</v>
      </c>
      <c r="F55" s="41">
        <f t="shared" si="68"/>
        <v>4.5328416278409738E-3</v>
      </c>
      <c r="G55" s="8">
        <f>QB!P100</f>
        <v>13230.97</v>
      </c>
      <c r="H55" s="41">
        <f t="shared" si="69"/>
        <v>6.0088959383254714E-3</v>
      </c>
      <c r="I55" s="8">
        <v>20486</v>
      </c>
      <c r="J55" s="41">
        <f t="shared" si="44"/>
        <v>8.8246950168860711E-3</v>
      </c>
      <c r="K55" s="230">
        <v>12949</v>
      </c>
      <c r="L55" s="230">
        <v>10819</v>
      </c>
      <c r="M55" s="230">
        <v>17922</v>
      </c>
      <c r="N55" s="230">
        <v>10655</v>
      </c>
      <c r="O55" s="8">
        <f t="shared" si="74"/>
        <v>52345</v>
      </c>
      <c r="P55" s="41">
        <f t="shared" si="45"/>
        <v>2.9830987183702917E-2</v>
      </c>
      <c r="Q55" s="113"/>
      <c r="R55" s="8">
        <f t="shared" si="75"/>
        <v>7703</v>
      </c>
      <c r="S55" s="8">
        <f t="shared" si="70"/>
        <v>5633</v>
      </c>
      <c r="T55" s="8">
        <f t="shared" si="64"/>
        <v>8758</v>
      </c>
      <c r="U55" s="8">
        <f t="shared" si="65"/>
        <v>6600</v>
      </c>
      <c r="V55" s="8">
        <f t="shared" si="76"/>
        <v>28694</v>
      </c>
      <c r="W55" s="41">
        <f t="shared" si="71"/>
        <v>3.5156762108033465E-2</v>
      </c>
      <c r="Y55" s="113"/>
      <c r="Z55" s="121">
        <v>17922</v>
      </c>
      <c r="AA55" s="121">
        <v>3465</v>
      </c>
      <c r="AB55" s="121">
        <v>5065</v>
      </c>
      <c r="AC55" s="121">
        <v>2125</v>
      </c>
      <c r="AD55" s="121">
        <v>2088</v>
      </c>
      <c r="AE55" s="121">
        <v>1427</v>
      </c>
      <c r="AF55" s="121">
        <v>4188</v>
      </c>
      <c r="AG55" s="121">
        <v>649</v>
      </c>
      <c r="AH55" s="121">
        <v>2517</v>
      </c>
      <c r="AI55" s="121">
        <v>2467</v>
      </c>
      <c r="AJ55" s="121">
        <v>3594</v>
      </c>
      <c r="AK55" s="121">
        <v>2964</v>
      </c>
      <c r="AL55" s="121">
        <v>2200</v>
      </c>
      <c r="AM55" s="121">
        <f t="shared" ref="AM55:AO55" si="77">AL55</f>
        <v>2200</v>
      </c>
      <c r="AN55" s="121">
        <f t="shared" si="77"/>
        <v>2200</v>
      </c>
      <c r="AO55" s="121">
        <f t="shared" si="77"/>
        <v>2200</v>
      </c>
      <c r="AP55" s="121">
        <f t="shared" si="73"/>
        <v>28694</v>
      </c>
      <c r="AQ55" s="143">
        <f t="shared" si="32"/>
        <v>3.5156762108033465E-2</v>
      </c>
      <c r="AR55" s="143" t="s">
        <v>2124</v>
      </c>
      <c r="AS55" s="113"/>
    </row>
    <row r="56" spans="1:45" x14ac:dyDescent="0.25">
      <c r="B56" t="s">
        <v>169</v>
      </c>
      <c r="C56" s="8">
        <f>QB!F101+QB!F102+QB!F103</f>
        <v>7786.98</v>
      </c>
      <c r="D56" s="41">
        <f t="shared" si="67"/>
        <v>6.0794513649160657E-3</v>
      </c>
      <c r="E56" s="8">
        <f>QB!K101+QB!K102+QB!K103</f>
        <v>9618.1999999999989</v>
      </c>
      <c r="F56" s="41">
        <f t="shared" si="68"/>
        <v>4.433872172362352E-3</v>
      </c>
      <c r="G56" s="8">
        <f>QB!P101+QB!P102+QB!P103</f>
        <v>19428.150000000001</v>
      </c>
      <c r="H56" s="41">
        <f t="shared" si="69"/>
        <v>8.8233690820988964E-3</v>
      </c>
      <c r="I56" s="8">
        <v>16312</v>
      </c>
      <c r="J56" s="41">
        <f t="shared" si="44"/>
        <v>7.0266730994555104E-3</v>
      </c>
      <c r="K56" s="230">
        <v>8122</v>
      </c>
      <c r="L56" s="230">
        <v>4876</v>
      </c>
      <c r="M56" s="230">
        <v>3609</v>
      </c>
      <c r="N56" s="230">
        <v>2133</v>
      </c>
      <c r="O56" s="8">
        <f t="shared" si="74"/>
        <v>18740</v>
      </c>
      <c r="P56" s="41">
        <f t="shared" si="45"/>
        <v>1.0679772658756189E-2</v>
      </c>
      <c r="Q56" s="113"/>
      <c r="R56" s="8">
        <f t="shared" si="75"/>
        <v>6382</v>
      </c>
      <c r="S56" s="8">
        <f t="shared" si="70"/>
        <v>825</v>
      </c>
      <c r="T56" s="8">
        <f t="shared" si="64"/>
        <v>1430</v>
      </c>
      <c r="U56" s="8">
        <f t="shared" si="65"/>
        <v>2508</v>
      </c>
      <c r="V56" s="8">
        <f t="shared" si="76"/>
        <v>11145</v>
      </c>
      <c r="W56" s="41">
        <f t="shared" si="71"/>
        <v>1.3655193200461177E-2</v>
      </c>
      <c r="Y56" s="113"/>
      <c r="Z56" s="121">
        <v>3610</v>
      </c>
      <c r="AA56" s="121">
        <v>1394</v>
      </c>
      <c r="AB56" s="121">
        <v>364</v>
      </c>
      <c r="AC56" s="121">
        <v>375</v>
      </c>
      <c r="AD56" s="121">
        <v>3015</v>
      </c>
      <c r="AE56" s="121">
        <f>201+94+1809</f>
        <v>2104</v>
      </c>
      <c r="AF56" s="121">
        <v>1263</v>
      </c>
      <c r="AG56" s="121">
        <v>1316</v>
      </c>
      <c r="AH56" s="121">
        <v>1236</v>
      </c>
      <c r="AI56" s="121">
        <v>-1727</v>
      </c>
      <c r="AJ56" s="121">
        <v>297</v>
      </c>
      <c r="AK56" s="121">
        <v>297</v>
      </c>
      <c r="AL56" s="121">
        <v>836</v>
      </c>
      <c r="AM56" s="121">
        <v>836</v>
      </c>
      <c r="AN56" s="121">
        <v>836</v>
      </c>
      <c r="AO56" s="121">
        <v>836</v>
      </c>
      <c r="AP56" s="121">
        <f t="shared" si="73"/>
        <v>11145</v>
      </c>
      <c r="AQ56" s="143">
        <f t="shared" si="32"/>
        <v>1.3655193200461177E-2</v>
      </c>
      <c r="AR56" s="143" t="s">
        <v>1892</v>
      </c>
      <c r="AS56" s="113"/>
    </row>
    <row r="57" spans="1:45" x14ac:dyDescent="0.25">
      <c r="B57" t="s">
        <v>170</v>
      </c>
      <c r="C57" s="8">
        <f>QB!F90</f>
        <v>3827.54</v>
      </c>
      <c r="D57" s="41">
        <f t="shared" si="67"/>
        <v>2.9882371955842753E-3</v>
      </c>
      <c r="E57" s="8">
        <f>QB!K90</f>
        <v>4766.1099999999997</v>
      </c>
      <c r="F57" s="41">
        <f t="shared" si="68"/>
        <v>2.1971182237235584E-3</v>
      </c>
      <c r="G57" s="8">
        <f>QB!P90</f>
        <v>12331.72</v>
      </c>
      <c r="H57" s="41">
        <f t="shared" si="69"/>
        <v>5.6004980905078753E-3</v>
      </c>
      <c r="I57" s="8">
        <v>13550</v>
      </c>
      <c r="J57" s="41">
        <f t="shared" si="44"/>
        <v>5.8368943414432422E-3</v>
      </c>
      <c r="K57" s="230">
        <v>6236</v>
      </c>
      <c r="L57" s="230">
        <v>5636</v>
      </c>
      <c r="M57" s="230">
        <v>5354</v>
      </c>
      <c r="N57" s="230">
        <v>5161</v>
      </c>
      <c r="O57" s="8">
        <f t="shared" si="74"/>
        <v>22387</v>
      </c>
      <c r="P57" s="41">
        <f t="shared" si="45"/>
        <v>1.2758168116946361E-2</v>
      </c>
      <c r="Q57" s="113"/>
      <c r="R57" s="8"/>
      <c r="S57" s="8"/>
      <c r="T57" s="8"/>
      <c r="U57" s="8"/>
      <c r="V57" s="8"/>
      <c r="W57" s="41">
        <f t="shared" si="71"/>
        <v>0</v>
      </c>
      <c r="Y57" s="113"/>
      <c r="Z57" s="121"/>
      <c r="AA57" s="121">
        <v>3400</v>
      </c>
      <c r="AB57" s="121"/>
      <c r="AC57" s="121"/>
      <c r="AD57" s="121"/>
      <c r="AE57" s="121"/>
      <c r="AF57" s="121"/>
      <c r="AG57" s="121"/>
      <c r="AH57" s="121"/>
      <c r="AI57" s="121"/>
      <c r="AJ57" s="121"/>
      <c r="AK57" s="121"/>
      <c r="AL57" s="121"/>
      <c r="AM57" s="121"/>
      <c r="AN57" s="121"/>
      <c r="AO57" s="121"/>
      <c r="AP57" s="121"/>
      <c r="AS57" s="113"/>
    </row>
    <row r="58" spans="1:45" x14ac:dyDescent="0.25">
      <c r="B58" t="s">
        <v>1437</v>
      </c>
      <c r="C58" s="8"/>
      <c r="E58" s="8"/>
      <c r="G58" s="8"/>
      <c r="I58" s="8"/>
      <c r="K58" s="230"/>
      <c r="L58" s="230"/>
      <c r="M58" s="230"/>
      <c r="N58" s="230"/>
      <c r="O58" s="8">
        <f t="shared" si="74"/>
        <v>0</v>
      </c>
      <c r="Q58" s="113"/>
      <c r="R58" s="8">
        <f t="shared" si="75"/>
        <v>2356</v>
      </c>
      <c r="S58" s="8">
        <f t="shared" si="70"/>
        <v>2611</v>
      </c>
      <c r="T58" s="8">
        <f t="shared" si="64"/>
        <v>1056</v>
      </c>
      <c r="U58" s="8">
        <f t="shared" si="65"/>
        <v>714</v>
      </c>
      <c r="V58" s="8">
        <f t="shared" si="76"/>
        <v>6737</v>
      </c>
      <c r="Y58" s="113"/>
      <c r="Z58" s="121">
        <v>2189</v>
      </c>
      <c r="AA58" s="121"/>
      <c r="AB58" s="121"/>
      <c r="AC58" s="121">
        <v>650</v>
      </c>
      <c r="AD58" s="121">
        <v>792</v>
      </c>
      <c r="AE58" s="121">
        <v>782</v>
      </c>
      <c r="AF58" s="121">
        <v>782</v>
      </c>
      <c r="AG58" s="121">
        <v>610</v>
      </c>
      <c r="AH58" s="121">
        <v>610</v>
      </c>
      <c r="AI58" s="121">
        <v>1391</v>
      </c>
      <c r="AJ58" s="121">
        <v>580</v>
      </c>
      <c r="AK58" s="121">
        <v>238</v>
      </c>
      <c r="AL58" s="121">
        <v>238</v>
      </c>
      <c r="AM58" s="121">
        <v>238</v>
      </c>
      <c r="AN58" s="121">
        <v>238</v>
      </c>
      <c r="AO58" s="121">
        <v>238</v>
      </c>
      <c r="AP58" s="121">
        <f t="shared" si="73"/>
        <v>6737</v>
      </c>
      <c r="AQ58" s="143">
        <f t="shared" si="32"/>
        <v>8.2543774420374104E-3</v>
      </c>
      <c r="AR58" s="143" t="s">
        <v>1859</v>
      </c>
      <c r="AS58" s="113"/>
    </row>
    <row r="59" spans="1:45" x14ac:dyDescent="0.25">
      <c r="B59" t="s">
        <v>1438</v>
      </c>
      <c r="C59" s="8"/>
      <c r="E59" s="8"/>
      <c r="G59" s="8"/>
      <c r="I59" s="8"/>
      <c r="K59" s="230"/>
      <c r="L59" s="230"/>
      <c r="M59" s="230"/>
      <c r="N59" s="230"/>
      <c r="O59" s="8">
        <f t="shared" si="74"/>
        <v>0</v>
      </c>
      <c r="Q59" s="113"/>
      <c r="R59" s="8">
        <f t="shared" si="75"/>
        <v>3231</v>
      </c>
      <c r="S59" s="8">
        <f t="shared" si="70"/>
        <v>1347</v>
      </c>
      <c r="T59" s="8">
        <f t="shared" si="64"/>
        <v>0</v>
      </c>
      <c r="U59" s="8">
        <f t="shared" si="65"/>
        <v>0</v>
      </c>
      <c r="V59" s="8">
        <f t="shared" si="76"/>
        <v>4578</v>
      </c>
      <c r="Y59" s="113"/>
      <c r="Z59" s="121">
        <v>3165</v>
      </c>
      <c r="AA59" s="121"/>
      <c r="AB59" s="121">
        <v>252</v>
      </c>
      <c r="AC59" s="121">
        <v>858</v>
      </c>
      <c r="AD59" s="121">
        <v>1298</v>
      </c>
      <c r="AE59" s="121">
        <v>0</v>
      </c>
      <c r="AF59" s="121">
        <v>1933</v>
      </c>
      <c r="AG59" s="121">
        <v>683</v>
      </c>
      <c r="AH59" s="121"/>
      <c r="AI59" s="121">
        <v>664</v>
      </c>
      <c r="AJ59" s="121"/>
      <c r="AK59" s="121"/>
      <c r="AL59" s="121"/>
      <c r="AM59" s="121"/>
      <c r="AN59" s="121"/>
      <c r="AO59" s="121"/>
      <c r="AP59" s="121">
        <f t="shared" si="73"/>
        <v>4578</v>
      </c>
      <c r="AQ59" s="143">
        <f t="shared" si="32"/>
        <v>5.6091049324101631E-3</v>
      </c>
      <c r="AR59" s="143" t="s">
        <v>530</v>
      </c>
      <c r="AS59" s="113"/>
    </row>
    <row r="60" spans="1:45" x14ac:dyDescent="0.25">
      <c r="B60" t="s">
        <v>171</v>
      </c>
      <c r="C60" s="8">
        <f>QB!F106</f>
        <v>8793.32</v>
      </c>
      <c r="D60" s="41">
        <f t="shared" ref="D60:J67" si="78">C60/C$15</f>
        <v>6.865121173567126E-3</v>
      </c>
      <c r="E60" s="8">
        <f>QB!K106</f>
        <v>14641.91</v>
      </c>
      <c r="F60" s="41">
        <f>E60/E$15</f>
        <v>6.7497408350038523E-3</v>
      </c>
      <c r="G60" s="8">
        <f>QB!P106</f>
        <v>25989.679999999997</v>
      </c>
      <c r="H60" s="41">
        <f>G60/G$15</f>
        <v>1.1803313180392573E-2</v>
      </c>
      <c r="I60" s="8">
        <v>19267</v>
      </c>
      <c r="J60" s="41">
        <f t="shared" si="44"/>
        <v>8.2995899097112139E-3</v>
      </c>
      <c r="K60" s="230">
        <v>12052</v>
      </c>
      <c r="L60" s="230">
        <v>9564</v>
      </c>
      <c r="M60" s="230">
        <v>9537</v>
      </c>
      <c r="N60" s="230">
        <v>12881</v>
      </c>
      <c r="O60" s="8">
        <f t="shared" si="74"/>
        <v>44034</v>
      </c>
      <c r="P60" s="41">
        <f t="shared" si="45"/>
        <v>2.509461628898986E-2</v>
      </c>
      <c r="Q60" s="113"/>
      <c r="R60" s="8">
        <f t="shared" si="75"/>
        <v>7487</v>
      </c>
      <c r="S60" s="8">
        <f t="shared" si="70"/>
        <v>17322</v>
      </c>
      <c r="T60" s="8">
        <f t="shared" ref="T60:T69" si="79">SUM(AJ60:AL60)</f>
        <v>12441</v>
      </c>
      <c r="U60" s="8">
        <f t="shared" si="65"/>
        <v>12402</v>
      </c>
      <c r="V60" s="8">
        <f t="shared" si="76"/>
        <v>49652</v>
      </c>
      <c r="W60" s="41">
        <f t="shared" ref="W60:W63" si="80">V60/V$15</f>
        <v>6.0835141569250635E-2</v>
      </c>
      <c r="Y60" s="113"/>
      <c r="Z60" s="121">
        <v>9537</v>
      </c>
      <c r="AA60" s="121">
        <v>2194</v>
      </c>
      <c r="AB60" s="121">
        <v>1594</v>
      </c>
      <c r="AC60" s="121">
        <v>9094</v>
      </c>
      <c r="AD60" s="121">
        <v>5893</v>
      </c>
      <c r="AE60" s="121">
        <v>0</v>
      </c>
      <c r="AF60" s="121">
        <v>1594</v>
      </c>
      <c r="AG60" s="121">
        <v>9094</v>
      </c>
      <c r="AH60" s="121">
        <v>4094</v>
      </c>
      <c r="AI60" s="121">
        <v>4134</v>
      </c>
      <c r="AJ60" s="121">
        <f t="shared" ref="AJ60:AO60" si="81">AI60</f>
        <v>4134</v>
      </c>
      <c r="AK60" s="121">
        <v>4173</v>
      </c>
      <c r="AL60" s="121">
        <v>4134</v>
      </c>
      <c r="AM60" s="121">
        <f t="shared" si="81"/>
        <v>4134</v>
      </c>
      <c r="AN60" s="121">
        <f t="shared" si="81"/>
        <v>4134</v>
      </c>
      <c r="AO60" s="121">
        <f t="shared" si="81"/>
        <v>4134</v>
      </c>
      <c r="AP60" s="121">
        <f t="shared" si="73"/>
        <v>49652</v>
      </c>
      <c r="AQ60" s="143">
        <f t="shared" si="32"/>
        <v>6.0835141569250635E-2</v>
      </c>
      <c r="AR60" s="143" t="s">
        <v>1893</v>
      </c>
      <c r="AS60" s="113"/>
    </row>
    <row r="61" spans="1:45" x14ac:dyDescent="0.25">
      <c r="B61" t="s">
        <v>172</v>
      </c>
      <c r="C61" s="8">
        <f>QB!F115</f>
        <v>5276.76</v>
      </c>
      <c r="D61" s="41">
        <f t="shared" si="78"/>
        <v>4.1196722971337417E-3</v>
      </c>
      <c r="E61" s="8">
        <f>QB!K115</f>
        <v>3200.5699999999997</v>
      </c>
      <c r="F61" s="41">
        <f>E61/E$15</f>
        <v>1.4754234949052602E-3</v>
      </c>
      <c r="G61" s="8">
        <f>QB!P115</f>
        <v>8234.48</v>
      </c>
      <c r="H61" s="41">
        <f>G61/G$15</f>
        <v>3.7397207783119702E-3</v>
      </c>
      <c r="I61" s="8">
        <v>11020</v>
      </c>
      <c r="J61" s="41">
        <f t="shared" si="44"/>
        <v>4.7470535529671237E-3</v>
      </c>
      <c r="K61" s="230">
        <v>1010</v>
      </c>
      <c r="L61" s="230">
        <v>2214</v>
      </c>
      <c r="M61" s="230">
        <v>1118</v>
      </c>
      <c r="N61" s="230">
        <v>738</v>
      </c>
      <c r="O61" s="8">
        <f t="shared" si="74"/>
        <v>5080</v>
      </c>
      <c r="P61" s="41">
        <f t="shared" si="45"/>
        <v>2.8950504325763841E-3</v>
      </c>
      <c r="Q61" s="113"/>
      <c r="R61" s="8">
        <f t="shared" si="75"/>
        <v>361</v>
      </c>
      <c r="S61" s="8">
        <f t="shared" si="70"/>
        <v>777</v>
      </c>
      <c r="T61" s="8">
        <f t="shared" si="79"/>
        <v>200</v>
      </c>
      <c r="U61" s="8">
        <f t="shared" si="65"/>
        <v>600</v>
      </c>
      <c r="V61" s="8">
        <f t="shared" si="76"/>
        <v>1938</v>
      </c>
      <c r="W61" s="41">
        <f t="shared" si="80"/>
        <v>2.3744965834449315E-3</v>
      </c>
      <c r="Y61" s="113"/>
      <c r="Z61" s="121">
        <v>1118</v>
      </c>
      <c r="AA61" s="121">
        <v>534</v>
      </c>
      <c r="AB61" s="121"/>
      <c r="AC61" s="121">
        <v>204</v>
      </c>
      <c r="AD61" s="121">
        <v>0</v>
      </c>
      <c r="AE61" s="121">
        <v>0</v>
      </c>
      <c r="AF61" s="121">
        <v>361</v>
      </c>
      <c r="AG61" s="121">
        <v>259</v>
      </c>
      <c r="AH61" s="121">
        <v>354</v>
      </c>
      <c r="AI61" s="121">
        <v>164</v>
      </c>
      <c r="AJ61" s="121">
        <v>0</v>
      </c>
      <c r="AK61" s="121">
        <v>0</v>
      </c>
      <c r="AL61" s="121">
        <v>200</v>
      </c>
      <c r="AM61" s="121">
        <v>200</v>
      </c>
      <c r="AN61" s="121">
        <v>200</v>
      </c>
      <c r="AO61" s="121">
        <v>200</v>
      </c>
      <c r="AP61" s="121">
        <f t="shared" si="73"/>
        <v>1938</v>
      </c>
      <c r="AQ61" s="143">
        <f t="shared" si="32"/>
        <v>2.3744965834449315E-3</v>
      </c>
      <c r="AR61" s="143" t="s">
        <v>542</v>
      </c>
      <c r="AS61" s="113"/>
    </row>
    <row r="62" spans="1:45" x14ac:dyDescent="0.25">
      <c r="B62" t="s">
        <v>173</v>
      </c>
      <c r="C62" s="8">
        <f>QB!F107</f>
        <v>2966.05</v>
      </c>
      <c r="D62" s="41">
        <f t="shared" si="78"/>
        <v>2.3156546852450242E-3</v>
      </c>
      <c r="E62" s="8">
        <f>QB!K107</f>
        <v>3042.38</v>
      </c>
      <c r="F62" s="41">
        <f>E62/E$15</f>
        <v>1.4024998460992466E-3</v>
      </c>
      <c r="G62" s="8">
        <f>QB!P107</f>
        <v>22007.56</v>
      </c>
      <c r="H62" s="41">
        <f>G62/G$15</f>
        <v>9.9948180591788918E-3</v>
      </c>
      <c r="I62" s="8">
        <v>9262</v>
      </c>
      <c r="J62" s="41">
        <f t="shared" si="44"/>
        <v>3.9897649734647461E-3</v>
      </c>
      <c r="K62" s="230">
        <v>849</v>
      </c>
      <c r="L62" s="230">
        <v>7574</v>
      </c>
      <c r="M62" s="230">
        <v>150</v>
      </c>
      <c r="N62" s="230">
        <v>0</v>
      </c>
      <c r="O62" s="8">
        <f t="shared" si="74"/>
        <v>8573</v>
      </c>
      <c r="P62" s="41">
        <f t="shared" si="45"/>
        <v>4.8856825508813663E-3</v>
      </c>
      <c r="Q62" s="113"/>
      <c r="R62" s="8">
        <f t="shared" si="75"/>
        <v>0</v>
      </c>
      <c r="S62" s="8">
        <f t="shared" si="70"/>
        <v>0</v>
      </c>
      <c r="T62" s="8">
        <f t="shared" si="79"/>
        <v>1</v>
      </c>
      <c r="U62" s="8">
        <f t="shared" si="65"/>
        <v>0</v>
      </c>
      <c r="V62" s="8">
        <f t="shared" si="76"/>
        <v>1</v>
      </c>
      <c r="W62" s="41">
        <f t="shared" si="80"/>
        <v>1.2252304352141029E-6</v>
      </c>
      <c r="Y62" s="113"/>
      <c r="Z62" s="121">
        <v>150</v>
      </c>
      <c r="AA62" s="121"/>
      <c r="AB62" s="121">
        <v>0</v>
      </c>
      <c r="AC62" s="121">
        <v>0</v>
      </c>
      <c r="AD62" s="121">
        <v>0</v>
      </c>
      <c r="AE62" s="121">
        <v>0</v>
      </c>
      <c r="AF62" s="121">
        <v>0</v>
      </c>
      <c r="AG62" s="121">
        <v>0</v>
      </c>
      <c r="AH62" s="121">
        <v>0</v>
      </c>
      <c r="AI62" s="121">
        <v>0</v>
      </c>
      <c r="AJ62" s="121">
        <v>0</v>
      </c>
      <c r="AK62" s="121">
        <v>1</v>
      </c>
      <c r="AL62" s="121">
        <v>0</v>
      </c>
      <c r="AM62" s="121">
        <v>0</v>
      </c>
      <c r="AN62" s="121">
        <v>0</v>
      </c>
      <c r="AO62" s="121">
        <v>0</v>
      </c>
      <c r="AP62" s="121">
        <f t="shared" si="73"/>
        <v>1</v>
      </c>
      <c r="AQ62" s="143">
        <f t="shared" si="32"/>
        <v>1.2252304352141029E-6</v>
      </c>
      <c r="AR62" s="143" t="s">
        <v>543</v>
      </c>
      <c r="AS62" s="113"/>
    </row>
    <row r="63" spans="1:45" x14ac:dyDescent="0.25">
      <c r="B63" t="s">
        <v>174</v>
      </c>
      <c r="C63" s="8">
        <f>QB!F114</f>
        <v>0</v>
      </c>
      <c r="D63" s="41">
        <f t="shared" si="78"/>
        <v>0</v>
      </c>
      <c r="E63" s="8">
        <f>QB!K114</f>
        <v>0</v>
      </c>
      <c r="F63" s="41">
        <f>E63/E$15</f>
        <v>0</v>
      </c>
      <c r="G63" s="8">
        <f>QB!P114</f>
        <v>32.44</v>
      </c>
      <c r="H63" s="41">
        <f>G63/G$15</f>
        <v>1.473275082924973E-5</v>
      </c>
      <c r="I63" s="8">
        <v>3653</v>
      </c>
      <c r="J63" s="41">
        <f t="shared" si="44"/>
        <v>1.5735922530842924E-3</v>
      </c>
      <c r="K63" s="230">
        <v>1267</v>
      </c>
      <c r="L63" s="230">
        <v>917</v>
      </c>
      <c r="M63" s="230">
        <v>794</v>
      </c>
      <c r="N63" s="230">
        <v>1092</v>
      </c>
      <c r="O63" s="8">
        <f t="shared" si="74"/>
        <v>4070</v>
      </c>
      <c r="P63" s="41">
        <f t="shared" si="45"/>
        <v>2.319459696965725E-3</v>
      </c>
      <c r="Q63" s="113"/>
      <c r="R63" s="8">
        <f t="shared" si="75"/>
        <v>423</v>
      </c>
      <c r="S63" s="8">
        <f t="shared" si="70"/>
        <v>55</v>
      </c>
      <c r="T63" s="8">
        <f t="shared" si="79"/>
        <v>100</v>
      </c>
      <c r="U63" s="8">
        <f t="shared" si="65"/>
        <v>300</v>
      </c>
      <c r="V63" s="8">
        <f t="shared" si="76"/>
        <v>878</v>
      </c>
      <c r="W63" s="41">
        <f t="shared" si="80"/>
        <v>1.0757523221179824E-3</v>
      </c>
      <c r="Y63" s="113"/>
      <c r="Z63" s="121">
        <v>794</v>
      </c>
      <c r="AA63" s="121">
        <v>650</v>
      </c>
      <c r="AB63" s="121"/>
      <c r="AC63" s="121">
        <v>442</v>
      </c>
      <c r="AD63" s="121">
        <v>79</v>
      </c>
      <c r="AE63" s="121">
        <v>240</v>
      </c>
      <c r="AF63" s="121">
        <v>104</v>
      </c>
      <c r="AG63" s="121"/>
      <c r="AH63" s="121">
        <v>55</v>
      </c>
      <c r="AI63" s="121"/>
      <c r="AJ63" s="121">
        <v>0</v>
      </c>
      <c r="AK63" s="121">
        <v>0</v>
      </c>
      <c r="AL63" s="121">
        <v>100</v>
      </c>
      <c r="AM63" s="121">
        <v>100</v>
      </c>
      <c r="AN63" s="121">
        <v>100</v>
      </c>
      <c r="AO63" s="121">
        <v>100</v>
      </c>
      <c r="AP63" s="121">
        <f t="shared" si="73"/>
        <v>878</v>
      </c>
      <c r="AQ63" s="143">
        <f t="shared" si="32"/>
        <v>1.0757523221179824E-3</v>
      </c>
      <c r="AR63" s="143" t="s">
        <v>542</v>
      </c>
      <c r="AS63" s="113"/>
    </row>
    <row r="64" spans="1:45" x14ac:dyDescent="0.25">
      <c r="B64" t="s">
        <v>511</v>
      </c>
      <c r="C64" s="8"/>
      <c r="E64" s="8"/>
      <c r="G64" s="8"/>
      <c r="I64" s="8"/>
      <c r="K64" s="230"/>
      <c r="L64" s="230"/>
      <c r="M64" s="230"/>
      <c r="N64" s="230"/>
      <c r="O64" s="8">
        <f t="shared" si="74"/>
        <v>0</v>
      </c>
      <c r="Q64" s="113"/>
      <c r="R64" s="8"/>
      <c r="S64" s="8"/>
      <c r="T64" s="8"/>
      <c r="U64" s="8"/>
      <c r="V64" s="8"/>
      <c r="Y64" s="113"/>
      <c r="Z64" s="121"/>
      <c r="AA64" s="121"/>
      <c r="AB64" s="121"/>
      <c r="AC64" s="121"/>
      <c r="AD64" s="121"/>
      <c r="AE64" s="121"/>
      <c r="AF64" s="121"/>
      <c r="AG64" s="121"/>
      <c r="AH64" s="121"/>
      <c r="AI64" s="121"/>
      <c r="AJ64" s="121"/>
      <c r="AK64" s="121"/>
      <c r="AL64" s="121"/>
      <c r="AM64" s="121"/>
      <c r="AN64" s="121"/>
      <c r="AO64" s="121"/>
      <c r="AP64" s="121">
        <f t="shared" si="73"/>
        <v>0</v>
      </c>
      <c r="AR64" s="175"/>
      <c r="AS64" s="113"/>
    </row>
    <row r="65" spans="1:45" x14ac:dyDescent="0.25">
      <c r="B65" t="s">
        <v>1793</v>
      </c>
      <c r="C65" s="8">
        <v>4055</v>
      </c>
      <c r="D65" s="41">
        <f t="shared" si="78"/>
        <v>3.1658197766957982E-3</v>
      </c>
      <c r="E65" s="8">
        <v>1905</v>
      </c>
      <c r="F65" s="41">
        <f t="shared" si="78"/>
        <v>8.7818162320915368E-4</v>
      </c>
      <c r="G65" s="8">
        <v>4660</v>
      </c>
      <c r="H65" s="41">
        <f t="shared" si="78"/>
        <v>2.116356931698636E-3</v>
      </c>
      <c r="I65" s="8">
        <v>11808</v>
      </c>
      <c r="J65" s="41">
        <f t="shared" si="78"/>
        <v>5.0864980357019779E-3</v>
      </c>
      <c r="K65" s="230">
        <v>5812</v>
      </c>
      <c r="L65" s="230">
        <v>6586</v>
      </c>
      <c r="M65" s="230">
        <v>3830</v>
      </c>
      <c r="N65" s="230">
        <v>1598</v>
      </c>
      <c r="O65" s="8">
        <f t="shared" si="74"/>
        <v>17826</v>
      </c>
      <c r="Q65" s="113"/>
      <c r="R65" s="8">
        <f t="shared" si="75"/>
        <v>4247</v>
      </c>
      <c r="S65" s="8">
        <f t="shared" si="70"/>
        <v>7292</v>
      </c>
      <c r="T65" s="8">
        <f t="shared" si="79"/>
        <v>5696</v>
      </c>
      <c r="U65" s="8">
        <f t="shared" si="65"/>
        <v>3000</v>
      </c>
      <c r="V65" s="8">
        <f t="shared" si="76"/>
        <v>20235</v>
      </c>
      <c r="Y65" s="113"/>
      <c r="Z65" s="121">
        <v>3831</v>
      </c>
      <c r="AA65" s="121">
        <v>252</v>
      </c>
      <c r="AB65" s="121">
        <v>533</v>
      </c>
      <c r="AC65" s="121">
        <v>813</v>
      </c>
      <c r="AD65" s="121">
        <v>1441</v>
      </c>
      <c r="AE65" s="121">
        <v>640</v>
      </c>
      <c r="AF65" s="121">
        <v>2166</v>
      </c>
      <c r="AG65" s="121">
        <v>3759</v>
      </c>
      <c r="AH65" s="121">
        <v>2176</v>
      </c>
      <c r="AI65" s="121">
        <v>1357</v>
      </c>
      <c r="AJ65" s="121">
        <v>1514</v>
      </c>
      <c r="AK65" s="121">
        <f>770+2412</f>
        <v>3182</v>
      </c>
      <c r="AL65" s="121">
        <v>1000</v>
      </c>
      <c r="AM65" s="121">
        <v>1000</v>
      </c>
      <c r="AN65" s="121">
        <v>1000</v>
      </c>
      <c r="AO65" s="121">
        <v>1000</v>
      </c>
      <c r="AP65" s="121">
        <f t="shared" si="73"/>
        <v>20235</v>
      </c>
      <c r="AR65" s="175"/>
      <c r="AS65" s="113"/>
    </row>
    <row r="66" spans="1:45" x14ac:dyDescent="0.25">
      <c r="B66" t="s">
        <v>1773</v>
      </c>
      <c r="C66" s="8"/>
      <c r="E66" s="8"/>
      <c r="G66" s="8"/>
      <c r="I66" s="8"/>
      <c r="K66" s="230"/>
      <c r="L66" s="230"/>
      <c r="M66" s="230"/>
      <c r="N66" s="230"/>
      <c r="O66" s="8">
        <f t="shared" si="74"/>
        <v>0</v>
      </c>
      <c r="Q66" s="113"/>
      <c r="R66" s="8">
        <f t="shared" si="75"/>
        <v>616</v>
      </c>
      <c r="S66" s="8">
        <f t="shared" si="70"/>
        <v>446</v>
      </c>
      <c r="T66" s="8">
        <f t="shared" si="79"/>
        <v>712</v>
      </c>
      <c r="U66" s="8">
        <f t="shared" si="65"/>
        <v>525</v>
      </c>
      <c r="V66" s="8">
        <f t="shared" si="76"/>
        <v>2299</v>
      </c>
      <c r="Y66" s="113"/>
      <c r="Z66" s="121"/>
      <c r="AA66" s="121"/>
      <c r="AB66" s="121"/>
      <c r="AC66" s="121"/>
      <c r="AD66" s="121">
        <v>366</v>
      </c>
      <c r="AE66" s="121">
        <v>102</v>
      </c>
      <c r="AF66" s="121">
        <v>148</v>
      </c>
      <c r="AG66" s="121">
        <v>76</v>
      </c>
      <c r="AH66" s="121">
        <v>172</v>
      </c>
      <c r="AI66" s="121">
        <v>198</v>
      </c>
      <c r="AJ66" s="121">
        <v>354</v>
      </c>
      <c r="AK66" s="121">
        <v>183</v>
      </c>
      <c r="AL66" s="121">
        <v>175</v>
      </c>
      <c r="AM66" s="121">
        <v>175</v>
      </c>
      <c r="AN66" s="121">
        <v>175</v>
      </c>
      <c r="AO66" s="121">
        <v>175</v>
      </c>
      <c r="AP66" s="121">
        <f t="shared" si="73"/>
        <v>2299</v>
      </c>
      <c r="AR66" s="175"/>
      <c r="AS66" s="113"/>
    </row>
    <row r="67" spans="1:45" x14ac:dyDescent="0.25">
      <c r="B67" t="s">
        <v>1801</v>
      </c>
      <c r="C67" s="8">
        <v>6092</v>
      </c>
      <c r="D67" s="41">
        <f t="shared" si="78"/>
        <v>4.7561465054576585E-3</v>
      </c>
      <c r="E67" s="8">
        <v>577</v>
      </c>
      <c r="F67" s="41">
        <f t="shared" si="78"/>
        <v>2.6598991947069902E-4</v>
      </c>
      <c r="G67" s="8">
        <v>3496</v>
      </c>
      <c r="H67" s="41">
        <f t="shared" si="78"/>
        <v>1.5877218526219809E-3</v>
      </c>
      <c r="I67" s="8">
        <v>21775</v>
      </c>
      <c r="J67" s="41">
        <f t="shared" si="78"/>
        <v>9.3799538217658011E-3</v>
      </c>
      <c r="K67" s="230">
        <v>16981</v>
      </c>
      <c r="L67" s="230">
        <v>23222</v>
      </c>
      <c r="M67" s="230">
        <v>15052</v>
      </c>
      <c r="N67" s="230">
        <v>9081</v>
      </c>
      <c r="O67" s="8">
        <f t="shared" si="74"/>
        <v>64336</v>
      </c>
      <c r="Q67" s="113"/>
      <c r="R67" s="8">
        <f t="shared" si="75"/>
        <v>10080</v>
      </c>
      <c r="S67" s="8">
        <f t="shared" si="70"/>
        <v>8271</v>
      </c>
      <c r="T67" s="8">
        <f t="shared" si="79"/>
        <v>6815</v>
      </c>
      <c r="U67" s="8">
        <f t="shared" si="65"/>
        <v>3500</v>
      </c>
      <c r="V67" s="8">
        <f t="shared" si="76"/>
        <v>28666</v>
      </c>
      <c r="Y67" s="113"/>
      <c r="Z67" s="121"/>
      <c r="AA67" s="121">
        <v>5025</v>
      </c>
      <c r="AB67" s="121">
        <v>6435</v>
      </c>
      <c r="AC67" s="121">
        <v>-2378</v>
      </c>
      <c r="AD67" s="121">
        <v>3799</v>
      </c>
      <c r="AE67" s="121">
        <v>3609</v>
      </c>
      <c r="AF67" s="121">
        <v>2672</v>
      </c>
      <c r="AG67" s="121">
        <v>5113</v>
      </c>
      <c r="AH67" s="121">
        <v>2317</v>
      </c>
      <c r="AI67" s="121">
        <v>841</v>
      </c>
      <c r="AJ67" s="121">
        <v>1310</v>
      </c>
      <c r="AK67" s="121">
        <v>3505</v>
      </c>
      <c r="AL67" s="121">
        <v>2000</v>
      </c>
      <c r="AM67" s="121">
        <v>1500</v>
      </c>
      <c r="AN67" s="121">
        <v>1000</v>
      </c>
      <c r="AO67" s="121">
        <v>1000</v>
      </c>
      <c r="AP67" s="121">
        <f t="shared" si="73"/>
        <v>28666</v>
      </c>
      <c r="AR67" s="143" t="s">
        <v>2125</v>
      </c>
      <c r="AS67" s="113"/>
    </row>
    <row r="68" spans="1:45" x14ac:dyDescent="0.25">
      <c r="B68" t="s">
        <v>175</v>
      </c>
      <c r="C68" s="8">
        <f>QB!F112</f>
        <v>652.41999999999996</v>
      </c>
      <c r="D68" s="41">
        <f>C68/C$15</f>
        <v>5.0935737082906851E-4</v>
      </c>
      <c r="E68" s="8">
        <f>QB!K112</f>
        <v>6737.83</v>
      </c>
      <c r="F68" s="41">
        <f>E68/E$15</f>
        <v>3.1060569481928249E-3</v>
      </c>
      <c r="G68" s="8">
        <f>QB!P112</f>
        <v>0</v>
      </c>
      <c r="H68" s="41">
        <f>G68/G$15</f>
        <v>0</v>
      </c>
      <c r="I68" s="8">
        <v>12743</v>
      </c>
      <c r="J68" s="41">
        <f>I68/I$15</f>
        <v>5.4892652836170648E-3</v>
      </c>
      <c r="K68" s="230">
        <v>-144</v>
      </c>
      <c r="L68" s="230">
        <v>0</v>
      </c>
      <c r="M68" s="230">
        <v>477</v>
      </c>
      <c r="N68" s="230">
        <v>0</v>
      </c>
      <c r="O68" s="8">
        <f t="shared" si="74"/>
        <v>333</v>
      </c>
      <c r="P68" s="41">
        <f>O68/O$15</f>
        <v>1.8977397520628659E-4</v>
      </c>
      <c r="Q68" s="113"/>
      <c r="R68" s="8">
        <f t="shared" si="75"/>
        <v>0</v>
      </c>
      <c r="S68" s="8">
        <f t="shared" si="70"/>
        <v>0</v>
      </c>
      <c r="T68" s="8">
        <f t="shared" si="79"/>
        <v>0</v>
      </c>
      <c r="U68" s="8">
        <f t="shared" si="65"/>
        <v>0</v>
      </c>
      <c r="V68" s="8">
        <f t="shared" si="76"/>
        <v>0</v>
      </c>
      <c r="W68" s="41">
        <f>V68/V$15</f>
        <v>0</v>
      </c>
      <c r="Y68" s="113"/>
      <c r="Z68" s="121">
        <v>477</v>
      </c>
      <c r="AA68" s="121"/>
      <c r="AB68" s="121">
        <v>0</v>
      </c>
      <c r="AC68" s="121">
        <v>0</v>
      </c>
      <c r="AD68" s="121">
        <v>0</v>
      </c>
      <c r="AE68" s="121">
        <v>0</v>
      </c>
      <c r="AF68" s="121">
        <v>0</v>
      </c>
      <c r="AG68" s="121">
        <v>0</v>
      </c>
      <c r="AH68" s="121">
        <v>0</v>
      </c>
      <c r="AI68" s="121">
        <v>0</v>
      </c>
      <c r="AJ68" s="121">
        <v>0</v>
      </c>
      <c r="AK68" s="121">
        <v>0</v>
      </c>
      <c r="AL68" s="121">
        <v>0</v>
      </c>
      <c r="AM68" s="121">
        <v>0</v>
      </c>
      <c r="AN68" s="121">
        <v>0</v>
      </c>
      <c r="AO68" s="121">
        <v>0</v>
      </c>
      <c r="AP68" s="121">
        <f t="shared" si="73"/>
        <v>0</v>
      </c>
      <c r="AQ68" s="143">
        <f t="shared" si="32"/>
        <v>0</v>
      </c>
      <c r="AS68" s="113"/>
    </row>
    <row r="69" spans="1:45" x14ac:dyDescent="0.25">
      <c r="B69" t="s">
        <v>176</v>
      </c>
      <c r="C69" s="9">
        <v>-8262</v>
      </c>
      <c r="D69" s="43">
        <f>C69/C$15</f>
        <v>-6.4503090000149659E-3</v>
      </c>
      <c r="E69" s="9">
        <f>QB!K132+QB!K116+QB!K117+QB!K118+QB!K119+QB!K120+QB!K121</f>
        <v>4773.8899999999994</v>
      </c>
      <c r="F69" s="43">
        <f>E69/E$15</f>
        <v>2.2007047082529901E-3</v>
      </c>
      <c r="G69" s="9">
        <v>1625</v>
      </c>
      <c r="H69" s="43">
        <f>G69/G$15</f>
        <v>7.3800000300649853E-4</v>
      </c>
      <c r="I69" s="9">
        <v>1085</v>
      </c>
      <c r="J69" s="43">
        <f>I69/I$15</f>
        <v>4.6738231442552898E-4</v>
      </c>
      <c r="K69" s="231">
        <v>87</v>
      </c>
      <c r="L69" s="231">
        <v>-101</v>
      </c>
      <c r="M69" s="231">
        <v>1156</v>
      </c>
      <c r="N69" s="231">
        <v>-335</v>
      </c>
      <c r="O69" s="9">
        <f t="shared" si="74"/>
        <v>807</v>
      </c>
      <c r="P69" s="43">
        <f>O69/O$15</f>
        <v>4.5990269667109092E-4</v>
      </c>
      <c r="Q69" s="113"/>
      <c r="R69" s="8">
        <f t="shared" si="75"/>
        <v>166</v>
      </c>
      <c r="S69" s="8">
        <f t="shared" si="70"/>
        <v>-23830</v>
      </c>
      <c r="T69" s="8">
        <f t="shared" si="79"/>
        <v>2135</v>
      </c>
      <c r="U69" s="8">
        <f t="shared" si="65"/>
        <v>750</v>
      </c>
      <c r="V69" s="9">
        <f t="shared" si="76"/>
        <v>-20779</v>
      </c>
      <c r="W69" s="43">
        <f>V69/V$15</f>
        <v>-2.5459063213313843E-2</v>
      </c>
      <c r="Y69" s="113"/>
      <c r="Z69" s="122">
        <v>-16379</v>
      </c>
      <c r="AA69" s="122">
        <v>21</v>
      </c>
      <c r="AB69" s="122">
        <f>-319+83</f>
        <v>-236</v>
      </c>
      <c r="AC69" s="122">
        <v>31</v>
      </c>
      <c r="AD69" s="122">
        <v>7</v>
      </c>
      <c r="AE69" s="122"/>
      <c r="AF69" s="122">
        <v>159</v>
      </c>
      <c r="AG69" s="122">
        <v>-15</v>
      </c>
      <c r="AH69" s="122">
        <v>-596</v>
      </c>
      <c r="AI69" s="122">
        <v>-23219</v>
      </c>
      <c r="AJ69" s="122">
        <v>-2167</v>
      </c>
      <c r="AK69" s="122">
        <f>1885+2167</f>
        <v>4052</v>
      </c>
      <c r="AL69" s="122">
        <v>250</v>
      </c>
      <c r="AM69" s="122">
        <v>250</v>
      </c>
      <c r="AN69" s="122">
        <v>250</v>
      </c>
      <c r="AO69" s="122">
        <v>250</v>
      </c>
      <c r="AP69" s="121">
        <f t="shared" si="73"/>
        <v>-20779</v>
      </c>
      <c r="AQ69" s="143">
        <f t="shared" si="32"/>
        <v>-2.5459063213313843E-2</v>
      </c>
      <c r="AR69" s="143" t="s">
        <v>1744</v>
      </c>
      <c r="AS69" s="113"/>
    </row>
    <row r="70" spans="1:45" s="45" customFormat="1" x14ac:dyDescent="0.25">
      <c r="B70" s="45" t="s">
        <v>177</v>
      </c>
      <c r="C70" s="46">
        <f>SUM(C43:C69)</f>
        <v>378874.32999999996</v>
      </c>
      <c r="D70" s="50">
        <f>C70/C$15</f>
        <v>0.29579478342697169</v>
      </c>
      <c r="E70" s="46">
        <f>SUM(E43:E69)</f>
        <v>556127.55999999994</v>
      </c>
      <c r="F70" s="50">
        <f>E70/E$15</f>
        <v>0.25636798076228134</v>
      </c>
      <c r="G70" s="46">
        <f>SUM(G43:G69)</f>
        <v>865735.8600000001</v>
      </c>
      <c r="H70" s="50">
        <f>G70/G$15</f>
        <v>0.39317727217405152</v>
      </c>
      <c r="I70" s="46">
        <f>SUM(I43:I69)</f>
        <v>1066212</v>
      </c>
      <c r="J70" s="50">
        <f>I70/I$15</f>
        <v>0.45928906196154112</v>
      </c>
      <c r="K70" s="233">
        <f t="shared" ref="K70:O70" si="82">SUM(K43:K69)</f>
        <v>327051</v>
      </c>
      <c r="L70" s="233">
        <f t="shared" si="82"/>
        <v>299570</v>
      </c>
      <c r="M70" s="233">
        <f t="shared" si="82"/>
        <v>239653</v>
      </c>
      <c r="N70" s="233">
        <f t="shared" si="82"/>
        <v>231812</v>
      </c>
      <c r="O70" s="46">
        <f t="shared" si="82"/>
        <v>1098086</v>
      </c>
      <c r="P70" s="50">
        <f>O70/O$15</f>
        <v>0.62579022624135261</v>
      </c>
      <c r="Q70" s="115"/>
      <c r="R70" s="46">
        <f t="shared" ref="R70:V70" si="83">SUM(R43:R69)</f>
        <v>170571</v>
      </c>
      <c r="S70" s="46">
        <f t="shared" si="83"/>
        <v>118688</v>
      </c>
      <c r="T70" s="46">
        <f t="shared" si="83"/>
        <v>101915.92</v>
      </c>
      <c r="U70" s="46">
        <f t="shared" si="83"/>
        <v>113708.76</v>
      </c>
      <c r="V70" s="46">
        <f t="shared" si="83"/>
        <v>504883.67999999993</v>
      </c>
      <c r="W70" s="50">
        <f>V70/V$15</f>
        <v>0.61859885097889777</v>
      </c>
      <c r="Y70" s="115"/>
      <c r="Z70" s="127">
        <f>SUM(Z43:Z69)</f>
        <v>208105</v>
      </c>
      <c r="AA70" s="127">
        <f>SUM(AA43:AA69)</f>
        <v>68473</v>
      </c>
      <c r="AB70" s="127">
        <f>SUM(AB43:AB69)-AB45-AB47-AB48-AB49-AB50-AB51</f>
        <v>94830</v>
      </c>
      <c r="AC70" s="127">
        <f>SUM(AC43:AC69)-AC45-AC47-AC48-AC49-AC50-AC51</f>
        <v>68591</v>
      </c>
      <c r="AD70" s="127">
        <f>SUM(AD43:AD69)-AD45-AD46-AD47-AD48-AD49-AD50-AD51</f>
        <v>68679</v>
      </c>
      <c r="AE70" s="127">
        <f t="shared" ref="AE70:AP70" si="84">SUM(AE52:AE69)+AE44+AE43</f>
        <v>55822</v>
      </c>
      <c r="AF70" s="127">
        <f t="shared" si="84"/>
        <v>46070</v>
      </c>
      <c r="AG70" s="127">
        <f t="shared" si="84"/>
        <v>57576</v>
      </c>
      <c r="AH70" s="127">
        <f t="shared" si="84"/>
        <v>49039</v>
      </c>
      <c r="AI70" s="127">
        <f t="shared" si="84"/>
        <v>12073</v>
      </c>
      <c r="AJ70" s="127">
        <f t="shared" si="84"/>
        <v>31545</v>
      </c>
      <c r="AK70" s="127">
        <f t="shared" si="84"/>
        <v>32438</v>
      </c>
      <c r="AL70" s="127">
        <f t="shared" si="84"/>
        <v>37932.92</v>
      </c>
      <c r="AM70" s="127">
        <f t="shared" si="84"/>
        <v>36682.92</v>
      </c>
      <c r="AN70" s="127">
        <f t="shared" si="84"/>
        <v>38512.92</v>
      </c>
      <c r="AO70" s="127">
        <f t="shared" si="84"/>
        <v>38512.92</v>
      </c>
      <c r="AP70" s="127">
        <f t="shared" si="84"/>
        <v>504883.68</v>
      </c>
      <c r="AQ70" s="141">
        <f t="shared" si="32"/>
        <v>0.61859885097889789</v>
      </c>
      <c r="AR70" s="141"/>
      <c r="AS70" s="117"/>
    </row>
    <row r="71" spans="1:45" s="45" customFormat="1" x14ac:dyDescent="0.25">
      <c r="A71" s="45" t="s">
        <v>517</v>
      </c>
      <c r="C71" s="49">
        <f>C25-C70</f>
        <v>135070.69000000006</v>
      </c>
      <c r="D71" s="51">
        <f>C71/C$15</f>
        <v>0.10545239498247783</v>
      </c>
      <c r="E71" s="49">
        <f>E25-E70</f>
        <v>399091.56000000017</v>
      </c>
      <c r="F71" s="51">
        <f>E71/E$15</f>
        <v>0.18397631179520918</v>
      </c>
      <c r="G71" s="49">
        <f>G25-G70</f>
        <v>-131891.56000000052</v>
      </c>
      <c r="H71" s="51">
        <f>G71/G$15</f>
        <v>-5.9899059493250563E-2</v>
      </c>
      <c r="I71" s="49">
        <f>I25-I70</f>
        <v>-56343</v>
      </c>
      <c r="J71" s="51">
        <f>I71/I$15</f>
        <v>-2.4270711282652149E-2</v>
      </c>
      <c r="K71" s="235">
        <f t="shared" ref="K71:O71" si="85">K25-K70</f>
        <v>-172616</v>
      </c>
      <c r="L71" s="235">
        <f t="shared" si="85"/>
        <v>-158034</v>
      </c>
      <c r="M71" s="235">
        <f t="shared" si="85"/>
        <v>-201759</v>
      </c>
      <c r="N71" s="235">
        <f t="shared" si="85"/>
        <v>-49760</v>
      </c>
      <c r="O71" s="49">
        <f t="shared" si="85"/>
        <v>-582169</v>
      </c>
      <c r="P71" s="51">
        <f>O71/O$15</f>
        <v>-0.33177334946507103</v>
      </c>
      <c r="Q71" s="117"/>
      <c r="R71" s="49">
        <f t="shared" ref="R71:V71" si="86">R25-R70</f>
        <v>-115253</v>
      </c>
      <c r="S71" s="49">
        <f t="shared" si="86"/>
        <v>-61271</v>
      </c>
      <c r="T71" s="49">
        <f t="shared" si="86"/>
        <v>-42894.92</v>
      </c>
      <c r="U71" s="49">
        <f t="shared" si="86"/>
        <v>-31808.759999999995</v>
      </c>
      <c r="V71" s="49">
        <f t="shared" si="86"/>
        <v>-251227.67999999993</v>
      </c>
      <c r="W71" s="51">
        <f>V71/V$15</f>
        <v>-0.30781179970422928</v>
      </c>
      <c r="Y71" s="117"/>
      <c r="Z71" s="127">
        <f t="shared" ref="Z71:AC71" si="87">Z25-Z70</f>
        <v>-170207</v>
      </c>
      <c r="AA71" s="127">
        <f t="shared" si="87"/>
        <v>-3109</v>
      </c>
      <c r="AB71" s="127">
        <f t="shared" si="87"/>
        <v>-34009</v>
      </c>
      <c r="AC71" s="127">
        <f t="shared" si="87"/>
        <v>-13348</v>
      </c>
      <c r="AD71" s="127">
        <f>AD25-AD70</f>
        <v>-48421</v>
      </c>
      <c r="AE71" s="127">
        <f t="shared" ref="AE71:AP71" si="88">AE25-AE70</f>
        <v>-35555</v>
      </c>
      <c r="AF71" s="127">
        <f t="shared" si="88"/>
        <v>-31277</v>
      </c>
      <c r="AG71" s="127">
        <f t="shared" si="88"/>
        <v>-63199</v>
      </c>
      <c r="AH71" s="127">
        <f t="shared" si="88"/>
        <v>-28010</v>
      </c>
      <c r="AI71" s="127">
        <f t="shared" si="88"/>
        <v>29938</v>
      </c>
      <c r="AJ71" s="127">
        <f t="shared" si="88"/>
        <v>-4733</v>
      </c>
      <c r="AK71" s="127">
        <f t="shared" si="88"/>
        <v>-27529</v>
      </c>
      <c r="AL71" s="127">
        <f t="shared" si="88"/>
        <v>-10632.919999999998</v>
      </c>
      <c r="AM71" s="127">
        <f t="shared" si="88"/>
        <v>-9382.9199999999983</v>
      </c>
      <c r="AN71" s="127">
        <f t="shared" si="88"/>
        <v>-11212.919999999998</v>
      </c>
      <c r="AO71" s="127">
        <f t="shared" si="88"/>
        <v>-11212.919999999998</v>
      </c>
      <c r="AP71" s="127">
        <f t="shared" si="88"/>
        <v>-251227.68</v>
      </c>
      <c r="AQ71" s="141">
        <f t="shared" si="32"/>
        <v>-0.30781179970422934</v>
      </c>
      <c r="AR71" s="141"/>
      <c r="AS71" s="117"/>
    </row>
    <row r="72" spans="1:45" x14ac:dyDescent="0.25">
      <c r="A72" s="45" t="s">
        <v>512</v>
      </c>
      <c r="C72" s="8"/>
      <c r="E72" s="8"/>
      <c r="G72" s="8"/>
      <c r="I72" s="8"/>
      <c r="K72" s="8"/>
      <c r="Q72" s="113"/>
      <c r="R72" s="8"/>
      <c r="Y72" s="113"/>
      <c r="AS72" s="113"/>
    </row>
    <row r="73" spans="1:45" x14ac:dyDescent="0.25">
      <c r="A73" s="45"/>
      <c r="B73" t="s">
        <v>1881</v>
      </c>
      <c r="C73" s="8"/>
      <c r="E73" s="8"/>
      <c r="G73" s="8"/>
      <c r="I73" s="8"/>
      <c r="K73" s="8"/>
      <c r="N73" s="121">
        <v>18747</v>
      </c>
      <c r="Q73" s="113"/>
      <c r="R73" s="8">
        <f>SUM(AD73:AF73)</f>
        <v>28470</v>
      </c>
      <c r="S73" s="8">
        <f>SUM(AG73:AI73)</f>
        <v>24341</v>
      </c>
      <c r="T73" s="8">
        <f>SUM(AJ73:AL73)</f>
        <v>16994</v>
      </c>
      <c r="U73" s="121">
        <f>SUM(AM73:AO73)</f>
        <v>19995</v>
      </c>
      <c r="V73" s="8">
        <f t="shared" ref="V73:V86" si="89">SUM(R73:U73)</f>
        <v>89800</v>
      </c>
      <c r="Y73" s="113"/>
      <c r="AA73" s="121">
        <f t="shared" ref="AA73:AJ73" si="90">Z128-AA128</f>
        <v>15451</v>
      </c>
      <c r="AB73" s="121">
        <f t="shared" si="90"/>
        <v>1827.2999999999884</v>
      </c>
      <c r="AC73" s="121">
        <f t="shared" si="90"/>
        <v>1468.7000000000116</v>
      </c>
      <c r="AD73" s="121">
        <f t="shared" si="90"/>
        <v>27408</v>
      </c>
      <c r="AE73" s="121">
        <f t="shared" si="90"/>
        <v>-1419</v>
      </c>
      <c r="AF73" s="121">
        <f t="shared" si="90"/>
        <v>2481</v>
      </c>
      <c r="AG73" s="121">
        <f t="shared" si="90"/>
        <v>1009</v>
      </c>
      <c r="AH73" s="121">
        <f t="shared" si="90"/>
        <v>-168</v>
      </c>
      <c r="AI73" s="121">
        <f t="shared" si="90"/>
        <v>23500</v>
      </c>
      <c r="AJ73" s="121">
        <f t="shared" si="90"/>
        <v>3664</v>
      </c>
      <c r="AK73" s="121">
        <v>6665</v>
      </c>
      <c r="AL73" s="121">
        <v>6665</v>
      </c>
      <c r="AM73" s="121">
        <v>6665</v>
      </c>
      <c r="AN73" s="121">
        <v>6665</v>
      </c>
      <c r="AO73" s="121">
        <v>6665</v>
      </c>
      <c r="AP73" s="121">
        <f t="shared" ref="AP73:AP86" si="91">SUM(AD73:AO73)</f>
        <v>89800</v>
      </c>
      <c r="AR73" s="175"/>
      <c r="AS73" s="113"/>
    </row>
    <row r="74" spans="1:45" x14ac:dyDescent="0.25">
      <c r="A74" s="45"/>
      <c r="B74" t="s">
        <v>513</v>
      </c>
      <c r="C74" s="8"/>
      <c r="E74" s="8"/>
      <c r="G74" s="8"/>
      <c r="I74" s="8"/>
      <c r="K74" s="8"/>
      <c r="N74" s="121"/>
      <c r="Q74" s="113"/>
      <c r="R74" s="8">
        <f t="shared" ref="R74:R85" si="92">SUM(AD74:AF74)</f>
        <v>0</v>
      </c>
      <c r="S74" s="8">
        <f t="shared" ref="S74:S86" si="93">SUM(AG74:AI74)</f>
        <v>0</v>
      </c>
      <c r="T74" s="8">
        <f t="shared" ref="T74:T86" si="94">SUM(AJ74:AL74)</f>
        <v>0</v>
      </c>
      <c r="U74" s="121">
        <f t="shared" ref="U74:U86" si="95">SUM(AM74:AO74)</f>
        <v>0</v>
      </c>
      <c r="V74" s="8">
        <f t="shared" si="89"/>
        <v>0</v>
      </c>
      <c r="Y74" s="113"/>
      <c r="AA74" s="121"/>
      <c r="AB74" s="121"/>
      <c r="AC74" s="121"/>
      <c r="AD74" s="121"/>
      <c r="AE74" s="121"/>
      <c r="AF74" s="121"/>
      <c r="AG74" s="121"/>
      <c r="AH74" s="121"/>
      <c r="AI74" s="121"/>
      <c r="AJ74" s="121"/>
      <c r="AK74" s="121"/>
      <c r="AL74" s="121"/>
      <c r="AM74" s="121"/>
      <c r="AN74" s="121"/>
      <c r="AO74" s="121"/>
      <c r="AP74" s="121">
        <f t="shared" si="91"/>
        <v>0</v>
      </c>
      <c r="AR74" s="175"/>
      <c r="AS74" s="113"/>
    </row>
    <row r="75" spans="1:45" x14ac:dyDescent="0.25">
      <c r="A75" s="45"/>
      <c r="B75" t="s">
        <v>483</v>
      </c>
      <c r="C75" s="8"/>
      <c r="E75" s="8"/>
      <c r="G75" s="8"/>
      <c r="I75" s="8"/>
      <c r="K75" s="8"/>
      <c r="N75" s="121">
        <v>69541</v>
      </c>
      <c r="Q75" s="113"/>
      <c r="R75" s="8">
        <f t="shared" si="92"/>
        <v>29552</v>
      </c>
      <c r="S75" s="8">
        <f t="shared" si="93"/>
        <v>9448</v>
      </c>
      <c r="T75" s="8">
        <f t="shared" si="94"/>
        <v>0</v>
      </c>
      <c r="U75" s="121">
        <f t="shared" si="95"/>
        <v>0</v>
      </c>
      <c r="V75" s="8">
        <f t="shared" si="89"/>
        <v>39000</v>
      </c>
      <c r="Y75" s="113"/>
      <c r="AA75" s="121">
        <v>28007</v>
      </c>
      <c r="AB75" s="121">
        <v>23286</v>
      </c>
      <c r="AC75" s="121">
        <v>18248</v>
      </c>
      <c r="AD75" s="121">
        <v>15342</v>
      </c>
      <c r="AE75" s="121">
        <v>10668</v>
      </c>
      <c r="AF75" s="121">
        <v>3542</v>
      </c>
      <c r="AG75" s="121">
        <f t="shared" ref="AG75:AH75" si="96">1181*4</f>
        <v>4724</v>
      </c>
      <c r="AH75" s="121">
        <f t="shared" si="96"/>
        <v>4724</v>
      </c>
      <c r="AI75" s="121"/>
      <c r="AJ75" s="121"/>
      <c r="AK75" s="121"/>
      <c r="AL75" s="121"/>
      <c r="AM75" s="121"/>
      <c r="AN75" s="121"/>
      <c r="AO75" s="121"/>
      <c r="AP75" s="121">
        <f t="shared" si="91"/>
        <v>39000</v>
      </c>
      <c r="AR75" s="175"/>
      <c r="AS75" s="113"/>
    </row>
    <row r="76" spans="1:45" x14ac:dyDescent="0.25">
      <c r="A76" s="45"/>
      <c r="B76" t="s">
        <v>1802</v>
      </c>
      <c r="C76" s="8"/>
      <c r="E76" s="8"/>
      <c r="G76" s="8"/>
      <c r="I76" s="8"/>
      <c r="K76" s="8"/>
      <c r="N76" s="121">
        <v>25252</v>
      </c>
      <c r="Q76" s="113"/>
      <c r="R76" s="8">
        <f t="shared" si="92"/>
        <v>11131</v>
      </c>
      <c r="S76" s="8">
        <f t="shared" si="93"/>
        <v>-27192</v>
      </c>
      <c r="T76" s="8">
        <f t="shared" si="94"/>
        <v>6626</v>
      </c>
      <c r="U76" s="121">
        <f t="shared" si="95"/>
        <v>0</v>
      </c>
      <c r="V76" s="8">
        <f t="shared" si="89"/>
        <v>-9435</v>
      </c>
      <c r="Y76" s="113"/>
      <c r="AA76" s="121">
        <v>2834</v>
      </c>
      <c r="AB76" s="121"/>
      <c r="AC76" s="121">
        <v>22418</v>
      </c>
      <c r="AD76" s="121">
        <v>14150</v>
      </c>
      <c r="AE76" s="121">
        <f>AD130-AE130</f>
        <v>-261</v>
      </c>
      <c r="AF76" s="121">
        <f t="shared" ref="AF76:AJ76" si="97">AE130-AF130</f>
        <v>-2758</v>
      </c>
      <c r="AG76" s="121">
        <f t="shared" si="97"/>
        <v>-19492</v>
      </c>
      <c r="AH76" s="121">
        <f t="shared" si="97"/>
        <v>-8100</v>
      </c>
      <c r="AI76" s="121">
        <f t="shared" si="97"/>
        <v>400</v>
      </c>
      <c r="AJ76" s="121">
        <f t="shared" si="97"/>
        <v>6626</v>
      </c>
      <c r="AK76" s="121"/>
      <c r="AL76" s="121"/>
      <c r="AM76" s="121"/>
      <c r="AN76" s="121"/>
      <c r="AO76" s="121"/>
      <c r="AP76" s="121">
        <f t="shared" si="91"/>
        <v>-9435</v>
      </c>
      <c r="AR76" s="175"/>
      <c r="AS76" s="113"/>
    </row>
    <row r="77" spans="1:45" x14ac:dyDescent="0.25">
      <c r="A77" s="45"/>
      <c r="B77" t="s">
        <v>1868</v>
      </c>
      <c r="C77" s="8"/>
      <c r="E77" s="8"/>
      <c r="G77" s="8"/>
      <c r="I77" s="8"/>
      <c r="K77" s="8"/>
      <c r="N77" s="121"/>
      <c r="Q77" s="113"/>
      <c r="R77" s="8">
        <f t="shared" si="92"/>
        <v>1512</v>
      </c>
      <c r="S77" s="8">
        <f t="shared" si="93"/>
        <v>23436</v>
      </c>
      <c r="T77" s="8">
        <f t="shared" si="94"/>
        <v>22193</v>
      </c>
      <c r="U77" s="121">
        <f t="shared" si="95"/>
        <v>13238</v>
      </c>
      <c r="V77" s="8">
        <f t="shared" si="89"/>
        <v>60379</v>
      </c>
      <c r="Y77" s="113"/>
      <c r="AA77" s="121"/>
      <c r="AB77" s="121"/>
      <c r="AC77" s="121"/>
      <c r="AD77" s="121"/>
      <c r="AE77" s="121">
        <f>AD131-AE131</f>
        <v>0</v>
      </c>
      <c r="AF77" s="121">
        <v>1512</v>
      </c>
      <c r="AG77" s="121">
        <v>8316</v>
      </c>
      <c r="AH77" s="121">
        <v>7938</v>
      </c>
      <c r="AI77" s="121">
        <v>7182</v>
      </c>
      <c r="AJ77" s="121">
        <v>5939</v>
      </c>
      <c r="AK77" s="121">
        <v>8316</v>
      </c>
      <c r="AL77" s="121">
        <v>7938</v>
      </c>
      <c r="AM77" s="121">
        <v>7938</v>
      </c>
      <c r="AN77" s="121">
        <v>5300</v>
      </c>
      <c r="AO77" s="121"/>
      <c r="AP77" s="121">
        <f t="shared" si="91"/>
        <v>60379</v>
      </c>
      <c r="AR77" s="175"/>
      <c r="AS77" s="113"/>
    </row>
    <row r="78" spans="1:45" x14ac:dyDescent="0.25">
      <c r="A78" s="45"/>
      <c r="B78" t="s">
        <v>2131</v>
      </c>
      <c r="C78" s="8"/>
      <c r="E78" s="8"/>
      <c r="G78" s="8"/>
      <c r="I78" s="8"/>
      <c r="K78" s="8"/>
      <c r="N78" s="121"/>
      <c r="Q78" s="113"/>
      <c r="R78" s="8"/>
      <c r="S78" s="8"/>
      <c r="T78" s="8"/>
      <c r="U78" s="121"/>
      <c r="V78" s="8"/>
      <c r="Y78" s="113"/>
      <c r="AA78" s="121"/>
      <c r="AB78" s="121"/>
      <c r="AC78" s="121"/>
      <c r="AD78" s="121"/>
      <c r="AE78" s="121"/>
      <c r="AF78" s="121"/>
      <c r="AG78" s="121"/>
      <c r="AH78" s="121"/>
      <c r="AI78" s="121"/>
      <c r="AJ78" s="121">
        <v>4713</v>
      </c>
      <c r="AK78" s="121">
        <v>4956</v>
      </c>
      <c r="AL78" s="121">
        <v>4956</v>
      </c>
      <c r="AM78" s="121">
        <v>4956</v>
      </c>
      <c r="AN78" s="121">
        <v>4956</v>
      </c>
      <c r="AO78" s="121"/>
      <c r="AP78" s="121"/>
      <c r="AR78" s="175"/>
      <c r="AS78" s="113"/>
    </row>
    <row r="79" spans="1:45" x14ac:dyDescent="0.25">
      <c r="A79" s="45"/>
      <c r="B79" t="s">
        <v>1745</v>
      </c>
      <c r="C79" s="8"/>
      <c r="E79" s="8"/>
      <c r="G79" s="8"/>
      <c r="I79" s="8"/>
      <c r="K79" s="8"/>
      <c r="N79" s="121">
        <v>6921</v>
      </c>
      <c r="Q79" s="113"/>
      <c r="R79" s="8">
        <f t="shared" si="92"/>
        <v>13228</v>
      </c>
      <c r="S79" s="8">
        <f t="shared" si="93"/>
        <v>7605</v>
      </c>
      <c r="T79" s="8">
        <f t="shared" si="94"/>
        <v>0</v>
      </c>
      <c r="U79" s="121">
        <f t="shared" si="95"/>
        <v>0</v>
      </c>
      <c r="V79" s="8">
        <f t="shared" si="89"/>
        <v>20833</v>
      </c>
      <c r="Y79" s="113"/>
      <c r="AA79" s="121"/>
      <c r="AB79" s="121">
        <v>2273</v>
      </c>
      <c r="AC79" s="121">
        <v>4648</v>
      </c>
      <c r="AD79" s="121">
        <v>5689</v>
      </c>
      <c r="AE79" s="121">
        <v>5783</v>
      </c>
      <c r="AF79" s="121">
        <v>1756</v>
      </c>
      <c r="AG79" s="121">
        <f t="shared" ref="AG79:AI79" si="98">585*4</f>
        <v>2340</v>
      </c>
      <c r="AH79" s="121">
        <v>2925</v>
      </c>
      <c r="AI79" s="121">
        <f t="shared" si="98"/>
        <v>2340</v>
      </c>
      <c r="AJ79" s="121"/>
      <c r="AK79" s="121"/>
      <c r="AL79" s="121"/>
      <c r="AM79" s="121"/>
      <c r="AN79" s="121"/>
      <c r="AO79" s="121"/>
      <c r="AP79" s="121">
        <f t="shared" si="91"/>
        <v>20833</v>
      </c>
      <c r="AR79" s="175"/>
      <c r="AS79" s="113"/>
    </row>
    <row r="80" spans="1:45" x14ac:dyDescent="0.25">
      <c r="A80" s="45"/>
      <c r="B80" t="s">
        <v>514</v>
      </c>
      <c r="C80" s="8"/>
      <c r="E80" s="8"/>
      <c r="G80" s="8"/>
      <c r="I80" s="8"/>
      <c r="K80" s="8"/>
      <c r="N80" s="121">
        <v>8924</v>
      </c>
      <c r="Q80" s="113"/>
      <c r="R80" s="8">
        <f t="shared" si="92"/>
        <v>9262</v>
      </c>
      <c r="S80" s="8">
        <f t="shared" si="93"/>
        <v>10261</v>
      </c>
      <c r="T80" s="8">
        <f t="shared" si="94"/>
        <v>10424</v>
      </c>
      <c r="U80" s="121">
        <f t="shared" si="95"/>
        <v>11439</v>
      </c>
      <c r="V80" s="8">
        <f t="shared" si="89"/>
        <v>41386</v>
      </c>
      <c r="Y80" s="113"/>
      <c r="AA80" s="121">
        <v>2938</v>
      </c>
      <c r="AB80" s="121">
        <v>2974</v>
      </c>
      <c r="AC80" s="121">
        <v>3012</v>
      </c>
      <c r="AD80" s="121">
        <v>3049</v>
      </c>
      <c r="AE80" s="121">
        <v>6213</v>
      </c>
      <c r="AF80" s="121">
        <v>0</v>
      </c>
      <c r="AG80" s="121">
        <v>3813</v>
      </c>
      <c r="AH80" s="121">
        <v>3204</v>
      </c>
      <c r="AI80" s="121">
        <v>3244</v>
      </c>
      <c r="AJ80" s="121">
        <v>3285</v>
      </c>
      <c r="AK80" s="121">
        <v>3326</v>
      </c>
      <c r="AL80" s="121">
        <v>3813</v>
      </c>
      <c r="AM80" s="121">
        <v>3813</v>
      </c>
      <c r="AN80" s="121">
        <v>3813</v>
      </c>
      <c r="AO80" s="121">
        <v>3813</v>
      </c>
      <c r="AP80" s="121">
        <f t="shared" si="91"/>
        <v>41386</v>
      </c>
      <c r="AR80" s="175"/>
      <c r="AS80" s="113"/>
    </row>
    <row r="81" spans="1:45" x14ac:dyDescent="0.25">
      <c r="A81" s="45"/>
      <c r="B81" t="s">
        <v>515</v>
      </c>
      <c r="C81" s="8"/>
      <c r="E81" s="8"/>
      <c r="G81" s="8"/>
      <c r="I81" s="8"/>
      <c r="K81" s="8"/>
      <c r="N81" s="121">
        <v>11388</v>
      </c>
      <c r="Q81" s="113"/>
      <c r="R81" s="8">
        <f t="shared" si="92"/>
        <v>8608</v>
      </c>
      <c r="S81" s="8">
        <f t="shared" si="93"/>
        <v>4806</v>
      </c>
      <c r="T81" s="8">
        <f t="shared" si="94"/>
        <v>2823</v>
      </c>
      <c r="U81" s="121">
        <f t="shared" si="95"/>
        <v>1000</v>
      </c>
      <c r="V81" s="8">
        <f t="shared" si="89"/>
        <v>17237</v>
      </c>
      <c r="Y81" s="113"/>
      <c r="AA81" s="121">
        <v>5486</v>
      </c>
      <c r="AB81" s="121">
        <v>3617</v>
      </c>
      <c r="AC81" s="121">
        <v>2285</v>
      </c>
      <c r="AD81" s="121">
        <v>3580</v>
      </c>
      <c r="AE81" s="121">
        <v>1973</v>
      </c>
      <c r="AF81" s="121">
        <v>3055</v>
      </c>
      <c r="AG81" s="121">
        <v>3000</v>
      </c>
      <c r="AH81" s="121">
        <v>896</v>
      </c>
      <c r="AI81" s="121">
        <v>910</v>
      </c>
      <c r="AJ81" s="121">
        <v>968</v>
      </c>
      <c r="AK81" s="121">
        <v>855</v>
      </c>
      <c r="AL81" s="121">
        <v>1000</v>
      </c>
      <c r="AM81" s="121">
        <v>1000</v>
      </c>
      <c r="AN81" s="121"/>
      <c r="AO81" s="121"/>
      <c r="AP81" s="121">
        <f t="shared" si="91"/>
        <v>17237</v>
      </c>
      <c r="AR81" s="175"/>
      <c r="AS81" s="113"/>
    </row>
    <row r="82" spans="1:45" x14ac:dyDescent="0.25">
      <c r="A82" s="45"/>
      <c r="B82" t="s">
        <v>484</v>
      </c>
      <c r="C82" s="8"/>
      <c r="E82" s="8"/>
      <c r="G82" s="8"/>
      <c r="I82" s="8"/>
      <c r="K82" s="8"/>
      <c r="N82" s="121">
        <v>11585</v>
      </c>
      <c r="Q82" s="113"/>
      <c r="R82" s="8">
        <f t="shared" si="92"/>
        <v>1680</v>
      </c>
      <c r="S82" s="8">
        <f t="shared" si="93"/>
        <v>3830</v>
      </c>
      <c r="T82" s="8">
        <f t="shared" si="94"/>
        <v>2150</v>
      </c>
      <c r="U82" s="121">
        <f t="shared" si="95"/>
        <v>1075</v>
      </c>
      <c r="V82" s="8">
        <f t="shared" si="89"/>
        <v>8735</v>
      </c>
      <c r="Y82" s="113"/>
      <c r="AA82" s="121">
        <v>3853</v>
      </c>
      <c r="AB82" s="121">
        <v>3888</v>
      </c>
      <c r="AC82" s="121">
        <v>3844</v>
      </c>
      <c r="AD82" s="121"/>
      <c r="AE82" s="121">
        <v>1680</v>
      </c>
      <c r="AF82" s="121">
        <v>0</v>
      </c>
      <c r="AG82" s="121">
        <v>1680</v>
      </c>
      <c r="AH82" s="121">
        <v>1075</v>
      </c>
      <c r="AI82" s="121">
        <v>1075</v>
      </c>
      <c r="AJ82" s="121">
        <v>0</v>
      </c>
      <c r="AK82" s="121">
        <v>1075</v>
      </c>
      <c r="AL82" s="121">
        <v>1075</v>
      </c>
      <c r="AM82" s="121">
        <v>1075</v>
      </c>
      <c r="AN82" s="121"/>
      <c r="AO82" s="121"/>
      <c r="AP82" s="121">
        <f t="shared" si="91"/>
        <v>8735</v>
      </c>
      <c r="AR82" s="175"/>
      <c r="AS82" s="113"/>
    </row>
    <row r="83" spans="1:45" x14ac:dyDescent="0.25">
      <c r="A83" s="45"/>
      <c r="B83" t="s">
        <v>485</v>
      </c>
      <c r="C83" s="8"/>
      <c r="E83" s="8"/>
      <c r="G83" s="8"/>
      <c r="I83" s="8"/>
      <c r="K83" s="8"/>
      <c r="N83" s="121">
        <v>5624</v>
      </c>
      <c r="P83" s="43"/>
      <c r="Q83" s="113"/>
      <c r="R83" s="8">
        <f t="shared" si="92"/>
        <v>1704</v>
      </c>
      <c r="S83" s="8">
        <f t="shared" si="93"/>
        <v>1357</v>
      </c>
      <c r="T83" s="8">
        <f t="shared" si="94"/>
        <v>3229</v>
      </c>
      <c r="U83" s="121">
        <f t="shared" si="95"/>
        <v>1500</v>
      </c>
      <c r="V83" s="8">
        <f t="shared" si="89"/>
        <v>7790</v>
      </c>
      <c r="Y83" s="113"/>
      <c r="AA83" s="121">
        <v>954</v>
      </c>
      <c r="AB83" s="121">
        <v>2558</v>
      </c>
      <c r="AC83" s="121">
        <v>2112</v>
      </c>
      <c r="AD83" s="121">
        <v>639</v>
      </c>
      <c r="AE83" s="121">
        <v>611</v>
      </c>
      <c r="AF83" s="121">
        <v>454</v>
      </c>
      <c r="AG83" s="121">
        <v>400</v>
      </c>
      <c r="AH83" s="121">
        <v>554</v>
      </c>
      <c r="AI83" s="121">
        <v>403</v>
      </c>
      <c r="AJ83" s="121">
        <v>1668</v>
      </c>
      <c r="AK83" s="121">
        <v>1061</v>
      </c>
      <c r="AL83" s="121">
        <v>500</v>
      </c>
      <c r="AM83" s="121">
        <v>500</v>
      </c>
      <c r="AN83" s="121">
        <v>500</v>
      </c>
      <c r="AO83" s="121">
        <v>500</v>
      </c>
      <c r="AP83" s="121">
        <f t="shared" si="91"/>
        <v>7790</v>
      </c>
      <c r="AR83" s="175"/>
      <c r="AS83" s="113"/>
    </row>
    <row r="84" spans="1:45" x14ac:dyDescent="0.25">
      <c r="A84" s="45"/>
      <c r="B84" t="s">
        <v>250</v>
      </c>
      <c r="C84" s="8"/>
      <c r="E84" s="8"/>
      <c r="G84" s="8"/>
      <c r="I84" s="8"/>
      <c r="K84" s="8"/>
      <c r="N84" s="121">
        <v>17603</v>
      </c>
      <c r="Q84" s="113"/>
      <c r="R84" s="8">
        <f t="shared" si="92"/>
        <v>17142</v>
      </c>
      <c r="S84" s="8">
        <f t="shared" si="93"/>
        <v>17388</v>
      </c>
      <c r="T84" s="8">
        <f t="shared" si="94"/>
        <v>6481</v>
      </c>
      <c r="U84" s="121">
        <f t="shared" si="95"/>
        <v>0</v>
      </c>
      <c r="V84" s="8">
        <f t="shared" si="89"/>
        <v>41011</v>
      </c>
      <c r="Y84" s="113"/>
      <c r="AA84" s="121">
        <v>5984</v>
      </c>
      <c r="AB84" s="121">
        <v>3433</v>
      </c>
      <c r="AC84" s="121">
        <v>8186</v>
      </c>
      <c r="AD84" s="121">
        <v>3164</v>
      </c>
      <c r="AE84" s="121">
        <v>6111</v>
      </c>
      <c r="AF84" s="121">
        <v>7867</v>
      </c>
      <c r="AG84" s="121">
        <v>5635</v>
      </c>
      <c r="AH84" s="121">
        <v>4866</v>
      </c>
      <c r="AI84" s="121">
        <v>6887</v>
      </c>
      <c r="AJ84" s="121">
        <v>3310</v>
      </c>
      <c r="AK84" s="121">
        <v>3171</v>
      </c>
      <c r="AL84" s="121"/>
      <c r="AM84" s="121"/>
      <c r="AN84" s="121"/>
      <c r="AO84" s="121"/>
      <c r="AP84" s="121">
        <f t="shared" si="91"/>
        <v>41011</v>
      </c>
      <c r="AR84" s="175"/>
      <c r="AS84" s="113"/>
    </row>
    <row r="85" spans="1:45" x14ac:dyDescent="0.25">
      <c r="A85" s="45"/>
      <c r="C85" s="8"/>
      <c r="E85" s="8"/>
      <c r="G85" s="8"/>
      <c r="I85" s="8"/>
      <c r="K85" s="8"/>
      <c r="N85" s="121"/>
      <c r="Q85" s="113"/>
      <c r="R85" s="8">
        <f t="shared" si="92"/>
        <v>0</v>
      </c>
      <c r="S85" s="8">
        <f t="shared" si="93"/>
        <v>0</v>
      </c>
      <c r="T85" s="8">
        <f t="shared" si="94"/>
        <v>0</v>
      </c>
      <c r="U85" s="121">
        <f t="shared" si="95"/>
        <v>0</v>
      </c>
      <c r="V85" s="8">
        <f t="shared" si="89"/>
        <v>0</v>
      </c>
      <c r="Y85" s="113"/>
      <c r="AA85" s="121"/>
      <c r="AB85" s="121"/>
      <c r="AC85" s="121"/>
      <c r="AD85" s="121"/>
      <c r="AE85" s="121"/>
      <c r="AF85" s="121"/>
      <c r="AG85" s="121"/>
      <c r="AH85" s="121"/>
      <c r="AI85" s="121"/>
      <c r="AJ85" s="121"/>
      <c r="AK85" s="121"/>
      <c r="AL85" s="121"/>
      <c r="AM85" s="121"/>
      <c r="AN85" s="121"/>
      <c r="AO85" s="121"/>
      <c r="AP85" s="121">
        <f t="shared" si="91"/>
        <v>0</v>
      </c>
      <c r="AR85" s="175"/>
      <c r="AS85" s="113"/>
    </row>
    <row r="86" spans="1:45" x14ac:dyDescent="0.25">
      <c r="B86" t="s">
        <v>510</v>
      </c>
      <c r="C86" s="8">
        <f>QB!F99</f>
        <v>10146.969999999999</v>
      </c>
      <c r="D86" s="41">
        <f t="shared" ref="D86" si="99">C86/C$15</f>
        <v>7.9219428605521482E-3</v>
      </c>
      <c r="E86" s="8">
        <f>QB!K99</f>
        <v>2481.65</v>
      </c>
      <c r="F86" s="41">
        <f>E86/E$15</f>
        <v>1.1440101969748013E-3</v>
      </c>
      <c r="G86" s="8">
        <f>QB!P99</f>
        <v>8155.74</v>
      </c>
      <c r="H86" s="41">
        <f>G86/G$15</f>
        <v>3.7039607043201357E-3</v>
      </c>
      <c r="I86" s="8" t="e">
        <f>SUM(#REF!)</f>
        <v>#REF!</v>
      </c>
      <c r="J86" s="41" t="e">
        <f>I86/I$15</f>
        <v>#REF!</v>
      </c>
      <c r="K86" s="8" t="e">
        <f>I86*0.9/4</f>
        <v>#REF!</v>
      </c>
      <c r="L86" s="8" t="e">
        <f>K86</f>
        <v>#REF!</v>
      </c>
      <c r="M86" s="8" t="e">
        <f t="shared" ref="M86" si="100">L86</f>
        <v>#REF!</v>
      </c>
      <c r="N86" s="8"/>
      <c r="O86" s="8"/>
      <c r="Q86" s="113"/>
      <c r="R86" s="8">
        <f>SUM(AD86:AF86)</f>
        <v>-6480</v>
      </c>
      <c r="S86" s="8">
        <f t="shared" si="93"/>
        <v>-5871</v>
      </c>
      <c r="T86" s="8">
        <f t="shared" si="94"/>
        <v>-4415</v>
      </c>
      <c r="U86" s="121">
        <f t="shared" si="95"/>
        <v>100</v>
      </c>
      <c r="V86" s="8">
        <f t="shared" si="89"/>
        <v>-16666</v>
      </c>
      <c r="Y86" s="113"/>
      <c r="Z86" s="122">
        <v>15052</v>
      </c>
      <c r="AA86" s="122"/>
      <c r="AB86" s="122"/>
      <c r="AC86" s="122"/>
      <c r="AD86" s="122">
        <f t="shared" ref="AD86:AO86" si="101">1200-AD67</f>
        <v>-2599</v>
      </c>
      <c r="AE86" s="122">
        <f t="shared" si="101"/>
        <v>-2409</v>
      </c>
      <c r="AF86" s="122">
        <f t="shared" si="101"/>
        <v>-1472</v>
      </c>
      <c r="AG86" s="122">
        <f t="shared" si="101"/>
        <v>-3913</v>
      </c>
      <c r="AH86" s="122">
        <f t="shared" si="101"/>
        <v>-1117</v>
      </c>
      <c r="AI86" s="122">
        <f>-AI67</f>
        <v>-841</v>
      </c>
      <c r="AJ86" s="122">
        <f>-AJ67</f>
        <v>-1310</v>
      </c>
      <c r="AK86" s="122">
        <f t="shared" si="101"/>
        <v>-2305</v>
      </c>
      <c r="AL86" s="122">
        <f t="shared" si="101"/>
        <v>-800</v>
      </c>
      <c r="AM86" s="122">
        <f t="shared" si="101"/>
        <v>-300</v>
      </c>
      <c r="AN86" s="122">
        <f t="shared" si="101"/>
        <v>200</v>
      </c>
      <c r="AO86" s="122">
        <f t="shared" si="101"/>
        <v>200</v>
      </c>
      <c r="AP86" s="121">
        <f t="shared" si="91"/>
        <v>-16666</v>
      </c>
      <c r="AR86" s="143" t="s">
        <v>2123</v>
      </c>
      <c r="AS86" s="113"/>
    </row>
    <row r="87" spans="1:45" x14ac:dyDescent="0.25">
      <c r="B87" t="s">
        <v>1799</v>
      </c>
      <c r="C87" s="8"/>
      <c r="E87" s="8"/>
      <c r="G87" s="8"/>
      <c r="I87" s="8"/>
      <c r="K87" s="8"/>
      <c r="L87" s="8"/>
      <c r="M87" s="8"/>
      <c r="N87" s="123">
        <f t="shared" ref="N87" si="102">SUM(N73:N86)</f>
        <v>175585</v>
      </c>
      <c r="O87" s="8"/>
      <c r="Q87" s="113"/>
      <c r="R87" s="123">
        <f t="shared" ref="R87:V87" si="103">SUM(R73:R86)</f>
        <v>115809</v>
      </c>
      <c r="S87" s="123">
        <f t="shared" si="103"/>
        <v>69409</v>
      </c>
      <c r="T87" s="123">
        <f t="shared" si="103"/>
        <v>66505</v>
      </c>
      <c r="U87" s="123">
        <f t="shared" si="103"/>
        <v>48347</v>
      </c>
      <c r="V87" s="123">
        <f t="shared" si="103"/>
        <v>300070</v>
      </c>
      <c r="Y87" s="113"/>
      <c r="Z87" s="121">
        <f t="shared" ref="Z87:AC87" si="104">SUM(Z73:Z86)</f>
        <v>15052</v>
      </c>
      <c r="AA87" s="123">
        <f t="shared" si="104"/>
        <v>65507</v>
      </c>
      <c r="AB87" s="123">
        <f t="shared" si="104"/>
        <v>43856.299999999988</v>
      </c>
      <c r="AC87" s="123">
        <f t="shared" si="104"/>
        <v>66221.700000000012</v>
      </c>
      <c r="AD87" s="123">
        <f>SUM(AD73:AD86)</f>
        <v>70422</v>
      </c>
      <c r="AE87" s="123">
        <f t="shared" ref="AE87:AP87" si="105">SUM(AE73:AE86)</f>
        <v>28950</v>
      </c>
      <c r="AF87" s="123">
        <f t="shared" si="105"/>
        <v>16437</v>
      </c>
      <c r="AG87" s="123">
        <f t="shared" si="105"/>
        <v>7512</v>
      </c>
      <c r="AH87" s="123">
        <f t="shared" si="105"/>
        <v>16797</v>
      </c>
      <c r="AI87" s="123">
        <f t="shared" si="105"/>
        <v>45100</v>
      </c>
      <c r="AJ87" s="123">
        <f t="shared" si="105"/>
        <v>28863</v>
      </c>
      <c r="AK87" s="123">
        <f t="shared" si="105"/>
        <v>27120</v>
      </c>
      <c r="AL87" s="123">
        <f t="shared" si="105"/>
        <v>25147</v>
      </c>
      <c r="AM87" s="123">
        <f t="shared" si="105"/>
        <v>25647</v>
      </c>
      <c r="AN87" s="123">
        <f t="shared" si="105"/>
        <v>21434</v>
      </c>
      <c r="AO87" s="123">
        <f t="shared" si="105"/>
        <v>11178</v>
      </c>
      <c r="AP87" s="123">
        <f t="shared" si="105"/>
        <v>300070</v>
      </c>
      <c r="AS87" s="113"/>
    </row>
    <row r="88" spans="1:45" x14ac:dyDescent="0.25">
      <c r="A88" s="45" t="s">
        <v>1798</v>
      </c>
      <c r="C88" s="8"/>
      <c r="E88" s="8"/>
      <c r="G88" s="8"/>
      <c r="I88" s="8"/>
      <c r="K88" s="8"/>
      <c r="L88" s="8"/>
      <c r="M88" s="8"/>
      <c r="N88" s="121">
        <f>N71-N87</f>
        <v>-225345</v>
      </c>
      <c r="O88" s="8"/>
      <c r="Q88" s="113"/>
      <c r="R88" s="121">
        <f>R71-R87</f>
        <v>-231062</v>
      </c>
      <c r="S88" s="121">
        <f>S71-S87</f>
        <v>-130680</v>
      </c>
      <c r="T88" s="121">
        <f>T71-T87</f>
        <v>-109399.92</v>
      </c>
      <c r="U88" s="121">
        <f>U71-U87</f>
        <v>-80155.759999999995</v>
      </c>
      <c r="V88" s="121">
        <f>V71-V87</f>
        <v>-551297.67999999993</v>
      </c>
      <c r="Y88" s="113"/>
      <c r="Z88" s="121"/>
      <c r="AA88" s="121">
        <f t="shared" ref="AA88:AP88" si="106">AA71-AA87</f>
        <v>-68616</v>
      </c>
      <c r="AB88" s="121">
        <f t="shared" si="106"/>
        <v>-77865.299999999988</v>
      </c>
      <c r="AC88" s="121">
        <f t="shared" si="106"/>
        <v>-79569.700000000012</v>
      </c>
      <c r="AD88" s="121">
        <f t="shared" si="106"/>
        <v>-118843</v>
      </c>
      <c r="AE88" s="121">
        <f t="shared" si="106"/>
        <v>-64505</v>
      </c>
      <c r="AF88" s="121">
        <f t="shared" si="106"/>
        <v>-47714</v>
      </c>
      <c r="AG88" s="121">
        <f t="shared" si="106"/>
        <v>-70711</v>
      </c>
      <c r="AH88" s="121">
        <f t="shared" si="106"/>
        <v>-44807</v>
      </c>
      <c r="AI88" s="121">
        <f t="shared" si="106"/>
        <v>-15162</v>
      </c>
      <c r="AJ88" s="121">
        <f t="shared" si="106"/>
        <v>-33596</v>
      </c>
      <c r="AK88" s="121">
        <f t="shared" si="106"/>
        <v>-54649</v>
      </c>
      <c r="AL88" s="121">
        <f t="shared" si="106"/>
        <v>-35779.919999999998</v>
      </c>
      <c r="AM88" s="121">
        <f t="shared" si="106"/>
        <v>-35029.919999999998</v>
      </c>
      <c r="AN88" s="121">
        <f t="shared" si="106"/>
        <v>-32646.92</v>
      </c>
      <c r="AO88" s="121">
        <f t="shared" si="106"/>
        <v>-22390.92</v>
      </c>
      <c r="AP88" s="121">
        <f t="shared" si="106"/>
        <v>-551297.67999999993</v>
      </c>
      <c r="AS88" s="113"/>
    </row>
    <row r="89" spans="1:45" x14ac:dyDescent="0.25">
      <c r="A89" s="45" t="s">
        <v>519</v>
      </c>
      <c r="C89" s="8"/>
      <c r="E89" s="8"/>
      <c r="G89" s="8"/>
      <c r="I89" s="8"/>
      <c r="K89" s="8"/>
      <c r="L89" s="8"/>
      <c r="M89" s="8"/>
      <c r="N89" s="8">
        <v>83009</v>
      </c>
      <c r="O89" s="8"/>
      <c r="Q89" s="113"/>
      <c r="R89" s="8">
        <f>SUM(AD89:AF89)</f>
        <v>40288</v>
      </c>
      <c r="S89" s="8">
        <f t="shared" ref="S89:S90" si="107">SUM(AG89:AI89)</f>
        <v>113133</v>
      </c>
      <c r="T89" s="8">
        <f t="shared" ref="T89:T90" si="108">SUM(AJ89:AL89)</f>
        <v>16726</v>
      </c>
      <c r="U89" s="121">
        <f t="shared" ref="U89:U90" si="109">SUM(AM89:AO89)</f>
        <v>0</v>
      </c>
      <c r="V89" s="8">
        <f t="shared" ref="V89:V90" si="110">SUM(R89:U89)</f>
        <v>170147</v>
      </c>
      <c r="Y89" s="113"/>
      <c r="Z89" s="121"/>
      <c r="AA89" s="121">
        <v>12964</v>
      </c>
      <c r="AB89" s="121">
        <v>22340</v>
      </c>
      <c r="AC89" s="121">
        <v>48625</v>
      </c>
      <c r="AD89" s="121">
        <v>-51185</v>
      </c>
      <c r="AE89" s="121">
        <v>65201</v>
      </c>
      <c r="AF89" s="121">
        <v>26272</v>
      </c>
      <c r="AG89" s="121">
        <v>52504</v>
      </c>
      <c r="AH89" s="121">
        <v>46489</v>
      </c>
      <c r="AI89" s="121">
        <v>14140</v>
      </c>
      <c r="AJ89" s="121">
        <v>16726</v>
      </c>
      <c r="AK89" s="121"/>
      <c r="AL89" s="121"/>
      <c r="AM89" s="121"/>
      <c r="AN89" s="121"/>
      <c r="AO89" s="121"/>
      <c r="AP89" s="121">
        <f t="shared" ref="AP89:AP90" si="111">SUM(AD89:AO89)</f>
        <v>170147</v>
      </c>
      <c r="AS89" s="113"/>
    </row>
    <row r="90" spans="1:45" x14ac:dyDescent="0.25">
      <c r="A90" s="45" t="s">
        <v>516</v>
      </c>
      <c r="C90" s="9"/>
      <c r="E90" s="9"/>
      <c r="G90" s="9"/>
      <c r="I90" s="9"/>
      <c r="K90" s="9"/>
      <c r="L90" s="19"/>
      <c r="M90" s="19"/>
      <c r="N90" s="9">
        <v>296440</v>
      </c>
      <c r="O90" s="8"/>
      <c r="Q90" s="113"/>
      <c r="R90" s="9">
        <f>SUM(AD90:AF90)</f>
        <v>40950</v>
      </c>
      <c r="S90" s="9">
        <f t="shared" si="107"/>
        <v>0</v>
      </c>
      <c r="T90" s="9">
        <f t="shared" si="108"/>
        <v>22275</v>
      </c>
      <c r="U90" s="122">
        <f t="shared" si="109"/>
        <v>0</v>
      </c>
      <c r="V90" s="9">
        <f t="shared" si="110"/>
        <v>63225</v>
      </c>
      <c r="Y90" s="113"/>
      <c r="Z90" s="129"/>
      <c r="AA90" s="122">
        <v>48000</v>
      </c>
      <c r="AB90" s="122">
        <f>14000+25000</f>
        <v>39000</v>
      </c>
      <c r="AC90" s="122">
        <v>209440</v>
      </c>
      <c r="AD90" s="122"/>
      <c r="AE90" s="122"/>
      <c r="AF90" s="122">
        <v>40950</v>
      </c>
      <c r="AG90" s="122"/>
      <c r="AH90" s="122"/>
      <c r="AI90" s="122"/>
      <c r="AJ90" s="122">
        <v>17275</v>
      </c>
      <c r="AK90" s="122"/>
      <c r="AL90" s="122">
        <v>5000</v>
      </c>
      <c r="AM90" s="122"/>
      <c r="AN90" s="122"/>
      <c r="AO90" s="122"/>
      <c r="AP90" s="122">
        <f t="shared" si="111"/>
        <v>63225</v>
      </c>
      <c r="AS90" s="113"/>
    </row>
    <row r="91" spans="1:45" s="45" customFormat="1" ht="15.75" thickBot="1" x14ac:dyDescent="0.3">
      <c r="A91" s="45" t="s">
        <v>518</v>
      </c>
      <c r="C91" s="52" t="e">
        <f>C71-#REF!-C86-C90</f>
        <v>#REF!</v>
      </c>
      <c r="D91" s="51" t="e">
        <f t="shared" ref="D91" si="112">C91/C$15</f>
        <v>#REF!</v>
      </c>
      <c r="E91" s="52" t="e">
        <f>E71-#REF!-E86-E90</f>
        <v>#REF!</v>
      </c>
      <c r="F91" s="51" t="e">
        <f>E91/E$15</f>
        <v>#REF!</v>
      </c>
      <c r="G91" s="52" t="e">
        <f>G71-#REF!-G86-G90</f>
        <v>#REF!</v>
      </c>
      <c r="H91" s="51" t="e">
        <f>G91/G$15</f>
        <v>#REF!</v>
      </c>
      <c r="I91" s="52" t="e">
        <f>I71-#REF!-I86-I90</f>
        <v>#REF!</v>
      </c>
      <c r="J91" s="51" t="e">
        <f>I91/I$15</f>
        <v>#REF!</v>
      </c>
      <c r="K91" s="79" t="e">
        <f>K71-#REF!-K86-K90</f>
        <v>#REF!</v>
      </c>
      <c r="L91" s="79" t="e">
        <f>L71-#REF!-L86-L90</f>
        <v>#REF!</v>
      </c>
      <c r="M91" s="79" t="e">
        <f>M71-#REF!-M86-M90</f>
        <v>#REF!</v>
      </c>
      <c r="N91" s="49">
        <f>SUM(N88:N90)</f>
        <v>154104</v>
      </c>
      <c r="O91" s="49"/>
      <c r="P91" s="51"/>
      <c r="Q91" s="117"/>
      <c r="R91" s="49">
        <f t="shared" ref="R91:V91" si="113">SUM(R88:R90)</f>
        <v>-149824</v>
      </c>
      <c r="S91" s="49">
        <f t="shared" si="113"/>
        <v>-17547</v>
      </c>
      <c r="T91" s="49">
        <f t="shared" si="113"/>
        <v>-70398.92</v>
      </c>
      <c r="U91" s="49">
        <f t="shared" si="113"/>
        <v>-80155.759999999995</v>
      </c>
      <c r="V91" s="49">
        <f t="shared" si="113"/>
        <v>-317925.67999999993</v>
      </c>
      <c r="W91" s="51"/>
      <c r="Y91" s="118"/>
      <c r="Z91" s="79">
        <f>Z71-Z87-Z90</f>
        <v>-185259</v>
      </c>
      <c r="AA91" s="49">
        <f>SUM(AA88:AA90)</f>
        <v>-7652</v>
      </c>
      <c r="AB91" s="49">
        <f t="shared" ref="AB91:AC91" si="114">SUM(AB88:AB90)</f>
        <v>-16525.299999999988</v>
      </c>
      <c r="AC91" s="49">
        <f t="shared" si="114"/>
        <v>178495.3</v>
      </c>
      <c r="AD91" s="49">
        <f t="shared" ref="AD91:AP91" si="115">SUM(AD88:AD90)</f>
        <v>-170028</v>
      </c>
      <c r="AE91" s="49">
        <f t="shared" si="115"/>
        <v>696</v>
      </c>
      <c r="AF91" s="49">
        <f t="shared" si="115"/>
        <v>19508</v>
      </c>
      <c r="AG91" s="49">
        <f t="shared" si="115"/>
        <v>-18207</v>
      </c>
      <c r="AH91" s="49">
        <f t="shared" si="115"/>
        <v>1682</v>
      </c>
      <c r="AI91" s="49">
        <f t="shared" si="115"/>
        <v>-1022</v>
      </c>
      <c r="AJ91" s="49">
        <f t="shared" si="115"/>
        <v>405</v>
      </c>
      <c r="AK91" s="49">
        <f t="shared" si="115"/>
        <v>-54649</v>
      </c>
      <c r="AL91" s="49">
        <f t="shared" si="115"/>
        <v>-30779.919999999998</v>
      </c>
      <c r="AM91" s="49">
        <f t="shared" si="115"/>
        <v>-35029.919999999998</v>
      </c>
      <c r="AN91" s="49">
        <f t="shared" si="115"/>
        <v>-32646.92</v>
      </c>
      <c r="AO91" s="49">
        <f t="shared" si="115"/>
        <v>-22390.92</v>
      </c>
      <c r="AP91" s="49">
        <f t="shared" si="115"/>
        <v>-317925.67999999993</v>
      </c>
      <c r="AQ91" s="141"/>
      <c r="AR91" s="141"/>
      <c r="AS91" s="117"/>
    </row>
    <row r="92" spans="1:45" ht="15.75" thickTop="1" x14ac:dyDescent="0.25">
      <c r="A92" s="45" t="s">
        <v>520</v>
      </c>
      <c r="C92" s="8"/>
      <c r="E92" s="8"/>
      <c r="G92" s="8"/>
      <c r="N92" s="126">
        <v>12057</v>
      </c>
      <c r="Q92" s="113"/>
      <c r="R92" s="48">
        <f>AD92</f>
        <v>166376</v>
      </c>
      <c r="S92" s="48">
        <f>R119</f>
        <v>16552</v>
      </c>
      <c r="T92" s="48">
        <f t="shared" ref="T92:U92" si="116">S119</f>
        <v>-995</v>
      </c>
      <c r="U92" s="48">
        <f t="shared" si="116"/>
        <v>-71393.919999999998</v>
      </c>
      <c r="V92" s="48">
        <f>R92</f>
        <v>166376</v>
      </c>
      <c r="Y92" s="113"/>
      <c r="AA92" s="126">
        <v>12057</v>
      </c>
      <c r="AB92" s="126">
        <v>4406</v>
      </c>
      <c r="AC92" s="126">
        <f>AB119</f>
        <v>-12119.299999999988</v>
      </c>
      <c r="AD92" s="126">
        <v>166376</v>
      </c>
      <c r="AE92" s="126">
        <f>AD119</f>
        <v>-3652</v>
      </c>
      <c r="AF92" s="126">
        <f t="shared" ref="AF92:AO92" si="117">AE119</f>
        <v>-2956</v>
      </c>
      <c r="AG92" s="126">
        <f t="shared" si="117"/>
        <v>16552</v>
      </c>
      <c r="AH92" s="126">
        <f t="shared" si="117"/>
        <v>-1655</v>
      </c>
      <c r="AI92" s="126">
        <f t="shared" si="117"/>
        <v>27</v>
      </c>
      <c r="AJ92" s="126">
        <f t="shared" si="117"/>
        <v>-995</v>
      </c>
      <c r="AK92" s="126">
        <f t="shared" si="117"/>
        <v>-590</v>
      </c>
      <c r="AL92" s="126">
        <f t="shared" si="117"/>
        <v>-55239</v>
      </c>
      <c r="AM92" s="126">
        <f t="shared" si="117"/>
        <v>-86018.92</v>
      </c>
      <c r="AN92" s="126">
        <f t="shared" si="117"/>
        <v>-121048.84</v>
      </c>
      <c r="AO92" s="126">
        <f t="shared" si="117"/>
        <v>-153695.76</v>
      </c>
      <c r="AP92" s="126">
        <f>AD92</f>
        <v>166376</v>
      </c>
      <c r="AS92" s="113"/>
    </row>
    <row r="93" spans="1:45" hidden="1" x14ac:dyDescent="0.25">
      <c r="A93" s="45" t="s">
        <v>200</v>
      </c>
      <c r="C93" s="8"/>
      <c r="E93" s="8"/>
      <c r="G93" s="8"/>
    </row>
    <row r="94" spans="1:45" hidden="1" x14ac:dyDescent="0.25">
      <c r="A94" s="45"/>
      <c r="B94" t="s">
        <v>201</v>
      </c>
      <c r="C94" s="8"/>
      <c r="E94" s="8"/>
      <c r="G94" s="8"/>
    </row>
    <row r="95" spans="1:45" hidden="1" x14ac:dyDescent="0.25">
      <c r="A95" s="45"/>
      <c r="B95" t="s">
        <v>153</v>
      </c>
      <c r="C95" s="8"/>
      <c r="E95" s="8"/>
      <c r="G95" s="8"/>
      <c r="K95" s="22"/>
      <c r="L95" s="22"/>
      <c r="M95" s="22"/>
      <c r="N95" s="22"/>
      <c r="O95" s="22"/>
      <c r="Q95" s="119"/>
      <c r="R95" s="22"/>
      <c r="S95" s="22"/>
      <c r="T95" s="22"/>
      <c r="U95" s="22"/>
      <c r="V95" s="22"/>
      <c r="X95" s="22"/>
      <c r="Y95" s="119"/>
      <c r="Z95" s="146"/>
      <c r="AA95" s="146"/>
      <c r="AB95" s="146"/>
      <c r="AC95" s="146"/>
      <c r="AD95" s="146"/>
      <c r="AE95" s="146"/>
      <c r="AF95" s="146"/>
      <c r="AG95" s="146"/>
      <c r="AH95" s="146"/>
      <c r="AI95" s="146"/>
      <c r="AJ95" s="146"/>
      <c r="AK95" s="146"/>
      <c r="AL95" s="146"/>
      <c r="AM95" s="146"/>
      <c r="AN95" s="146"/>
      <c r="AO95" s="146"/>
      <c r="AP95" s="146"/>
      <c r="AS95" s="119"/>
    </row>
    <row r="96" spans="1:45" hidden="1" x14ac:dyDescent="0.25">
      <c r="A96" s="45"/>
      <c r="B96" t="s">
        <v>152</v>
      </c>
      <c r="C96" s="8"/>
      <c r="E96" s="8"/>
      <c r="G96" s="8"/>
      <c r="K96" s="22"/>
      <c r="L96" s="22"/>
      <c r="M96" s="22"/>
      <c r="N96" s="22"/>
      <c r="O96" s="22"/>
      <c r="Q96" s="119"/>
      <c r="R96" s="22"/>
      <c r="S96" s="22"/>
      <c r="T96" s="22"/>
      <c r="U96" s="22"/>
      <c r="V96" s="22"/>
      <c r="X96" s="22"/>
      <c r="Y96" s="119"/>
      <c r="Z96" s="146"/>
      <c r="AA96" s="146"/>
      <c r="AB96" s="146"/>
      <c r="AC96" s="146"/>
      <c r="AD96" s="146"/>
      <c r="AE96" s="146"/>
      <c r="AF96" s="146"/>
      <c r="AG96" s="146"/>
      <c r="AH96" s="146"/>
      <c r="AI96" s="146"/>
      <c r="AJ96" s="146"/>
      <c r="AK96" s="146"/>
      <c r="AL96" s="146"/>
      <c r="AM96" s="146"/>
      <c r="AN96" s="146"/>
      <c r="AO96" s="146"/>
      <c r="AP96" s="146"/>
      <c r="AS96" s="119"/>
    </row>
    <row r="97" spans="1:45" hidden="1" x14ac:dyDescent="0.25">
      <c r="A97" s="45"/>
      <c r="B97" t="s">
        <v>150</v>
      </c>
      <c r="C97" s="8"/>
      <c r="E97" s="8"/>
      <c r="G97" s="8"/>
      <c r="K97" s="22"/>
      <c r="L97" s="22"/>
      <c r="M97" s="22"/>
      <c r="N97" s="22"/>
      <c r="O97" s="22"/>
      <c r="Q97" s="119"/>
      <c r="R97" s="22"/>
      <c r="S97" s="22"/>
      <c r="T97" s="22"/>
      <c r="U97" s="22"/>
      <c r="V97" s="22"/>
      <c r="X97" s="22"/>
      <c r="Y97" s="119"/>
      <c r="Z97" s="146"/>
      <c r="AA97" s="146"/>
      <c r="AB97" s="146"/>
      <c r="AC97" s="146"/>
      <c r="AD97" s="146"/>
      <c r="AE97" s="146"/>
      <c r="AF97" s="146"/>
      <c r="AG97" s="146"/>
      <c r="AH97" s="146"/>
      <c r="AI97" s="146"/>
      <c r="AJ97" s="146"/>
      <c r="AK97" s="146"/>
      <c r="AL97" s="146"/>
      <c r="AM97" s="146"/>
      <c r="AN97" s="146"/>
      <c r="AO97" s="146"/>
      <c r="AP97" s="146"/>
      <c r="AS97" s="119"/>
    </row>
    <row r="98" spans="1:45" hidden="1" x14ac:dyDescent="0.25">
      <c r="A98" s="45"/>
      <c r="B98" t="s">
        <v>151</v>
      </c>
      <c r="C98" s="8"/>
      <c r="E98" s="8"/>
      <c r="G98" s="8"/>
      <c r="K98" s="22"/>
      <c r="L98" s="22"/>
      <c r="M98" s="22"/>
      <c r="N98" s="22"/>
      <c r="O98" s="22"/>
      <c r="Q98" s="119"/>
      <c r="R98" s="22"/>
      <c r="S98" s="22"/>
      <c r="T98" s="22"/>
      <c r="U98" s="22"/>
      <c r="V98" s="22"/>
      <c r="X98" s="22"/>
      <c r="Y98" s="119"/>
      <c r="Z98" s="146"/>
      <c r="AA98" s="146"/>
      <c r="AB98" s="146"/>
      <c r="AC98" s="146"/>
      <c r="AD98" s="146"/>
      <c r="AE98" s="146"/>
      <c r="AF98" s="146"/>
      <c r="AG98" s="146"/>
      <c r="AH98" s="146"/>
      <c r="AI98" s="146"/>
      <c r="AJ98" s="146"/>
      <c r="AK98" s="146"/>
      <c r="AL98" s="146"/>
      <c r="AM98" s="146"/>
      <c r="AN98" s="146"/>
      <c r="AO98" s="146"/>
      <c r="AP98" s="146"/>
      <c r="AS98" s="119"/>
    </row>
    <row r="99" spans="1:45" hidden="1" x14ac:dyDescent="0.25">
      <c r="A99" s="45"/>
      <c r="B99" t="s">
        <v>203</v>
      </c>
      <c r="C99" s="8"/>
      <c r="E99" s="8"/>
      <c r="G99" s="8"/>
      <c r="K99" s="22"/>
      <c r="L99" s="22"/>
      <c r="M99" s="22"/>
      <c r="N99" s="22"/>
      <c r="O99" s="22"/>
      <c r="Q99" s="119"/>
      <c r="R99" s="22"/>
      <c r="S99" s="22"/>
      <c r="T99" s="22"/>
      <c r="U99" s="22"/>
      <c r="V99" s="22"/>
      <c r="X99" s="22"/>
      <c r="Y99" s="119"/>
      <c r="Z99" s="146"/>
      <c r="AA99" s="146"/>
      <c r="AB99" s="146"/>
      <c r="AC99" s="146"/>
      <c r="AD99" s="146"/>
      <c r="AE99" s="146"/>
      <c r="AF99" s="146"/>
      <c r="AG99" s="146"/>
      <c r="AH99" s="146"/>
      <c r="AI99" s="146"/>
      <c r="AJ99" s="146"/>
      <c r="AK99" s="146"/>
      <c r="AL99" s="146"/>
      <c r="AM99" s="146"/>
      <c r="AN99" s="146"/>
      <c r="AO99" s="146"/>
      <c r="AP99" s="146"/>
      <c r="AS99" s="119"/>
    </row>
    <row r="100" spans="1:45" hidden="1" x14ac:dyDescent="0.25">
      <c r="A100" s="45"/>
      <c r="B100" t="s">
        <v>202</v>
      </c>
      <c r="C100" s="8"/>
      <c r="E100" s="8"/>
      <c r="G100" s="8"/>
      <c r="K100" s="22"/>
      <c r="L100" s="22"/>
      <c r="M100" s="22"/>
      <c r="N100" s="22"/>
      <c r="O100" s="22"/>
      <c r="Q100" s="119"/>
      <c r="R100" s="22"/>
      <c r="S100" s="22"/>
      <c r="T100" s="22"/>
      <c r="U100" s="22"/>
      <c r="V100" s="22"/>
      <c r="X100" s="22"/>
      <c r="Y100" s="119"/>
      <c r="Z100" s="146"/>
      <c r="AA100" s="146"/>
      <c r="AB100" s="146"/>
      <c r="AC100" s="146"/>
      <c r="AD100" s="146"/>
      <c r="AE100" s="146"/>
      <c r="AF100" s="146"/>
      <c r="AG100" s="146"/>
      <c r="AH100" s="146"/>
      <c r="AI100" s="146"/>
      <c r="AJ100" s="146"/>
      <c r="AK100" s="146"/>
      <c r="AL100" s="146"/>
      <c r="AM100" s="146"/>
      <c r="AN100" s="146"/>
      <c r="AO100" s="146"/>
      <c r="AP100" s="146"/>
      <c r="AS100" s="119"/>
    </row>
    <row r="101" spans="1:45" hidden="1" x14ac:dyDescent="0.25">
      <c r="A101" s="45"/>
      <c r="B101" t="s">
        <v>153</v>
      </c>
      <c r="C101" s="8"/>
      <c r="E101" s="8"/>
      <c r="G101" s="8"/>
      <c r="K101" s="22">
        <v>0.38</v>
      </c>
      <c r="L101" s="22">
        <v>0.38</v>
      </c>
      <c r="M101" s="22">
        <v>0.38</v>
      </c>
      <c r="N101" s="22">
        <v>0.38</v>
      </c>
      <c r="O101" s="22">
        <v>0.38</v>
      </c>
      <c r="Q101" s="119"/>
      <c r="R101" s="22">
        <v>0.38</v>
      </c>
      <c r="S101" s="22">
        <v>0.38</v>
      </c>
      <c r="T101" s="22">
        <v>0.38</v>
      </c>
      <c r="U101" s="22"/>
      <c r="V101" s="22">
        <v>0.38</v>
      </c>
      <c r="X101" s="22"/>
      <c r="Y101" s="119"/>
      <c r="Z101" s="146">
        <v>0.38</v>
      </c>
      <c r="AA101" s="146"/>
      <c r="AB101" s="146"/>
      <c r="AC101" s="146"/>
      <c r="AD101" s="146"/>
      <c r="AE101" s="146"/>
      <c r="AF101" s="146"/>
      <c r="AG101" s="146"/>
      <c r="AH101" s="146"/>
      <c r="AI101" s="146"/>
      <c r="AJ101" s="146"/>
      <c r="AK101" s="146"/>
      <c r="AL101" s="146"/>
      <c r="AM101" s="146"/>
      <c r="AN101" s="146"/>
      <c r="AO101" s="146"/>
      <c r="AP101" s="146">
        <v>0.38</v>
      </c>
      <c r="AS101" s="119"/>
    </row>
    <row r="102" spans="1:45" hidden="1" x14ac:dyDescent="0.25">
      <c r="A102" s="45"/>
      <c r="B102" t="s">
        <v>152</v>
      </c>
      <c r="C102" s="8"/>
      <c r="E102" s="8"/>
      <c r="G102" s="8"/>
      <c r="K102" s="22">
        <v>0.38</v>
      </c>
      <c r="L102" s="22">
        <v>0.38</v>
      </c>
      <c r="M102" s="22">
        <v>0.38</v>
      </c>
      <c r="N102" s="22">
        <v>0.38</v>
      </c>
      <c r="O102" s="22">
        <v>0.38</v>
      </c>
      <c r="Q102" s="119"/>
      <c r="R102" s="22">
        <v>0.38</v>
      </c>
      <c r="S102" s="22">
        <v>0.38</v>
      </c>
      <c r="T102" s="22">
        <v>0.38</v>
      </c>
      <c r="U102" s="22"/>
      <c r="V102" s="22">
        <v>0.38</v>
      </c>
      <c r="X102" s="22"/>
      <c r="Y102" s="119"/>
      <c r="Z102" s="146">
        <v>0.38</v>
      </c>
      <c r="AA102" s="146"/>
      <c r="AB102" s="146"/>
      <c r="AC102" s="146"/>
      <c r="AD102" s="146"/>
      <c r="AE102" s="146"/>
      <c r="AF102" s="146"/>
      <c r="AG102" s="146"/>
      <c r="AH102" s="146"/>
      <c r="AI102" s="146"/>
      <c r="AJ102" s="146"/>
      <c r="AK102" s="146"/>
      <c r="AL102" s="146"/>
      <c r="AM102" s="146"/>
      <c r="AN102" s="146"/>
      <c r="AO102" s="146"/>
      <c r="AP102" s="146">
        <v>0.38</v>
      </c>
      <c r="AS102" s="119"/>
    </row>
    <row r="103" spans="1:45" hidden="1" x14ac:dyDescent="0.25">
      <c r="A103" s="45"/>
      <c r="B103" t="s">
        <v>150</v>
      </c>
      <c r="C103" s="8"/>
      <c r="E103" s="8"/>
      <c r="G103" s="8"/>
      <c r="K103" s="22">
        <v>0.49</v>
      </c>
      <c r="L103" s="22">
        <v>0.49</v>
      </c>
      <c r="M103" s="22">
        <v>0.49</v>
      </c>
      <c r="N103" s="22">
        <v>0.49</v>
      </c>
      <c r="O103" s="22">
        <v>0.49</v>
      </c>
      <c r="Q103" s="119"/>
      <c r="R103" s="22">
        <v>0.49</v>
      </c>
      <c r="S103" s="22">
        <v>0.49</v>
      </c>
      <c r="T103" s="22">
        <v>0.49</v>
      </c>
      <c r="U103" s="22"/>
      <c r="V103" s="22">
        <v>0.49</v>
      </c>
      <c r="X103" s="22"/>
      <c r="Y103" s="119"/>
      <c r="Z103" s="146">
        <v>0.49</v>
      </c>
      <c r="AA103" s="146"/>
      <c r="AB103" s="146"/>
      <c r="AC103" s="146"/>
      <c r="AD103" s="146"/>
      <c r="AE103" s="146"/>
      <c r="AF103" s="146"/>
      <c r="AG103" s="146"/>
      <c r="AH103" s="146"/>
      <c r="AI103" s="146"/>
      <c r="AJ103" s="146"/>
      <c r="AK103" s="146"/>
      <c r="AL103" s="146"/>
      <c r="AM103" s="146"/>
      <c r="AN103" s="146"/>
      <c r="AO103" s="146"/>
      <c r="AP103" s="146">
        <v>0.49</v>
      </c>
      <c r="AS103" s="119"/>
    </row>
    <row r="104" spans="1:45" hidden="1" x14ac:dyDescent="0.25">
      <c r="A104" s="45"/>
      <c r="B104" t="s">
        <v>151</v>
      </c>
      <c r="C104" s="8"/>
      <c r="E104" s="8"/>
      <c r="G104" s="8"/>
      <c r="K104" s="22">
        <v>0.43</v>
      </c>
      <c r="L104" s="22">
        <v>0.43</v>
      </c>
      <c r="M104" s="22">
        <v>0.43</v>
      </c>
      <c r="N104" s="22">
        <v>0.43</v>
      </c>
      <c r="O104" s="22">
        <v>0.43</v>
      </c>
      <c r="Q104" s="119"/>
      <c r="R104" s="22">
        <v>0.43</v>
      </c>
      <c r="S104" s="22">
        <v>0.43</v>
      </c>
      <c r="T104" s="22">
        <v>0.43</v>
      </c>
      <c r="U104" s="22"/>
      <c r="V104" s="22">
        <v>0.43</v>
      </c>
      <c r="X104" s="22"/>
      <c r="Y104" s="119"/>
      <c r="Z104" s="146">
        <v>0.43</v>
      </c>
      <c r="AA104" s="146"/>
      <c r="AB104" s="146"/>
      <c r="AC104" s="146"/>
      <c r="AD104" s="146"/>
      <c r="AE104" s="146"/>
      <c r="AF104" s="146"/>
      <c r="AG104" s="146"/>
      <c r="AH104" s="146"/>
      <c r="AI104" s="146"/>
      <c r="AJ104" s="146"/>
      <c r="AK104" s="146"/>
      <c r="AL104" s="146"/>
      <c r="AM104" s="146"/>
      <c r="AN104" s="146"/>
      <c r="AO104" s="146"/>
      <c r="AP104" s="146">
        <v>0.43</v>
      </c>
      <c r="AS104" s="119"/>
    </row>
    <row r="105" spans="1:45" hidden="1" x14ac:dyDescent="0.25">
      <c r="A105" s="45"/>
      <c r="B105" t="s">
        <v>246</v>
      </c>
      <c r="C105" s="8"/>
      <c r="E105" s="8"/>
      <c r="G105" s="8"/>
      <c r="K105" s="22">
        <v>0.2</v>
      </c>
      <c r="L105" s="22">
        <v>0.22</v>
      </c>
      <c r="M105" s="22">
        <v>0.23</v>
      </c>
      <c r="N105" s="22">
        <v>0.35</v>
      </c>
      <c r="O105" s="22">
        <f>SUM(K105:N105)</f>
        <v>1</v>
      </c>
      <c r="R105" s="22">
        <v>0.2</v>
      </c>
      <c r="S105" s="22">
        <v>0.22</v>
      </c>
      <c r="T105" s="22">
        <v>0.23</v>
      </c>
      <c r="U105" s="22"/>
      <c r="V105" s="22">
        <f>SUM(R105:U105)</f>
        <v>0.65</v>
      </c>
      <c r="Z105" s="146">
        <v>0.23</v>
      </c>
      <c r="AA105" s="146"/>
      <c r="AB105" s="146"/>
      <c r="AC105" s="146"/>
      <c r="AD105" s="146"/>
      <c r="AE105" s="146"/>
      <c r="AF105" s="146"/>
      <c r="AG105" s="146"/>
      <c r="AH105" s="146"/>
      <c r="AI105" s="146"/>
      <c r="AJ105" s="146"/>
      <c r="AK105" s="146"/>
      <c r="AL105" s="146"/>
      <c r="AM105" s="146"/>
      <c r="AN105" s="146"/>
      <c r="AO105" s="146"/>
      <c r="AP105" s="146">
        <f>SUM(Z105:AO105)</f>
        <v>0.23</v>
      </c>
    </row>
    <row r="106" spans="1:45" hidden="1" x14ac:dyDescent="0.25">
      <c r="A106" s="45"/>
      <c r="C106" s="8"/>
      <c r="E106" s="8"/>
      <c r="G106" s="8"/>
    </row>
    <row r="107" spans="1:45" hidden="1" x14ac:dyDescent="0.25">
      <c r="A107" s="45"/>
      <c r="C107" s="8"/>
      <c r="E107" s="8"/>
      <c r="G107" s="8"/>
    </row>
    <row r="108" spans="1:45" hidden="1" x14ac:dyDescent="0.25">
      <c r="A108" s="151" t="s">
        <v>194</v>
      </c>
      <c r="B108" s="12"/>
      <c r="C108" s="13"/>
      <c r="E108" s="13"/>
      <c r="G108" s="13"/>
    </row>
    <row r="109" spans="1:45" hidden="1" x14ac:dyDescent="0.25">
      <c r="A109" s="152"/>
      <c r="C109" s="15" t="s">
        <v>195</v>
      </c>
      <c r="E109" s="15" t="s">
        <v>196</v>
      </c>
      <c r="G109" s="15" t="s">
        <v>197</v>
      </c>
    </row>
    <row r="110" spans="1:45" hidden="1" x14ac:dyDescent="0.25">
      <c r="A110" s="152"/>
      <c r="B110" t="s">
        <v>153</v>
      </c>
      <c r="C110" s="17">
        <v>4.1500000000000004</v>
      </c>
      <c r="E110" s="17">
        <v>6.22</v>
      </c>
      <c r="G110" s="17">
        <v>12</v>
      </c>
    </row>
    <row r="111" spans="1:45" hidden="1" x14ac:dyDescent="0.25">
      <c r="A111" s="152"/>
      <c r="B111" t="s">
        <v>152</v>
      </c>
      <c r="C111" s="17">
        <v>4.1500000000000004</v>
      </c>
      <c r="E111" s="17">
        <v>6.22</v>
      </c>
      <c r="G111" s="17">
        <v>12</v>
      </c>
    </row>
    <row r="112" spans="1:45" hidden="1" x14ac:dyDescent="0.25">
      <c r="A112" s="152"/>
      <c r="B112" t="s">
        <v>150</v>
      </c>
      <c r="C112" s="17">
        <v>3.15</v>
      </c>
      <c r="E112" s="17">
        <v>5.0999999999999996</v>
      </c>
      <c r="G112" s="17">
        <v>9.6</v>
      </c>
    </row>
    <row r="113" spans="1:45" hidden="1" x14ac:dyDescent="0.25">
      <c r="A113" s="152"/>
      <c r="B113" t="s">
        <v>151</v>
      </c>
      <c r="C113" s="17">
        <v>3.5</v>
      </c>
      <c r="E113" s="17">
        <v>5.0999999999999996</v>
      </c>
      <c r="G113" s="17">
        <v>10</v>
      </c>
    </row>
    <row r="114" spans="1:45" hidden="1" x14ac:dyDescent="0.25">
      <c r="A114" s="154"/>
      <c r="B114" s="19" t="s">
        <v>199</v>
      </c>
      <c r="C114" s="20">
        <v>1.58</v>
      </c>
      <c r="E114" s="20">
        <v>2</v>
      </c>
      <c r="G114" s="20">
        <v>4.08</v>
      </c>
    </row>
    <row r="115" spans="1:45" hidden="1" x14ac:dyDescent="0.25">
      <c r="A115" s="45"/>
      <c r="C115" s="8"/>
      <c r="E115" s="8"/>
      <c r="G115" s="8"/>
      <c r="AN115" s="108">
        <f>70000/0.4</f>
        <v>175000</v>
      </c>
    </row>
    <row r="116" spans="1:45" hidden="1" x14ac:dyDescent="0.25">
      <c r="A116" s="45"/>
      <c r="C116" s="22"/>
      <c r="E116" s="22"/>
      <c r="G116" s="22"/>
    </row>
    <row r="117" spans="1:45" hidden="1" x14ac:dyDescent="0.25">
      <c r="A117" s="45"/>
      <c r="C117" s="8"/>
      <c r="E117" s="8"/>
      <c r="G117" s="8"/>
    </row>
    <row r="118" spans="1:45" hidden="1" x14ac:dyDescent="0.25">
      <c r="A118" s="45"/>
      <c r="C118" s="8"/>
      <c r="E118" s="8"/>
      <c r="G118" s="8"/>
    </row>
    <row r="119" spans="1:45" ht="15.75" thickBot="1" x14ac:dyDescent="0.3">
      <c r="A119" s="45" t="s">
        <v>521</v>
      </c>
      <c r="N119" s="130">
        <f>N91+N92</f>
        <v>166161</v>
      </c>
      <c r="R119" s="130">
        <f t="shared" ref="R119:V119" si="118">R91+R92</f>
        <v>16552</v>
      </c>
      <c r="S119" s="130">
        <f t="shared" si="118"/>
        <v>-995</v>
      </c>
      <c r="T119" s="130">
        <f t="shared" si="118"/>
        <v>-71393.919999999998</v>
      </c>
      <c r="U119" s="130">
        <f t="shared" si="118"/>
        <v>-151549.68</v>
      </c>
      <c r="V119" s="130">
        <f t="shared" si="118"/>
        <v>-151549.67999999993</v>
      </c>
      <c r="AA119" s="130">
        <f>AA91+AA92</f>
        <v>4405</v>
      </c>
      <c r="AB119" s="130">
        <f>AB91+AB92</f>
        <v>-12119.299999999988</v>
      </c>
      <c r="AC119" s="130">
        <f t="shared" ref="AC119:AP119" si="119">AC91+AC92</f>
        <v>166376</v>
      </c>
      <c r="AD119" s="130">
        <f t="shared" si="119"/>
        <v>-3652</v>
      </c>
      <c r="AE119" s="130">
        <f t="shared" si="119"/>
        <v>-2956</v>
      </c>
      <c r="AF119" s="130">
        <f t="shared" si="119"/>
        <v>16552</v>
      </c>
      <c r="AG119" s="130">
        <f t="shared" si="119"/>
        <v>-1655</v>
      </c>
      <c r="AH119" s="130">
        <f t="shared" si="119"/>
        <v>27</v>
      </c>
      <c r="AI119" s="130">
        <f t="shared" si="119"/>
        <v>-995</v>
      </c>
      <c r="AJ119" s="130">
        <f t="shared" si="119"/>
        <v>-590</v>
      </c>
      <c r="AK119" s="130">
        <f t="shared" si="119"/>
        <v>-55239</v>
      </c>
      <c r="AL119" s="130">
        <f t="shared" si="119"/>
        <v>-86018.92</v>
      </c>
      <c r="AM119" s="130">
        <f t="shared" si="119"/>
        <v>-121048.84</v>
      </c>
      <c r="AN119" s="130">
        <f t="shared" si="119"/>
        <v>-153695.76</v>
      </c>
      <c r="AO119" s="130">
        <f t="shared" si="119"/>
        <v>-176086.68</v>
      </c>
      <c r="AP119" s="130">
        <f t="shared" si="119"/>
        <v>-151549.67999999993</v>
      </c>
    </row>
    <row r="120" spans="1:45" ht="15.75" thickTop="1" x14ac:dyDescent="0.25">
      <c r="AE120" s="140"/>
    </row>
    <row r="121" spans="1:45" s="39" customFormat="1" x14ac:dyDescent="0.25">
      <c r="A121" s="105" t="s">
        <v>522</v>
      </c>
      <c r="B121" s="105"/>
      <c r="C121" s="105"/>
      <c r="D121" s="175"/>
      <c r="E121" s="105"/>
      <c r="F121" s="175"/>
      <c r="G121" s="105"/>
      <c r="H121" s="175"/>
      <c r="I121" s="105"/>
      <c r="J121" s="175"/>
      <c r="K121" s="105"/>
      <c r="L121" s="105"/>
      <c r="M121" s="105"/>
      <c r="N121" s="105"/>
      <c r="O121" s="105"/>
      <c r="P121" s="175"/>
      <c r="Q121" s="180"/>
      <c r="R121" s="105"/>
      <c r="S121" s="105"/>
      <c r="T121" s="105"/>
      <c r="U121" s="105"/>
      <c r="V121" s="105"/>
      <c r="W121" s="175"/>
      <c r="X121" s="105"/>
      <c r="Y121" s="180"/>
      <c r="Z121" s="105"/>
      <c r="AA121" s="105"/>
      <c r="AB121" s="105"/>
      <c r="AC121" s="105"/>
      <c r="AD121" s="105"/>
      <c r="AE121" s="105"/>
      <c r="AF121" s="140"/>
      <c r="AG121" s="140"/>
      <c r="AH121" s="140"/>
      <c r="AI121" s="140"/>
      <c r="AJ121" s="140"/>
      <c r="AK121" s="140"/>
      <c r="AL121" s="140"/>
      <c r="AM121" s="140"/>
      <c r="AN121" s="140"/>
      <c r="AO121" s="140"/>
      <c r="AP121" s="140"/>
      <c r="AQ121" s="143"/>
      <c r="AR121" s="143"/>
      <c r="AS121" s="156"/>
    </row>
    <row r="122" spans="1:45" s="39" customFormat="1" x14ac:dyDescent="0.25">
      <c r="A122" s="105"/>
      <c r="B122" s="105" t="s">
        <v>523</v>
      </c>
      <c r="C122" s="105"/>
      <c r="D122" s="175"/>
      <c r="E122" s="105"/>
      <c r="F122" s="175"/>
      <c r="G122" s="105"/>
      <c r="H122" s="175"/>
      <c r="I122" s="105"/>
      <c r="J122" s="175"/>
      <c r="K122" s="105"/>
      <c r="L122" s="105"/>
      <c r="M122" s="105"/>
      <c r="N122" s="105"/>
      <c r="O122" s="105"/>
      <c r="P122" s="175"/>
      <c r="Q122" s="180"/>
      <c r="R122" s="105"/>
      <c r="S122" s="105"/>
      <c r="T122" s="105"/>
      <c r="U122" s="105"/>
      <c r="V122" s="105"/>
      <c r="W122" s="175"/>
      <c r="X122" s="105"/>
      <c r="Y122" s="180"/>
      <c r="Z122" s="105"/>
      <c r="AA122" s="105"/>
      <c r="AB122" s="105"/>
      <c r="AC122" s="105"/>
      <c r="AD122" s="105"/>
      <c r="AE122" s="105"/>
      <c r="AF122" s="140"/>
      <c r="AG122" s="140"/>
      <c r="AH122" s="140"/>
      <c r="AI122" s="140"/>
      <c r="AJ122" s="140"/>
      <c r="AK122" s="140"/>
      <c r="AL122" s="140"/>
      <c r="AM122" s="140"/>
      <c r="AN122" s="140"/>
      <c r="AO122" s="140"/>
      <c r="AP122" s="140"/>
      <c r="AQ122" s="143"/>
      <c r="AR122" s="143"/>
      <c r="AS122" s="156"/>
    </row>
    <row r="123" spans="1:45" s="39" customFormat="1" x14ac:dyDescent="0.25">
      <c r="A123" s="105"/>
      <c r="B123" s="105" t="s">
        <v>1792</v>
      </c>
      <c r="C123" s="105"/>
      <c r="D123" s="175"/>
      <c r="E123" s="105"/>
      <c r="F123" s="175"/>
      <c r="G123" s="105"/>
      <c r="H123" s="175"/>
      <c r="I123" s="105"/>
      <c r="J123" s="175"/>
      <c r="K123" s="105"/>
      <c r="L123" s="105"/>
      <c r="M123" s="105"/>
      <c r="N123" s="105"/>
      <c r="O123" s="105"/>
      <c r="P123" s="175"/>
      <c r="Q123" s="180"/>
      <c r="R123" s="105"/>
      <c r="S123" s="105"/>
      <c r="T123" s="105"/>
      <c r="U123" s="105"/>
      <c r="V123" s="105"/>
      <c r="W123" s="175"/>
      <c r="X123" s="183">
        <v>5600</v>
      </c>
      <c r="Y123" s="180"/>
      <c r="Z123" s="176">
        <v>59170</v>
      </c>
      <c r="AA123" s="176">
        <v>47982</v>
      </c>
      <c r="AB123" s="176">
        <v>42582</v>
      </c>
      <c r="AC123" s="176">
        <v>42582</v>
      </c>
      <c r="AD123" s="176">
        <v>31782</v>
      </c>
      <c r="AE123" s="176">
        <v>31782</v>
      </c>
      <c r="AF123" s="176">
        <v>31782</v>
      </c>
      <c r="AG123" s="176">
        <v>31782</v>
      </c>
      <c r="AH123" s="176">
        <v>31782</v>
      </c>
      <c r="AI123" s="176">
        <v>31782</v>
      </c>
      <c r="AJ123" s="176">
        <v>26382</v>
      </c>
      <c r="AK123" s="157"/>
      <c r="AL123" s="157"/>
      <c r="AM123" s="157"/>
      <c r="AN123" s="157"/>
      <c r="AO123" s="157"/>
      <c r="AP123" s="140" t="s">
        <v>1781</v>
      </c>
      <c r="AQ123" s="143"/>
      <c r="AR123" s="143"/>
      <c r="AS123" s="156"/>
    </row>
    <row r="124" spans="1:45" s="39" customFormat="1" x14ac:dyDescent="0.25">
      <c r="A124" s="105"/>
      <c r="B124" s="105" t="s">
        <v>524</v>
      </c>
      <c r="C124" s="105"/>
      <c r="D124" s="175"/>
      <c r="E124" s="105"/>
      <c r="F124" s="175"/>
      <c r="G124" s="105"/>
      <c r="H124" s="175"/>
      <c r="I124" s="105"/>
      <c r="J124" s="175"/>
      <c r="K124" s="105"/>
      <c r="L124" s="105"/>
      <c r="M124" s="105"/>
      <c r="N124" s="105"/>
      <c r="O124" s="105"/>
      <c r="P124" s="175"/>
      <c r="Q124" s="180"/>
      <c r="R124" s="105"/>
      <c r="S124" s="105"/>
      <c r="T124" s="105"/>
      <c r="U124" s="105"/>
      <c r="V124" s="105"/>
      <c r="W124" s="175"/>
      <c r="X124" s="183">
        <v>250</v>
      </c>
      <c r="Y124" s="180"/>
      <c r="Z124" s="176">
        <v>6337</v>
      </c>
      <c r="AA124" s="176">
        <v>3632</v>
      </c>
      <c r="AB124" s="176">
        <v>8682</v>
      </c>
      <c r="AC124" s="176">
        <v>8931</v>
      </c>
      <c r="AD124" s="176">
        <v>6561</v>
      </c>
      <c r="AE124" s="176">
        <v>9012</v>
      </c>
      <c r="AF124" s="176">
        <v>8588</v>
      </c>
      <c r="AG124" s="176">
        <v>9101</v>
      </c>
      <c r="AH124" s="176">
        <v>8943</v>
      </c>
      <c r="AI124" s="176">
        <v>9111</v>
      </c>
      <c r="AJ124" s="176">
        <v>8861</v>
      </c>
      <c r="AK124" s="157"/>
      <c r="AL124" s="157"/>
      <c r="AM124" s="157"/>
      <c r="AN124" s="157"/>
      <c r="AO124" s="157"/>
      <c r="AP124" s="140" t="s">
        <v>2128</v>
      </c>
      <c r="AQ124" s="143"/>
      <c r="AR124" s="143"/>
      <c r="AS124" s="156"/>
    </row>
    <row r="125" spans="1:45" s="39" customFormat="1" x14ac:dyDescent="0.25">
      <c r="A125" s="105"/>
      <c r="B125" s="105" t="s">
        <v>2133</v>
      </c>
      <c r="C125" s="105"/>
      <c r="D125" s="175"/>
      <c r="E125" s="105"/>
      <c r="F125" s="175"/>
      <c r="G125" s="105"/>
      <c r="H125" s="175"/>
      <c r="I125" s="105"/>
      <c r="J125" s="175"/>
      <c r="K125" s="105"/>
      <c r="L125" s="105"/>
      <c r="M125" s="105"/>
      <c r="N125" s="105"/>
      <c r="O125" s="105"/>
      <c r="P125" s="175"/>
      <c r="Q125" s="180"/>
      <c r="R125" s="105"/>
      <c r="S125" s="105"/>
      <c r="T125" s="105"/>
      <c r="U125" s="105"/>
      <c r="V125" s="105"/>
      <c r="W125" s="175"/>
      <c r="X125" s="183">
        <v>1750</v>
      </c>
      <c r="Y125" s="180"/>
      <c r="Z125" s="176">
        <v>64197</v>
      </c>
      <c r="AA125" s="176">
        <v>63506</v>
      </c>
      <c r="AB125" s="176">
        <v>62896</v>
      </c>
      <c r="AC125" s="176">
        <v>62220</v>
      </c>
      <c r="AD125" s="176">
        <v>61823</v>
      </c>
      <c r="AE125" s="176">
        <v>61197</v>
      </c>
      <c r="AF125" s="176">
        <v>60542</v>
      </c>
      <c r="AG125" s="176">
        <v>59989</v>
      </c>
      <c r="AH125" s="176">
        <v>61045</v>
      </c>
      <c r="AI125" s="176">
        <v>62195</v>
      </c>
      <c r="AJ125" s="176">
        <v>63290</v>
      </c>
      <c r="AK125" s="157"/>
      <c r="AL125" s="157"/>
      <c r="AM125" s="157"/>
      <c r="AN125" s="157"/>
      <c r="AO125" s="157"/>
      <c r="AP125" s="140" t="s">
        <v>2129</v>
      </c>
      <c r="AQ125" s="143"/>
      <c r="AR125" s="143"/>
      <c r="AS125" s="156"/>
    </row>
    <row r="126" spans="1:45" s="39" customFormat="1" x14ac:dyDescent="0.25">
      <c r="A126" s="105"/>
      <c r="B126" s="105" t="s">
        <v>526</v>
      </c>
      <c r="C126" s="105"/>
      <c r="D126" s="175"/>
      <c r="E126" s="105"/>
      <c r="F126" s="175"/>
      <c r="G126" s="105"/>
      <c r="H126" s="175"/>
      <c r="I126" s="105"/>
      <c r="J126" s="175"/>
      <c r="K126" s="105"/>
      <c r="L126" s="105"/>
      <c r="M126" s="105"/>
      <c r="N126" s="105"/>
      <c r="O126" s="105"/>
      <c r="P126" s="175"/>
      <c r="Q126" s="180"/>
      <c r="R126" s="105"/>
      <c r="S126" s="105"/>
      <c r="T126" s="105"/>
      <c r="U126" s="105"/>
      <c r="V126" s="105"/>
      <c r="W126" s="175"/>
      <c r="X126" s="183">
        <v>140</v>
      </c>
      <c r="Y126" s="180"/>
      <c r="Z126" s="176">
        <v>12362</v>
      </c>
      <c r="AA126" s="176">
        <v>12579</v>
      </c>
      <c r="AB126" s="176">
        <v>12759.7</v>
      </c>
      <c r="AC126" s="176">
        <v>12814</v>
      </c>
      <c r="AD126" s="176">
        <v>0</v>
      </c>
      <c r="AE126" s="176">
        <v>636</v>
      </c>
      <c r="AF126" s="176">
        <v>267</v>
      </c>
      <c r="AG126" s="176">
        <v>313</v>
      </c>
      <c r="AH126" s="176">
        <v>594</v>
      </c>
      <c r="AI126" s="176">
        <v>-69</v>
      </c>
      <c r="AJ126" s="176">
        <v>822</v>
      </c>
      <c r="AK126" s="157"/>
      <c r="AL126" s="157"/>
      <c r="AM126" s="157"/>
      <c r="AN126" s="157"/>
      <c r="AO126" s="157"/>
      <c r="AP126" s="140"/>
      <c r="AQ126" s="143"/>
      <c r="AR126" s="143"/>
      <c r="AS126" s="156"/>
    </row>
    <row r="127" spans="1:45" s="39" customFormat="1" x14ac:dyDescent="0.25">
      <c r="A127" s="105"/>
      <c r="B127" s="105" t="s">
        <v>1784</v>
      </c>
      <c r="C127" s="105"/>
      <c r="D127" s="175"/>
      <c r="E127" s="105"/>
      <c r="F127" s="175"/>
      <c r="G127" s="105"/>
      <c r="H127" s="175"/>
      <c r="I127" s="105"/>
      <c r="J127" s="175"/>
      <c r="K127" s="105"/>
      <c r="L127" s="105"/>
      <c r="M127" s="105"/>
      <c r="N127" s="105"/>
      <c r="O127" s="105"/>
      <c r="P127" s="175"/>
      <c r="Q127" s="180"/>
      <c r="R127" s="105"/>
      <c r="S127" s="105"/>
      <c r="T127" s="105"/>
      <c r="U127" s="105"/>
      <c r="V127" s="105"/>
      <c r="W127" s="175"/>
      <c r="X127" s="183">
        <v>0</v>
      </c>
      <c r="Y127" s="180"/>
      <c r="Z127" s="181">
        <v>32511</v>
      </c>
      <c r="AA127" s="181">
        <v>31427</v>
      </c>
      <c r="AB127" s="181">
        <v>30379</v>
      </c>
      <c r="AC127" s="181">
        <v>29283</v>
      </c>
      <c r="AD127" s="181">
        <v>28256</v>
      </c>
      <c r="AE127" s="181">
        <v>27214</v>
      </c>
      <c r="AF127" s="181">
        <v>26181</v>
      </c>
      <c r="AG127" s="181">
        <v>25166</v>
      </c>
      <c r="AH127" s="181">
        <v>24155</v>
      </c>
      <c r="AI127" s="181">
        <v>0</v>
      </c>
      <c r="AJ127" s="181">
        <v>0</v>
      </c>
      <c r="AK127" s="157"/>
      <c r="AL127" s="157"/>
      <c r="AM127" s="157"/>
      <c r="AN127" s="157"/>
      <c r="AO127" s="157"/>
      <c r="AP127" s="140"/>
      <c r="AQ127" s="143"/>
      <c r="AR127" s="143"/>
      <c r="AS127" s="156"/>
    </row>
    <row r="128" spans="1:45" s="39" customFormat="1" x14ac:dyDescent="0.25">
      <c r="A128" s="105"/>
      <c r="B128" s="105" t="s">
        <v>527</v>
      </c>
      <c r="C128" s="105"/>
      <c r="D128" s="175"/>
      <c r="E128" s="105"/>
      <c r="F128" s="175"/>
      <c r="G128" s="105"/>
      <c r="H128" s="175"/>
      <c r="I128" s="105"/>
      <c r="J128" s="175"/>
      <c r="K128" s="105"/>
      <c r="L128" s="105"/>
      <c r="M128" s="105"/>
      <c r="N128" s="105"/>
      <c r="O128" s="105"/>
      <c r="P128" s="175"/>
      <c r="Q128" s="180"/>
      <c r="R128" s="105"/>
      <c r="S128" s="105"/>
      <c r="T128" s="105"/>
      <c r="U128" s="105"/>
      <c r="V128" s="105"/>
      <c r="W128" s="175"/>
      <c r="X128" s="183"/>
      <c r="Y128" s="180"/>
      <c r="Z128" s="176">
        <f>SUM(Z123:Z127)</f>
        <v>174577</v>
      </c>
      <c r="AA128" s="176">
        <f>SUM(AA123:AA127)</f>
        <v>159126</v>
      </c>
      <c r="AB128" s="176">
        <f t="shared" ref="AB128:AE128" si="120">SUM(AB123:AB127)</f>
        <v>157298.70000000001</v>
      </c>
      <c r="AC128" s="176">
        <f t="shared" si="120"/>
        <v>155830</v>
      </c>
      <c r="AD128" s="176">
        <f t="shared" si="120"/>
        <v>128422</v>
      </c>
      <c r="AE128" s="176">
        <f t="shared" si="120"/>
        <v>129841</v>
      </c>
      <c r="AF128" s="176">
        <f t="shared" ref="AF128:AI128" si="121">SUM(AF123:AF127)</f>
        <v>127360</v>
      </c>
      <c r="AG128" s="176">
        <f t="shared" si="121"/>
        <v>126351</v>
      </c>
      <c r="AH128" s="176">
        <f t="shared" si="121"/>
        <v>126519</v>
      </c>
      <c r="AI128" s="176">
        <f t="shared" si="121"/>
        <v>103019</v>
      </c>
      <c r="AJ128" s="176">
        <f t="shared" ref="AJ128" si="122">SUM(AJ123:AJ127)</f>
        <v>99355</v>
      </c>
      <c r="AK128" s="157"/>
      <c r="AL128" s="157"/>
      <c r="AM128" s="157"/>
      <c r="AN128" s="157"/>
      <c r="AO128" s="157"/>
      <c r="AP128" s="140"/>
      <c r="AQ128" s="143"/>
      <c r="AR128" s="143"/>
      <c r="AS128" s="156"/>
    </row>
    <row r="129" spans="1:45" s="39" customFormat="1" x14ac:dyDescent="0.25">
      <c r="A129" s="105"/>
      <c r="B129" s="105" t="s">
        <v>513</v>
      </c>
      <c r="C129" s="105"/>
      <c r="D129" s="175"/>
      <c r="E129" s="105"/>
      <c r="F129" s="175"/>
      <c r="G129" s="105"/>
      <c r="H129" s="175"/>
      <c r="I129" s="105"/>
      <c r="J129" s="175"/>
      <c r="K129" s="105"/>
      <c r="L129" s="105"/>
      <c r="M129" s="105"/>
      <c r="N129" s="105"/>
      <c r="O129" s="105"/>
      <c r="P129" s="175"/>
      <c r="Q129" s="180"/>
      <c r="R129" s="105"/>
      <c r="S129" s="105"/>
      <c r="T129" s="105"/>
      <c r="U129" s="105"/>
      <c r="V129" s="105"/>
      <c r="W129" s="175"/>
      <c r="X129" s="185"/>
      <c r="Y129" s="180"/>
      <c r="Z129" s="176">
        <v>60000</v>
      </c>
      <c r="AA129" s="176">
        <v>60000</v>
      </c>
      <c r="AB129" s="176">
        <v>60000</v>
      </c>
      <c r="AC129" s="176">
        <v>69440</v>
      </c>
      <c r="AD129" s="176">
        <v>69440</v>
      </c>
      <c r="AE129" s="176">
        <v>69440</v>
      </c>
      <c r="AF129" s="176">
        <v>69440</v>
      </c>
      <c r="AG129" s="176">
        <v>69440</v>
      </c>
      <c r="AH129" s="176">
        <v>69440</v>
      </c>
      <c r="AI129" s="176">
        <v>69440</v>
      </c>
      <c r="AJ129" s="176">
        <v>69440</v>
      </c>
      <c r="AK129" s="157"/>
      <c r="AL129" s="157"/>
      <c r="AM129" s="157"/>
      <c r="AN129" s="157"/>
      <c r="AO129" s="157"/>
      <c r="AP129" s="140"/>
      <c r="AQ129" s="143"/>
      <c r="AR129" s="143"/>
      <c r="AS129" s="156"/>
    </row>
    <row r="130" spans="1:45" s="39" customFormat="1" x14ac:dyDescent="0.25">
      <c r="A130" s="105"/>
      <c r="B130" s="105" t="s">
        <v>1763</v>
      </c>
      <c r="C130" s="105"/>
      <c r="D130" s="175"/>
      <c r="E130" s="105"/>
      <c r="F130" s="175"/>
      <c r="G130" s="105"/>
      <c r="H130" s="175"/>
      <c r="I130" s="105"/>
      <c r="J130" s="175"/>
      <c r="K130" s="105"/>
      <c r="L130" s="105"/>
      <c r="M130" s="105"/>
      <c r="N130" s="105"/>
      <c r="O130" s="105"/>
      <c r="P130" s="175"/>
      <c r="Q130" s="180"/>
      <c r="R130" s="105"/>
      <c r="S130" s="105"/>
      <c r="T130" s="105"/>
      <c r="U130" s="105"/>
      <c r="V130" s="105"/>
      <c r="W130" s="175"/>
      <c r="X130" s="183"/>
      <c r="Y130" s="180"/>
      <c r="Z130" s="176">
        <v>23031</v>
      </c>
      <c r="AA130" s="176">
        <v>23611</v>
      </c>
      <c r="AB130" s="176">
        <v>29579</v>
      </c>
      <c r="AC130" s="176">
        <v>13635</v>
      </c>
      <c r="AD130" s="176">
        <v>-3516</v>
      </c>
      <c r="AE130" s="176">
        <v>-3255</v>
      </c>
      <c r="AF130" s="176">
        <v>-497</v>
      </c>
      <c r="AG130" s="176">
        <v>18995</v>
      </c>
      <c r="AH130" s="176">
        <v>27095</v>
      </c>
      <c r="AI130" s="176">
        <v>26695</v>
      </c>
      <c r="AJ130" s="176">
        <v>20069</v>
      </c>
      <c r="AK130" s="157"/>
      <c r="AL130" s="157"/>
      <c r="AM130" s="157"/>
      <c r="AN130" s="157"/>
      <c r="AO130" s="157"/>
      <c r="AP130" s="140" t="s">
        <v>1786</v>
      </c>
      <c r="AQ130" s="143"/>
      <c r="AR130" s="143"/>
      <c r="AS130" s="156"/>
    </row>
    <row r="131" spans="1:45" s="39" customFormat="1" x14ac:dyDescent="0.25">
      <c r="A131" s="105"/>
      <c r="B131" s="105" t="s">
        <v>1868</v>
      </c>
      <c r="C131" s="105"/>
      <c r="D131" s="175"/>
      <c r="E131" s="105"/>
      <c r="F131" s="175"/>
      <c r="G131" s="105"/>
      <c r="H131" s="175"/>
      <c r="I131" s="105"/>
      <c r="J131" s="175"/>
      <c r="K131" s="105"/>
      <c r="L131" s="105"/>
      <c r="M131" s="105"/>
      <c r="N131" s="105"/>
      <c r="O131" s="105"/>
      <c r="P131" s="175"/>
      <c r="Q131" s="180"/>
      <c r="R131" s="105"/>
      <c r="S131" s="105"/>
      <c r="T131" s="105"/>
      <c r="U131" s="105"/>
      <c r="V131" s="105"/>
      <c r="W131" s="175"/>
      <c r="X131" s="183"/>
      <c r="Y131" s="180"/>
      <c r="Z131" s="176"/>
      <c r="AA131" s="176"/>
      <c r="AB131" s="176"/>
      <c r="AC131" s="176"/>
      <c r="AD131" s="176"/>
      <c r="AE131" s="176"/>
      <c r="AF131" s="176">
        <v>39926</v>
      </c>
      <c r="AG131" s="176">
        <v>34296</v>
      </c>
      <c r="AH131" s="176">
        <v>28665</v>
      </c>
      <c r="AI131" s="176">
        <v>23290</v>
      </c>
      <c r="AJ131" s="176">
        <v>19658</v>
      </c>
      <c r="AK131" s="157"/>
      <c r="AL131" s="157"/>
      <c r="AM131" s="157"/>
      <c r="AN131" s="157"/>
      <c r="AO131" s="157"/>
      <c r="AP131" s="140" t="s">
        <v>2130</v>
      </c>
      <c r="AQ131" s="143"/>
      <c r="AR131" s="143"/>
      <c r="AS131" s="156"/>
    </row>
    <row r="132" spans="1:45" s="39" customFormat="1" x14ac:dyDescent="0.25">
      <c r="A132" s="105"/>
      <c r="B132" s="105" t="s">
        <v>2131</v>
      </c>
      <c r="C132" s="105"/>
      <c r="D132" s="175"/>
      <c r="E132" s="105"/>
      <c r="F132" s="175"/>
      <c r="G132" s="105"/>
      <c r="H132" s="175"/>
      <c r="I132" s="105"/>
      <c r="J132" s="175"/>
      <c r="K132" s="105"/>
      <c r="L132" s="105"/>
      <c r="M132" s="105"/>
      <c r="N132" s="105"/>
      <c r="O132" s="105"/>
      <c r="P132" s="175"/>
      <c r="Q132" s="180"/>
      <c r="R132" s="105"/>
      <c r="S132" s="105"/>
      <c r="T132" s="105"/>
      <c r="U132" s="105"/>
      <c r="V132" s="105"/>
      <c r="W132" s="175"/>
      <c r="X132" s="183"/>
      <c r="Y132" s="180"/>
      <c r="Z132" s="176"/>
      <c r="AA132" s="176"/>
      <c r="AB132" s="176"/>
      <c r="AC132" s="176"/>
      <c r="AD132" s="176"/>
      <c r="AE132" s="176"/>
      <c r="AF132" s="176"/>
      <c r="AG132" s="176"/>
      <c r="AH132" s="176"/>
      <c r="AI132" s="176"/>
      <c r="AJ132" s="176">
        <v>12562</v>
      </c>
      <c r="AK132" s="157"/>
      <c r="AL132" s="157"/>
      <c r="AM132" s="157"/>
      <c r="AN132" s="157"/>
      <c r="AO132" s="157"/>
      <c r="AP132" s="140" t="s">
        <v>2132</v>
      </c>
      <c r="AQ132" s="143"/>
      <c r="AR132" s="143"/>
      <c r="AS132" s="156"/>
    </row>
    <row r="133" spans="1:45" s="39" customFormat="1" x14ac:dyDescent="0.25">
      <c r="A133" s="105"/>
      <c r="B133" s="105" t="s">
        <v>1745</v>
      </c>
      <c r="C133" s="105"/>
      <c r="D133" s="175"/>
      <c r="E133" s="105"/>
      <c r="F133" s="175"/>
      <c r="G133" s="105"/>
      <c r="H133" s="175"/>
      <c r="I133" s="105"/>
      <c r="J133" s="175"/>
      <c r="K133" s="105"/>
      <c r="L133" s="105"/>
      <c r="M133" s="105"/>
      <c r="N133" s="105"/>
      <c r="O133" s="105"/>
      <c r="P133" s="175"/>
      <c r="Q133" s="180"/>
      <c r="R133" s="105"/>
      <c r="S133" s="105"/>
      <c r="T133" s="105"/>
      <c r="U133" s="105"/>
      <c r="V133" s="105"/>
      <c r="W133" s="175"/>
      <c r="X133" s="184">
        <v>1136.6400000000001</v>
      </c>
      <c r="Y133" s="180"/>
      <c r="Z133" s="176">
        <v>23869.87</v>
      </c>
      <c r="AA133" s="176">
        <v>0</v>
      </c>
      <c r="AB133" s="176">
        <v>24579</v>
      </c>
      <c r="AC133" s="176">
        <v>19932</v>
      </c>
      <c r="AD133" s="176">
        <v>14777</v>
      </c>
      <c r="AE133" s="176">
        <v>9319</v>
      </c>
      <c r="AF133" s="176">
        <v>7006</v>
      </c>
      <c r="AG133" s="176">
        <v>4665</v>
      </c>
      <c r="AH133" s="176">
        <v>1738</v>
      </c>
      <c r="AI133" s="176">
        <v>-603</v>
      </c>
      <c r="AJ133" s="176">
        <v>0</v>
      </c>
      <c r="AK133" s="157"/>
      <c r="AL133" s="157"/>
      <c r="AM133" s="157"/>
      <c r="AN133" s="157"/>
      <c r="AO133" s="157"/>
      <c r="AP133" s="140" t="s">
        <v>1787</v>
      </c>
      <c r="AQ133" s="143"/>
      <c r="AR133" s="143"/>
      <c r="AS133" s="156"/>
    </row>
    <row r="134" spans="1:45" s="39" customFormat="1" x14ac:dyDescent="0.25">
      <c r="A134" s="105"/>
      <c r="B134" s="105" t="s">
        <v>483</v>
      </c>
      <c r="C134" s="105"/>
      <c r="D134" s="175"/>
      <c r="E134" s="105"/>
      <c r="F134" s="175"/>
      <c r="G134" s="105"/>
      <c r="H134" s="175"/>
      <c r="I134" s="105"/>
      <c r="J134" s="175"/>
      <c r="K134" s="105"/>
      <c r="L134" s="105"/>
      <c r="M134" s="105"/>
      <c r="N134" s="105"/>
      <c r="O134" s="105"/>
      <c r="P134" s="175"/>
      <c r="Q134" s="180"/>
      <c r="R134" s="105"/>
      <c r="S134" s="105"/>
      <c r="T134" s="105"/>
      <c r="U134" s="105"/>
      <c r="V134" s="105"/>
      <c r="W134" s="175"/>
      <c r="X134" s="183">
        <v>22456</v>
      </c>
      <c r="Y134" s="180"/>
      <c r="Z134" s="176">
        <v>54690</v>
      </c>
      <c r="AA134" s="176">
        <v>76489</v>
      </c>
      <c r="AB134" s="176">
        <v>54876</v>
      </c>
      <c r="AC134" s="176">
        <v>37747</v>
      </c>
      <c r="AD134" s="176">
        <v>22405</v>
      </c>
      <c r="AE134" s="176">
        <v>11738</v>
      </c>
      <c r="AF134" s="176">
        <v>8599</v>
      </c>
      <c r="AG134" s="176">
        <v>4139</v>
      </c>
      <c r="AH134" s="176">
        <v>0</v>
      </c>
      <c r="AI134" s="176">
        <v>0</v>
      </c>
      <c r="AJ134" s="176">
        <v>0</v>
      </c>
      <c r="AK134" s="157"/>
      <c r="AL134" s="157"/>
      <c r="AM134" s="157"/>
      <c r="AN134" s="157"/>
      <c r="AO134" s="157"/>
      <c r="AP134" s="140" t="s">
        <v>1788</v>
      </c>
      <c r="AQ134" s="143"/>
      <c r="AR134" s="143"/>
      <c r="AS134" s="156"/>
    </row>
    <row r="135" spans="1:45" s="39" customFormat="1" x14ac:dyDescent="0.25">
      <c r="A135" s="105"/>
      <c r="B135" s="105" t="s">
        <v>514</v>
      </c>
      <c r="C135" s="105"/>
      <c r="D135" s="175"/>
      <c r="E135" s="105"/>
      <c r="F135" s="175"/>
      <c r="G135" s="105"/>
      <c r="H135" s="175"/>
      <c r="I135" s="105"/>
      <c r="J135" s="175"/>
      <c r="K135" s="105"/>
      <c r="L135" s="105"/>
      <c r="M135" s="105"/>
      <c r="N135" s="105"/>
      <c r="O135" s="105"/>
      <c r="P135" s="175"/>
      <c r="Q135" s="180"/>
      <c r="R135" s="105"/>
      <c r="S135" s="105"/>
      <c r="T135" s="105"/>
      <c r="U135" s="105"/>
      <c r="V135" s="105"/>
      <c r="W135" s="175"/>
      <c r="X135" s="183">
        <v>3813</v>
      </c>
      <c r="Y135" s="180"/>
      <c r="Z135" s="176">
        <v>70043</v>
      </c>
      <c r="AA135" s="176">
        <v>67106</v>
      </c>
      <c r="AB135" s="176">
        <v>64131</v>
      </c>
      <c r="AC135" s="176">
        <v>61120</v>
      </c>
      <c r="AD135" s="176">
        <v>58070</v>
      </c>
      <c r="AE135" s="176">
        <v>51857</v>
      </c>
      <c r="AF135" s="176">
        <v>51857</v>
      </c>
      <c r="AG135" s="176">
        <v>48693</v>
      </c>
      <c r="AH135" s="176">
        <v>45488</v>
      </c>
      <c r="AI135" s="176">
        <v>42244</v>
      </c>
      <c r="AJ135" s="176">
        <v>38959</v>
      </c>
      <c r="AK135" s="157"/>
      <c r="AL135" s="157"/>
      <c r="AM135" s="157"/>
      <c r="AN135" s="157"/>
      <c r="AO135" s="157"/>
      <c r="AP135" s="140" t="s">
        <v>1789</v>
      </c>
      <c r="AQ135" s="143"/>
      <c r="AR135" s="143"/>
      <c r="AS135" s="156"/>
    </row>
    <row r="136" spans="1:45" s="39" customFormat="1" x14ac:dyDescent="0.25">
      <c r="A136" s="105"/>
      <c r="B136" s="105" t="s">
        <v>515</v>
      </c>
      <c r="C136" s="105"/>
      <c r="D136" s="175"/>
      <c r="E136" s="105"/>
      <c r="F136" s="175"/>
      <c r="G136" s="105"/>
      <c r="H136" s="175"/>
      <c r="I136" s="105"/>
      <c r="J136" s="175"/>
      <c r="K136" s="105"/>
      <c r="L136" s="105"/>
      <c r="M136" s="105"/>
      <c r="N136" s="105"/>
      <c r="O136" s="105"/>
      <c r="P136" s="175"/>
      <c r="Q136" s="180"/>
      <c r="R136" s="105"/>
      <c r="S136" s="105"/>
      <c r="T136" s="105"/>
      <c r="U136" s="105"/>
      <c r="V136" s="105"/>
      <c r="W136" s="175"/>
      <c r="X136" s="183" t="s">
        <v>531</v>
      </c>
      <c r="Y136" s="180"/>
      <c r="Z136" s="176">
        <v>29082</v>
      </c>
      <c r="AA136" s="176">
        <v>23596</v>
      </c>
      <c r="AB136" s="176">
        <v>19978.62</v>
      </c>
      <c r="AC136" s="176">
        <v>17694</v>
      </c>
      <c r="AD136" s="176">
        <v>14114</v>
      </c>
      <c r="AE136" s="176">
        <v>12141</v>
      </c>
      <c r="AF136" s="176">
        <v>9086</v>
      </c>
      <c r="AG136" s="176">
        <v>6667</v>
      </c>
      <c r="AH136" s="176">
        <v>5771</v>
      </c>
      <c r="AI136" s="176">
        <v>4861</v>
      </c>
      <c r="AJ136" s="176">
        <v>3893</v>
      </c>
      <c r="AK136" s="157"/>
      <c r="AL136" s="157"/>
      <c r="AM136" s="157"/>
      <c r="AN136" s="157"/>
      <c r="AO136" s="157"/>
      <c r="AP136" s="140" t="s">
        <v>1790</v>
      </c>
      <c r="AQ136" s="143"/>
      <c r="AR136" s="143"/>
      <c r="AS136" s="156"/>
    </row>
    <row r="137" spans="1:45" s="39" customFormat="1" x14ac:dyDescent="0.25">
      <c r="A137" s="105"/>
      <c r="B137" s="105" t="s">
        <v>484</v>
      </c>
      <c r="C137" s="105"/>
      <c r="D137" s="175"/>
      <c r="E137" s="105"/>
      <c r="F137" s="175"/>
      <c r="G137" s="105"/>
      <c r="H137" s="175"/>
      <c r="I137" s="105"/>
      <c r="J137" s="175"/>
      <c r="K137" s="105"/>
      <c r="L137" s="105"/>
      <c r="M137" s="105"/>
      <c r="N137" s="105"/>
      <c r="O137" s="105"/>
      <c r="P137" s="175"/>
      <c r="Q137" s="180"/>
      <c r="R137" s="105"/>
      <c r="S137" s="105"/>
      <c r="T137" s="105"/>
      <c r="U137" s="105"/>
      <c r="V137" s="105"/>
      <c r="W137" s="175"/>
      <c r="X137" s="183">
        <v>3967</v>
      </c>
      <c r="Y137" s="180"/>
      <c r="Z137" s="176">
        <v>11585</v>
      </c>
      <c r="AA137" s="176">
        <v>7732</v>
      </c>
      <c r="AB137" s="176">
        <v>3844.04</v>
      </c>
      <c r="AC137" s="176"/>
      <c r="AD137" s="176"/>
      <c r="AE137" s="176"/>
      <c r="AF137" s="176"/>
      <c r="AG137" s="176"/>
      <c r="AH137" s="176"/>
      <c r="AI137" s="176"/>
      <c r="AJ137" s="176"/>
      <c r="AK137" s="157"/>
      <c r="AL137" s="157"/>
      <c r="AM137" s="157"/>
      <c r="AN137" s="157"/>
      <c r="AO137" s="157"/>
      <c r="AP137" s="140"/>
      <c r="AQ137" s="143"/>
      <c r="AR137" s="143"/>
      <c r="AS137" s="156"/>
    </row>
    <row r="138" spans="1:45" s="39" customFormat="1" x14ac:dyDescent="0.25">
      <c r="A138" s="105"/>
      <c r="B138" s="105" t="s">
        <v>485</v>
      </c>
      <c r="C138" s="105"/>
      <c r="D138" s="175"/>
      <c r="E138" s="105"/>
      <c r="F138" s="175"/>
      <c r="G138" s="105"/>
      <c r="H138" s="175"/>
      <c r="I138" s="105"/>
      <c r="J138" s="175"/>
      <c r="K138" s="105"/>
      <c r="L138" s="105"/>
      <c r="M138" s="105"/>
      <c r="N138" s="105"/>
      <c r="O138" s="105"/>
      <c r="P138" s="175"/>
      <c r="Q138" s="180"/>
      <c r="R138" s="105"/>
      <c r="S138" s="105"/>
      <c r="T138" s="105"/>
      <c r="U138" s="105"/>
      <c r="V138" s="105"/>
      <c r="W138" s="175"/>
      <c r="X138" s="183">
        <v>260</v>
      </c>
      <c r="Y138" s="180"/>
      <c r="Z138" s="176">
        <v>8357</v>
      </c>
      <c r="AA138" s="176">
        <v>7403</v>
      </c>
      <c r="AB138" s="176">
        <v>4845</v>
      </c>
      <c r="AC138" s="176">
        <v>2733</v>
      </c>
      <c r="AD138" s="176">
        <v>7094</v>
      </c>
      <c r="AE138" s="176">
        <v>6483</v>
      </c>
      <c r="AF138" s="176">
        <v>6029</v>
      </c>
      <c r="AG138" s="176">
        <v>5567</v>
      </c>
      <c r="AH138" s="176">
        <v>4990</v>
      </c>
      <c r="AI138" s="176">
        <v>4587</v>
      </c>
      <c r="AJ138" s="176">
        <v>3662</v>
      </c>
      <c r="AK138" s="157"/>
      <c r="AL138" s="157"/>
      <c r="AM138" s="157"/>
      <c r="AN138" s="157"/>
      <c r="AO138" s="157"/>
      <c r="AP138" s="140" t="s">
        <v>1862</v>
      </c>
      <c r="AQ138" s="143"/>
      <c r="AR138" s="143"/>
      <c r="AS138" s="156"/>
    </row>
    <row r="139" spans="1:45" s="39" customFormat="1" x14ac:dyDescent="0.25">
      <c r="A139" s="105"/>
      <c r="B139" s="105" t="s">
        <v>250</v>
      </c>
      <c r="C139" s="105"/>
      <c r="D139" s="175"/>
      <c r="E139" s="105"/>
      <c r="F139" s="175"/>
      <c r="G139" s="105"/>
      <c r="H139" s="175"/>
      <c r="I139" s="105"/>
      <c r="J139" s="175"/>
      <c r="K139" s="105"/>
      <c r="L139" s="105"/>
      <c r="M139" s="105"/>
      <c r="N139" s="105"/>
      <c r="O139" s="105"/>
      <c r="P139" s="175"/>
      <c r="Q139" s="180"/>
      <c r="R139" s="105"/>
      <c r="S139" s="105"/>
      <c r="T139" s="105"/>
      <c r="U139" s="105"/>
      <c r="V139" s="105"/>
      <c r="W139" s="175"/>
      <c r="X139" s="183">
        <v>5635</v>
      </c>
      <c r="Y139" s="180"/>
      <c r="Z139" s="181">
        <v>57009</v>
      </c>
      <c r="AA139" s="181">
        <v>51302</v>
      </c>
      <c r="AB139" s="181">
        <v>48452</v>
      </c>
      <c r="AC139" s="181">
        <v>40480</v>
      </c>
      <c r="AD139" s="181">
        <v>36966</v>
      </c>
      <c r="AE139" s="181">
        <v>30855</v>
      </c>
      <c r="AF139" s="181">
        <v>23554</v>
      </c>
      <c r="AG139" s="176">
        <v>21052</v>
      </c>
      <c r="AH139" s="181">
        <v>16186</v>
      </c>
      <c r="AI139" s="181">
        <v>9298</v>
      </c>
      <c r="AJ139" s="181">
        <v>3172</v>
      </c>
      <c r="AK139" s="157"/>
      <c r="AL139" s="157"/>
      <c r="AM139" s="157"/>
      <c r="AN139" s="157"/>
      <c r="AO139" s="157"/>
      <c r="AP139" s="140" t="s">
        <v>1863</v>
      </c>
      <c r="AQ139" s="143"/>
      <c r="AR139" s="143"/>
      <c r="AS139" s="156"/>
    </row>
    <row r="140" spans="1:45" s="39" customFormat="1" ht="15.75" thickBot="1" x14ac:dyDescent="0.3">
      <c r="A140" s="105"/>
      <c r="B140" s="105" t="s">
        <v>528</v>
      </c>
      <c r="C140" s="105"/>
      <c r="D140" s="175"/>
      <c r="E140" s="105"/>
      <c r="F140" s="175"/>
      <c r="G140" s="105"/>
      <c r="H140" s="175"/>
      <c r="I140" s="105"/>
      <c r="J140" s="175"/>
      <c r="K140" s="105"/>
      <c r="L140" s="105"/>
      <c r="M140" s="105"/>
      <c r="N140" s="105"/>
      <c r="O140" s="105"/>
      <c r="P140" s="175"/>
      <c r="Q140" s="180"/>
      <c r="R140" s="105"/>
      <c r="S140" s="105"/>
      <c r="T140" s="105"/>
      <c r="U140" s="105"/>
      <c r="V140" s="105"/>
      <c r="W140" s="175"/>
      <c r="X140" s="183">
        <f>SUM(X123:X139)</f>
        <v>45007.64</v>
      </c>
      <c r="Y140" s="180"/>
      <c r="Z140" s="182">
        <f t="shared" ref="Z140:AF140" si="123">SUM(Z128:Z139)</f>
        <v>512243.87</v>
      </c>
      <c r="AA140" s="182">
        <f t="shared" si="123"/>
        <v>476365</v>
      </c>
      <c r="AB140" s="182">
        <f t="shared" si="123"/>
        <v>467583.36</v>
      </c>
      <c r="AC140" s="182">
        <f t="shared" si="123"/>
        <v>418611</v>
      </c>
      <c r="AD140" s="182">
        <f t="shared" si="123"/>
        <v>347772</v>
      </c>
      <c r="AE140" s="182">
        <f t="shared" si="123"/>
        <v>318419</v>
      </c>
      <c r="AF140" s="182">
        <f t="shared" si="123"/>
        <v>342360</v>
      </c>
      <c r="AG140" s="182">
        <f t="shared" ref="AG140:AI140" si="124">SUM(AG128:AG139)</f>
        <v>339865</v>
      </c>
      <c r="AH140" s="182">
        <f t="shared" si="124"/>
        <v>325892</v>
      </c>
      <c r="AI140" s="182">
        <f t="shared" si="124"/>
        <v>282831</v>
      </c>
      <c r="AJ140" s="182">
        <f t="shared" ref="AJ140" si="125">SUM(AJ128:AJ139)</f>
        <v>270770</v>
      </c>
      <c r="AK140" s="157"/>
      <c r="AL140" s="157"/>
      <c r="AM140" s="157"/>
      <c r="AN140" s="157"/>
      <c r="AO140" s="157"/>
      <c r="AP140" s="140"/>
      <c r="AQ140" s="143"/>
      <c r="AR140" s="143"/>
      <c r="AS140" s="156"/>
    </row>
    <row r="141" spans="1:45" ht="15.75" thickTop="1" x14ac:dyDescent="0.25">
      <c r="AA141" s="121"/>
      <c r="AB141" s="121"/>
      <c r="AC141" s="121"/>
      <c r="AD141" s="121"/>
      <c r="AE141" s="121"/>
      <c r="AF141" s="121"/>
      <c r="AG141" s="178"/>
      <c r="AH141" s="121"/>
      <c r="AI141" s="121"/>
      <c r="AJ141" s="121"/>
      <c r="AK141" s="121"/>
      <c r="AL141" s="121"/>
      <c r="AM141" s="121"/>
      <c r="AN141" s="121"/>
      <c r="AO141" s="121"/>
    </row>
    <row r="142" spans="1:45" x14ac:dyDescent="0.25">
      <c r="AA142" s="121"/>
      <c r="AB142" s="121"/>
      <c r="AC142" s="121"/>
      <c r="AD142" s="121"/>
      <c r="AE142" s="121"/>
      <c r="AF142" s="121"/>
      <c r="AG142" s="178"/>
      <c r="AH142" s="121"/>
      <c r="AI142" s="121"/>
      <c r="AJ142" s="121"/>
      <c r="AK142" s="121"/>
      <c r="AL142" s="121"/>
      <c r="AM142" s="121"/>
      <c r="AN142" s="121"/>
      <c r="AO142" s="121"/>
    </row>
    <row r="143" spans="1:45" s="39" customFormat="1" x14ac:dyDescent="0.25">
      <c r="A143" s="39" t="s">
        <v>529</v>
      </c>
      <c r="D143" s="41"/>
      <c r="F143" s="41"/>
      <c r="H143" s="41"/>
      <c r="J143" s="41"/>
      <c r="P143" s="41"/>
      <c r="Q143" s="156"/>
      <c r="W143" s="41"/>
      <c r="Y143" s="156"/>
      <c r="Z143" s="140"/>
      <c r="AA143" s="157"/>
      <c r="AB143" s="157">
        <v>3</v>
      </c>
      <c r="AC143" s="157">
        <v>2</v>
      </c>
      <c r="AD143" s="157">
        <v>2</v>
      </c>
      <c r="AE143" s="157">
        <v>2</v>
      </c>
      <c r="AF143" s="157">
        <v>2</v>
      </c>
      <c r="AG143" s="176">
        <v>2</v>
      </c>
      <c r="AH143" s="157">
        <v>3</v>
      </c>
      <c r="AI143" s="157">
        <v>2</v>
      </c>
      <c r="AJ143" s="157"/>
      <c r="AK143" s="157"/>
      <c r="AL143" s="157"/>
      <c r="AM143" s="157"/>
      <c r="AN143" s="157"/>
      <c r="AO143" s="157"/>
      <c r="AP143" s="140"/>
      <c r="AQ143" s="143"/>
      <c r="AR143" s="143"/>
      <c r="AS143" s="156"/>
    </row>
    <row r="144" spans="1:45" x14ac:dyDescent="0.25">
      <c r="AA144" s="121"/>
      <c r="AB144" s="121"/>
      <c r="AC144" s="121"/>
      <c r="AD144" s="121"/>
      <c r="AE144" s="121"/>
      <c r="AF144" s="121"/>
      <c r="AG144" s="178"/>
      <c r="AH144" s="121"/>
      <c r="AI144" s="121"/>
      <c r="AJ144" s="121"/>
      <c r="AK144" s="121"/>
      <c r="AL144" s="121"/>
      <c r="AM144" s="121"/>
      <c r="AN144" s="121"/>
      <c r="AO144" s="121"/>
    </row>
    <row r="145" spans="2:36" x14ac:dyDescent="0.25">
      <c r="B145" s="105" t="s">
        <v>1797</v>
      </c>
      <c r="Z145" s="176">
        <v>50000</v>
      </c>
      <c r="AA145" s="176">
        <v>62500</v>
      </c>
      <c r="AB145" s="176">
        <v>68750</v>
      </c>
      <c r="AC145" s="176">
        <v>68750</v>
      </c>
      <c r="AD145" s="176">
        <v>71875</v>
      </c>
      <c r="AE145" s="176">
        <v>75000</v>
      </c>
      <c r="AF145" s="176">
        <v>80375</v>
      </c>
      <c r="AG145" s="176">
        <v>83125</v>
      </c>
      <c r="AH145" s="176">
        <v>81750</v>
      </c>
      <c r="AI145" s="176">
        <v>81750</v>
      </c>
      <c r="AJ145" s="176">
        <v>78300</v>
      </c>
    </row>
  </sheetData>
  <mergeCells count="8">
    <mergeCell ref="AD2:AO2"/>
    <mergeCell ref="K3:O3"/>
    <mergeCell ref="Z3:AP3"/>
    <mergeCell ref="R3:V3"/>
    <mergeCell ref="K4:N4"/>
    <mergeCell ref="R4:U4"/>
    <mergeCell ref="AD4:AI4"/>
    <mergeCell ref="AJ4:AO4"/>
  </mergeCells>
  <pageMargins left="0.7" right="0.7" top="0.75" bottom="0.75" header="0.3" footer="0.3"/>
  <pageSetup scale="84" fitToHeight="3"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AB1-8205-4BD0-AC55-BC4E5243B638}">
  <sheetPr>
    <pageSetUpPr fitToPage="1"/>
  </sheetPr>
  <dimension ref="A1:AV142"/>
  <sheetViews>
    <sheetView zoomScale="135" zoomScaleNormal="135" workbookViewId="0">
      <pane xSplit="2" ySplit="4" topLeftCell="AB69"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30"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13" width="10.7109375" hidden="1" customWidth="1"/>
    <col min="14" max="14" width="8" style="41" hidden="1" customWidth="1"/>
    <col min="15" max="15" width="10.7109375" style="74" hidden="1" customWidth="1"/>
    <col min="16" max="20" width="10.7109375" hidden="1" customWidth="1"/>
    <col min="21" max="21" width="8" style="41" hidden="1" customWidth="1"/>
    <col min="22" max="22" width="20.7109375" hidden="1" customWidth="1"/>
    <col min="23" max="23" width="1.42578125" style="112" customWidth="1"/>
    <col min="24" max="25" width="10.7109375" customWidth="1"/>
    <col min="26" max="27" width="10.7109375" style="108" customWidth="1"/>
    <col min="28" max="29" width="9.7109375" style="108" customWidth="1"/>
    <col min="30" max="30" width="1.7109375" style="108" customWidth="1"/>
    <col min="31" max="42" width="9.7109375" style="108" customWidth="1"/>
    <col min="43" max="43" width="10.7109375" style="108" customWidth="1"/>
    <col min="44" max="44" width="8" style="143" customWidth="1"/>
    <col min="45" max="45" width="29.42578125" style="143" customWidth="1"/>
    <col min="46" max="46" width="39.85546875" customWidth="1"/>
    <col min="47" max="47" width="12" customWidth="1"/>
    <col min="48" max="48" width="1.42578125" style="112" customWidth="1"/>
  </cols>
  <sheetData>
    <row r="1" spans="1:48" s="45" customFormat="1" x14ac:dyDescent="0.25">
      <c r="A1" s="45" t="s">
        <v>146</v>
      </c>
      <c r="C1" s="45" t="s">
        <v>491</v>
      </c>
      <c r="D1" s="51"/>
      <c r="F1" s="51"/>
      <c r="H1" s="51"/>
      <c r="N1" s="51"/>
      <c r="O1" s="72"/>
      <c r="U1" s="51"/>
      <c r="W1" s="110"/>
      <c r="Z1" s="139"/>
      <c r="AA1" s="139"/>
      <c r="AB1" s="139"/>
      <c r="AC1" s="139"/>
      <c r="AD1" s="139"/>
      <c r="AE1" s="139"/>
      <c r="AF1" s="139"/>
      <c r="AG1" s="139"/>
      <c r="AH1" s="139"/>
      <c r="AI1" s="139"/>
      <c r="AJ1" s="139"/>
      <c r="AK1" s="139"/>
      <c r="AL1" s="139"/>
      <c r="AM1" s="139"/>
      <c r="AN1" s="139"/>
      <c r="AO1" s="139"/>
      <c r="AP1" s="139"/>
      <c r="AQ1" s="139"/>
      <c r="AR1" s="141"/>
      <c r="AS1" s="141"/>
      <c r="AV1" s="110"/>
    </row>
    <row r="2" spans="1:48" s="45" customFormat="1" x14ac:dyDescent="0.25">
      <c r="A2" s="45" t="s">
        <v>492</v>
      </c>
      <c r="D2" s="51"/>
      <c r="F2" s="51"/>
      <c r="H2" s="51"/>
      <c r="N2" s="51"/>
      <c r="O2" s="72"/>
      <c r="U2" s="51"/>
      <c r="W2" s="110"/>
      <c r="Z2" s="139"/>
      <c r="AA2" s="139"/>
      <c r="AB2" s="139"/>
      <c r="AC2" s="139"/>
      <c r="AD2" s="139"/>
      <c r="AE2" s="258" t="s">
        <v>1865</v>
      </c>
      <c r="AF2" s="258"/>
      <c r="AG2" s="139"/>
      <c r="AH2" s="139"/>
      <c r="AI2" s="139"/>
      <c r="AJ2" s="139"/>
      <c r="AK2" s="139"/>
      <c r="AL2" s="139"/>
      <c r="AM2" s="139"/>
      <c r="AN2" s="139"/>
      <c r="AO2" s="139"/>
      <c r="AP2" s="139"/>
      <c r="AQ2" s="139"/>
      <c r="AR2" s="141"/>
      <c r="AS2" s="141"/>
      <c r="AV2" s="110"/>
    </row>
    <row r="3" spans="1:48" s="45" customFormat="1" hidden="1" x14ac:dyDescent="0.25">
      <c r="D3" s="51"/>
      <c r="F3" s="51"/>
      <c r="H3" s="51"/>
      <c r="I3" s="255">
        <v>2022</v>
      </c>
      <c r="J3" s="255"/>
      <c r="K3" s="255"/>
      <c r="L3" s="255"/>
      <c r="N3" s="51"/>
      <c r="O3" s="72"/>
      <c r="P3" s="259" t="s">
        <v>477</v>
      </c>
      <c r="Q3" s="259"/>
      <c r="R3" s="259"/>
      <c r="S3" s="259"/>
      <c r="T3" s="259"/>
      <c r="U3" s="51"/>
      <c r="W3" s="110"/>
      <c r="X3" s="257" t="s">
        <v>1803</v>
      </c>
      <c r="Y3" s="257"/>
      <c r="Z3" s="257"/>
      <c r="AA3" s="257"/>
      <c r="AB3" s="257"/>
      <c r="AC3" s="257"/>
      <c r="AD3" s="257"/>
      <c r="AE3" s="257"/>
      <c r="AF3" s="257"/>
      <c r="AG3" s="257"/>
      <c r="AH3" s="257"/>
      <c r="AI3" s="257"/>
      <c r="AJ3" s="257"/>
      <c r="AK3" s="257"/>
      <c r="AL3" s="257"/>
      <c r="AM3" s="257"/>
      <c r="AN3" s="257"/>
      <c r="AO3" s="257"/>
      <c r="AP3" s="257"/>
      <c r="AQ3" s="257"/>
      <c r="AR3" s="141"/>
      <c r="AS3" s="141"/>
      <c r="AV3" s="110"/>
    </row>
    <row r="4" spans="1:48" s="68" customFormat="1" ht="30" customHeight="1" x14ac:dyDescent="0.25">
      <c r="C4" s="68">
        <v>2019</v>
      </c>
      <c r="D4" s="69"/>
      <c r="E4" s="68">
        <v>2020</v>
      </c>
      <c r="F4" s="69"/>
      <c r="G4" s="68">
        <v>2021</v>
      </c>
      <c r="H4" s="69"/>
      <c r="I4" s="68" t="s">
        <v>187</v>
      </c>
      <c r="J4" s="68" t="s">
        <v>188</v>
      </c>
      <c r="K4" s="68" t="s">
        <v>189</v>
      </c>
      <c r="L4" s="68" t="s">
        <v>287</v>
      </c>
      <c r="M4" s="68">
        <v>2022</v>
      </c>
      <c r="N4" s="69"/>
      <c r="O4" s="73" t="s">
        <v>245</v>
      </c>
      <c r="P4" s="68" t="s">
        <v>187</v>
      </c>
      <c r="Q4" s="68" t="s">
        <v>188</v>
      </c>
      <c r="R4" s="68" t="s">
        <v>189</v>
      </c>
      <c r="S4" s="68" t="s">
        <v>190</v>
      </c>
      <c r="T4" s="68">
        <v>2023</v>
      </c>
      <c r="U4" s="69"/>
      <c r="V4" s="68" t="s">
        <v>193</v>
      </c>
      <c r="W4" s="111"/>
      <c r="X4" s="68" t="s">
        <v>463</v>
      </c>
      <c r="Y4" s="109" t="s">
        <v>479</v>
      </c>
      <c r="Z4" s="109" t="s">
        <v>493</v>
      </c>
      <c r="AA4" s="109" t="s">
        <v>281</v>
      </c>
      <c r="AB4" s="109" t="s">
        <v>282</v>
      </c>
      <c r="AC4" s="109" t="s">
        <v>283</v>
      </c>
      <c r="AD4" s="186"/>
      <c r="AE4" s="109" t="s">
        <v>494</v>
      </c>
      <c r="AF4" s="109" t="s">
        <v>495</v>
      </c>
      <c r="AG4" s="109" t="s">
        <v>496</v>
      </c>
      <c r="AH4" s="109" t="s">
        <v>497</v>
      </c>
      <c r="AI4" s="109" t="s">
        <v>498</v>
      </c>
      <c r="AJ4" s="109" t="s">
        <v>499</v>
      </c>
      <c r="AK4" s="109" t="s">
        <v>240</v>
      </c>
      <c r="AL4" s="109" t="s">
        <v>1764</v>
      </c>
      <c r="AM4" s="109" t="s">
        <v>1765</v>
      </c>
      <c r="AN4" s="109" t="s">
        <v>281</v>
      </c>
      <c r="AO4" s="109" t="s">
        <v>282</v>
      </c>
      <c r="AP4" s="109" t="s">
        <v>283</v>
      </c>
      <c r="AQ4" s="109" t="s">
        <v>1766</v>
      </c>
      <c r="AR4" s="142"/>
      <c r="AS4" s="142" t="s">
        <v>500</v>
      </c>
      <c r="AT4" s="68" t="s">
        <v>490</v>
      </c>
      <c r="AV4" s="111"/>
    </row>
    <row r="5" spans="1:48" x14ac:dyDescent="0.25">
      <c r="A5" t="s">
        <v>149</v>
      </c>
      <c r="Y5" s="108"/>
      <c r="AD5" s="187"/>
    </row>
    <row r="6" spans="1:48" x14ac:dyDescent="0.25">
      <c r="B6" t="s">
        <v>153</v>
      </c>
      <c r="C6" s="8"/>
      <c r="E6" s="8"/>
      <c r="G6" s="8"/>
      <c r="I6" s="8">
        <f>'Sales by Segment'!C38</f>
        <v>67876.690000000061</v>
      </c>
      <c r="J6" s="8">
        <f>'Sales by Segment'!E38</f>
        <v>65982</v>
      </c>
      <c r="K6" s="8">
        <f>'Sales by Segment'!G38</f>
        <v>55994</v>
      </c>
      <c r="L6" s="8">
        <f>'Sales by Segment'!K38</f>
        <v>40887.670000000042</v>
      </c>
      <c r="M6" s="8">
        <f t="shared" ref="M6:M82" si="0">SUM(I6:L6)</f>
        <v>230740.3600000001</v>
      </c>
      <c r="N6" s="41">
        <f>M6/M$14</f>
        <v>9.9200781897330989E-2</v>
      </c>
      <c r="O6" s="75"/>
      <c r="P6" s="8">
        <f>'Sales by Segment'!O38</f>
        <v>48455.475600000027</v>
      </c>
      <c r="Q6" s="8">
        <f>'Sales by Segment'!P38</f>
        <v>53301.023160000026</v>
      </c>
      <c r="R6" s="8">
        <f>'Sales by Segment'!Q38</f>
        <v>55723.796940000029</v>
      </c>
      <c r="S6" s="8">
        <f>'Sales by Segment'!R38</f>
        <v>84797.082300000038</v>
      </c>
      <c r="T6" s="8">
        <f>'Sales by Segment'!S38</f>
        <v>242277.37800000011</v>
      </c>
      <c r="U6" s="41">
        <f>T6/T$14</f>
        <v>7.7380648752595427E-2</v>
      </c>
      <c r="W6" s="113"/>
      <c r="X6" s="8">
        <f>'Sales by Segment'!T38</f>
        <v>38264</v>
      </c>
      <c r="Y6" s="121">
        <v>55790</v>
      </c>
      <c r="Z6" s="121"/>
      <c r="AA6" s="121"/>
      <c r="AB6" s="121"/>
      <c r="AC6" s="121"/>
      <c r="AD6" s="188"/>
      <c r="AE6" s="178"/>
      <c r="AF6" s="178"/>
      <c r="AG6" s="178"/>
      <c r="AH6" s="178"/>
      <c r="AI6" s="178"/>
      <c r="AJ6" s="178"/>
      <c r="AK6" s="178"/>
      <c r="AL6" s="178"/>
      <c r="AM6" s="178"/>
      <c r="AN6" s="178"/>
      <c r="AO6" s="178"/>
      <c r="AP6" s="178"/>
      <c r="AQ6" s="121">
        <f>SUM(AE6:AP6)</f>
        <v>0</v>
      </c>
      <c r="AR6" s="143">
        <f>AQ6/AQ$14</f>
        <v>0</v>
      </c>
      <c r="AV6" s="113"/>
    </row>
    <row r="7" spans="1:48" x14ac:dyDescent="0.25">
      <c r="B7" t="s">
        <v>288</v>
      </c>
      <c r="C7" s="8"/>
      <c r="E7" s="8"/>
      <c r="G7" s="8"/>
      <c r="I7" s="8">
        <f>'Sales by Segment'!C40</f>
        <v>108870</v>
      </c>
      <c r="J7" s="8">
        <f>'Sales by Segment'!E40</f>
        <v>94874</v>
      </c>
      <c r="K7" s="8">
        <f>'Sales by Segment'!G40</f>
        <v>100895</v>
      </c>
      <c r="L7" s="8">
        <f>'Sales by Segment'!K40</f>
        <v>132530</v>
      </c>
      <c r="M7" s="8">
        <f t="shared" si="0"/>
        <v>437169</v>
      </c>
      <c r="N7" s="41">
        <f>M7/M$14</f>
        <v>0.18794937574542342</v>
      </c>
      <c r="O7" s="75"/>
      <c r="P7" s="8">
        <f>'Sales by Segment'!O40</f>
        <v>120000</v>
      </c>
      <c r="Q7" s="8">
        <f>'Sales by Segment'!P40</f>
        <v>100000</v>
      </c>
      <c r="R7" s="8">
        <f>'Sales by Segment'!Q40</f>
        <v>154000</v>
      </c>
      <c r="S7" s="8">
        <f>'Sales by Segment'!R40</f>
        <v>242000</v>
      </c>
      <c r="T7" s="8">
        <f>'Sales by Segment'!S40</f>
        <v>600000</v>
      </c>
      <c r="U7" s="41">
        <f>T7/T$14</f>
        <v>0.19163320007350104</v>
      </c>
      <c r="W7" s="113"/>
      <c r="X7" s="8">
        <f>'Sales by Segment'!T40</f>
        <v>89837</v>
      </c>
      <c r="Y7" s="121">
        <f>'Sales by Segment'!U40</f>
        <v>78100</v>
      </c>
      <c r="Z7" s="121"/>
      <c r="AA7" s="121"/>
      <c r="AB7" s="121"/>
      <c r="AC7" s="121"/>
      <c r="AD7" s="188"/>
      <c r="AE7" s="178"/>
      <c r="AF7" s="178"/>
      <c r="AG7" s="178"/>
      <c r="AH7" s="178"/>
      <c r="AI7" s="178"/>
      <c r="AJ7" s="178"/>
      <c r="AK7" s="178"/>
      <c r="AL7" s="178"/>
      <c r="AM7" s="178"/>
      <c r="AN7" s="178"/>
      <c r="AO7" s="178"/>
      <c r="AP7" s="178"/>
      <c r="AQ7" s="121">
        <f t="shared" ref="AQ7:AQ10" si="1">SUM(AE7:AP7)</f>
        <v>0</v>
      </c>
      <c r="AR7" s="143">
        <f>AQ7/AQ$14</f>
        <v>0</v>
      </c>
      <c r="AV7" s="113"/>
    </row>
    <row r="8" spans="1:48" x14ac:dyDescent="0.25">
      <c r="B8" t="s">
        <v>501</v>
      </c>
      <c r="C8" s="8"/>
      <c r="E8" s="8"/>
      <c r="G8" s="8"/>
      <c r="I8" s="8"/>
      <c r="J8" s="8"/>
      <c r="K8" s="8"/>
      <c r="L8" s="8"/>
      <c r="M8" s="8"/>
      <c r="O8" s="75"/>
      <c r="P8" s="8"/>
      <c r="Q8" s="8"/>
      <c r="R8" s="8"/>
      <c r="S8" s="8"/>
      <c r="T8" s="8"/>
      <c r="W8" s="113"/>
      <c r="X8" s="8"/>
      <c r="Y8" s="121"/>
      <c r="Z8" s="121"/>
      <c r="AA8" s="121"/>
      <c r="AB8" s="121"/>
      <c r="AC8" s="121"/>
      <c r="AD8" s="188"/>
      <c r="AE8" s="178"/>
      <c r="AF8" s="178"/>
      <c r="AG8" s="178"/>
      <c r="AH8" s="178"/>
      <c r="AI8" s="178"/>
      <c r="AJ8" s="178"/>
      <c r="AK8" s="178"/>
      <c r="AL8" s="178"/>
      <c r="AM8" s="178"/>
      <c r="AN8" s="178"/>
      <c r="AO8" s="178"/>
      <c r="AP8" s="178"/>
      <c r="AQ8" s="121">
        <f t="shared" si="1"/>
        <v>0</v>
      </c>
      <c r="AR8" s="143">
        <f>AQ8/AQ$14</f>
        <v>0</v>
      </c>
      <c r="AV8" s="113"/>
    </row>
    <row r="9" spans="1:48" x14ac:dyDescent="0.25">
      <c r="B9" t="s">
        <v>150</v>
      </c>
      <c r="C9" s="8"/>
      <c r="E9" s="8"/>
      <c r="G9" s="8"/>
      <c r="I9" s="8">
        <f>'Sales by Segment'!C22</f>
        <v>115641</v>
      </c>
      <c r="J9" s="8">
        <f>'Sales by Segment'!E22</f>
        <v>109617</v>
      </c>
      <c r="K9" s="8">
        <f>'Sales by Segment'!G22</f>
        <v>76149</v>
      </c>
      <c r="L9" s="8">
        <f>'Sales by Segment'!K22</f>
        <v>136365</v>
      </c>
      <c r="M9" s="8">
        <f t="shared" si="0"/>
        <v>437772</v>
      </c>
      <c r="N9" s="41">
        <f>M9/M$14</f>
        <v>0.18820861982168338</v>
      </c>
      <c r="O9" s="75"/>
      <c r="P9" s="8">
        <f>'Sales by Segment'!O22</f>
        <v>106256.68</v>
      </c>
      <c r="Q9" s="8">
        <f>'Sales by Segment'!P22</f>
        <v>182882.348</v>
      </c>
      <c r="R9" s="8">
        <f>'Sales by Segment'!Q22</f>
        <v>182445.182</v>
      </c>
      <c r="S9" s="8">
        <f>'Sales by Segment'!R22</f>
        <v>269699.19</v>
      </c>
      <c r="T9" s="8">
        <f>'Sales by Segment'!S22</f>
        <v>741283.4</v>
      </c>
      <c r="U9" s="41">
        <f>T9/T$14</f>
        <v>0.23675751683894183</v>
      </c>
      <c r="W9" s="113"/>
      <c r="X9" s="8">
        <f>'Sales by Segment'!T22</f>
        <v>164797</v>
      </c>
      <c r="Y9" s="121">
        <f>'Sales by Segment'!U22</f>
        <v>124694</v>
      </c>
      <c r="Z9" s="121"/>
      <c r="AA9" s="121"/>
      <c r="AB9" s="121"/>
      <c r="AC9" s="121"/>
      <c r="AD9" s="188"/>
      <c r="AE9" s="178"/>
      <c r="AF9" s="178"/>
      <c r="AG9" s="178"/>
      <c r="AH9" s="178"/>
      <c r="AI9" s="178"/>
      <c r="AJ9" s="178"/>
      <c r="AK9" s="178"/>
      <c r="AL9" s="178"/>
      <c r="AM9" s="178"/>
      <c r="AN9" s="178"/>
      <c r="AO9" s="178"/>
      <c r="AP9" s="178"/>
      <c r="AQ9" s="121">
        <f t="shared" si="1"/>
        <v>0</v>
      </c>
      <c r="AR9" s="143">
        <f>AQ9/AQ$14</f>
        <v>0</v>
      </c>
      <c r="AV9" s="113"/>
    </row>
    <row r="10" spans="1:48" x14ac:dyDescent="0.25">
      <c r="B10" t="s">
        <v>151</v>
      </c>
      <c r="C10" s="9"/>
      <c r="D10" s="43"/>
      <c r="E10" s="9"/>
      <c r="F10" s="43"/>
      <c r="G10" s="9"/>
      <c r="H10" s="43"/>
      <c r="I10" s="9">
        <f>'Sales by Segment'!C35</f>
        <v>308016</v>
      </c>
      <c r="J10" s="9">
        <f>'Sales by Segment'!E35</f>
        <v>156713</v>
      </c>
      <c r="K10" s="9">
        <f>'Sales by Segment'!G35</f>
        <v>304392</v>
      </c>
      <c r="L10" s="9">
        <f>'Sales by Segment'!K35</f>
        <v>451191</v>
      </c>
      <c r="M10" s="9">
        <f t="shared" si="0"/>
        <v>1220312</v>
      </c>
      <c r="N10" s="43">
        <f>M10/M$14</f>
        <v>0.52464122253556211</v>
      </c>
      <c r="O10" s="75"/>
      <c r="P10" s="9">
        <f>'Sales by Segment'!O35</f>
        <v>332584.14</v>
      </c>
      <c r="Q10" s="9">
        <f>'Sales by Segment'!P35</f>
        <v>293142.554</v>
      </c>
      <c r="R10" s="9">
        <f>'Sales by Segment'!Q35</f>
        <v>388171.76100000006</v>
      </c>
      <c r="S10" s="9">
        <f>'Sales by Segment'!R35</f>
        <v>533522.245</v>
      </c>
      <c r="T10" s="9">
        <f>'Sales by Segment'!S35</f>
        <v>1547420.7</v>
      </c>
      <c r="U10" s="43">
        <f>T10/T$14</f>
        <v>0.49422863433496167</v>
      </c>
      <c r="W10" s="113"/>
      <c r="X10" s="9">
        <f>'Sales by Segment'!T35</f>
        <v>277143</v>
      </c>
      <c r="Y10" s="122">
        <f>'Sales by Segment'!U35</f>
        <v>146688</v>
      </c>
      <c r="Z10" s="122"/>
      <c r="AA10" s="122"/>
      <c r="AB10" s="122"/>
      <c r="AC10" s="122"/>
      <c r="AD10" s="189"/>
      <c r="AE10" s="201"/>
      <c r="AF10" s="201"/>
      <c r="AG10" s="201"/>
      <c r="AH10" s="201"/>
      <c r="AI10" s="201"/>
      <c r="AJ10" s="201"/>
      <c r="AK10" s="201"/>
      <c r="AL10" s="201"/>
      <c r="AM10" s="201"/>
      <c r="AN10" s="201"/>
      <c r="AO10" s="201"/>
      <c r="AP10" s="201"/>
      <c r="AQ10" s="122">
        <f t="shared" si="1"/>
        <v>0</v>
      </c>
      <c r="AR10" s="144">
        <f>AQ10/AQ$14</f>
        <v>0</v>
      </c>
      <c r="AV10" s="113"/>
    </row>
    <row r="11" spans="1:48" hidden="1" x14ac:dyDescent="0.25">
      <c r="B11" t="s">
        <v>186</v>
      </c>
      <c r="C11" s="8">
        <f>QB!F20+QB!F30+QB!F33+QB!F34+QB!F40</f>
        <v>1176162.07</v>
      </c>
      <c r="E11" s="8">
        <f>QB!K20+QB!K30+QB!K33+QB!K34+QB!K40</f>
        <v>1985300.71</v>
      </c>
      <c r="G11" s="8">
        <f>QB!P20+QB!P30+QB!P33+QB!P34+QB!P40</f>
        <v>1946199.25</v>
      </c>
      <c r="I11" s="8"/>
      <c r="J11" s="8"/>
      <c r="K11" s="8"/>
      <c r="L11" s="8"/>
      <c r="M11" s="8"/>
      <c r="O11" s="75"/>
      <c r="Y11" s="108"/>
      <c r="AD11" s="187"/>
    </row>
    <row r="12" spans="1:48" hidden="1" x14ac:dyDescent="0.25">
      <c r="B12" t="s">
        <v>192</v>
      </c>
      <c r="C12" s="8">
        <f>QB!F24+QB!F29</f>
        <v>98761.520000000019</v>
      </c>
      <c r="E12" s="8">
        <f>QB!K24+QB!K29</f>
        <v>182871.54</v>
      </c>
      <c r="G12" s="8">
        <f>QB!P24+QB!P29</f>
        <v>249354.49999999997</v>
      </c>
      <c r="I12" s="8"/>
      <c r="J12" s="8"/>
      <c r="K12" s="8"/>
      <c r="L12" s="8"/>
      <c r="M12" s="8"/>
      <c r="O12" s="75"/>
      <c r="Y12" s="108"/>
      <c r="AD12" s="187"/>
    </row>
    <row r="13" spans="1:48" hidden="1" x14ac:dyDescent="0.25">
      <c r="B13" t="s">
        <v>154</v>
      </c>
      <c r="C13" s="9">
        <f>QB!F42+QB!F43+QB!F44</f>
        <v>5945.28</v>
      </c>
      <c r="E13" s="9">
        <f>QB!K42+QB!K43+QB!K44</f>
        <v>1082.8899999999999</v>
      </c>
      <c r="G13" s="9">
        <f>QB!P42+QB!P43+QB!P44</f>
        <v>6343.26</v>
      </c>
      <c r="I13" s="8"/>
      <c r="J13" s="8"/>
      <c r="K13" s="8"/>
      <c r="L13" s="8"/>
      <c r="M13" s="8"/>
      <c r="O13" s="75"/>
      <c r="Y13" s="108"/>
      <c r="AD13" s="187"/>
    </row>
    <row r="14" spans="1:48" s="45" customFormat="1" x14ac:dyDescent="0.25">
      <c r="B14" s="45" t="s">
        <v>290</v>
      </c>
      <c r="C14" s="46">
        <f>SUM(C11:C13)</f>
        <v>1280868.8700000001</v>
      </c>
      <c r="D14" s="47">
        <f t="shared" ref="D14" si="2">C14/C$14</f>
        <v>1</v>
      </c>
      <c r="E14" s="46">
        <f>SUM(E11:E13)</f>
        <v>2169255.14</v>
      </c>
      <c r="F14" s="47">
        <f t="shared" ref="F14:F87" si="3">E14/E$14</f>
        <v>1</v>
      </c>
      <c r="G14" s="46">
        <f>SUM(G11:G13)</f>
        <v>2201897.0099999998</v>
      </c>
      <c r="H14" s="47">
        <f>G14/G$14</f>
        <v>1</v>
      </c>
      <c r="I14" s="48">
        <f>SUM(I6:I10)</f>
        <v>600403.69000000006</v>
      </c>
      <c r="J14" s="48">
        <f t="shared" ref="J14:M14" si="4">SUM(J6:J10)</f>
        <v>427186</v>
      </c>
      <c r="K14" s="48">
        <f t="shared" si="4"/>
        <v>537430</v>
      </c>
      <c r="L14" s="48">
        <f t="shared" si="4"/>
        <v>760973.67</v>
      </c>
      <c r="M14" s="48">
        <f t="shared" si="4"/>
        <v>2325993.3600000003</v>
      </c>
      <c r="N14" s="47">
        <f>M14/M$14</f>
        <v>1</v>
      </c>
      <c r="O14" s="76">
        <f>K14</f>
        <v>537430</v>
      </c>
      <c r="P14" s="48">
        <f t="shared" ref="P14:S14" si="5">SUM(P6:P10)</f>
        <v>607296.29560000007</v>
      </c>
      <c r="Q14" s="48">
        <f t="shared" si="5"/>
        <v>629325.9251600001</v>
      </c>
      <c r="R14" s="48">
        <f t="shared" si="5"/>
        <v>780340.73994000012</v>
      </c>
      <c r="S14" s="48">
        <f t="shared" si="5"/>
        <v>1130018.5172999999</v>
      </c>
      <c r="T14" s="48">
        <f t="shared" ref="T14" si="6">SUM(T6:T10)</f>
        <v>3130981.4780000001</v>
      </c>
      <c r="U14" s="47">
        <f>T14/T$14</f>
        <v>1</v>
      </c>
      <c r="W14" s="114"/>
      <c r="X14" s="48">
        <f t="shared" ref="X14" si="7">SUM(X6:X10)</f>
        <v>570041</v>
      </c>
      <c r="Y14" s="126">
        <v>405174</v>
      </c>
      <c r="Z14" s="126">
        <v>347143</v>
      </c>
      <c r="AA14" s="126">
        <v>155912</v>
      </c>
      <c r="AB14" s="126">
        <v>147384</v>
      </c>
      <c r="AC14" s="126">
        <v>129065</v>
      </c>
      <c r="AD14" s="190"/>
      <c r="AE14" s="48">
        <v>104120</v>
      </c>
      <c r="AF14" s="126">
        <v>82917</v>
      </c>
      <c r="AG14" s="173">
        <v>100000</v>
      </c>
      <c r="AH14" s="173">
        <v>200000</v>
      </c>
      <c r="AI14" s="173">
        <v>200000</v>
      </c>
      <c r="AJ14" s="173">
        <v>200000</v>
      </c>
      <c r="AK14" s="173">
        <v>230000</v>
      </c>
      <c r="AL14" s="173">
        <v>230000</v>
      </c>
      <c r="AM14" s="173">
        <v>240000</v>
      </c>
      <c r="AN14" s="173">
        <v>225000</v>
      </c>
      <c r="AO14" s="173">
        <v>230000</v>
      </c>
      <c r="AP14" s="173">
        <v>230000</v>
      </c>
      <c r="AQ14" s="173">
        <f>SUM(AE14:AP14)</f>
        <v>2272037</v>
      </c>
      <c r="AR14" s="174">
        <f t="shared" ref="AR14" si="8">AQ14/AQ$14</f>
        <v>1</v>
      </c>
      <c r="AS14" s="175" t="s">
        <v>313</v>
      </c>
      <c r="AV14" s="117"/>
    </row>
    <row r="15" spans="1:48" x14ac:dyDescent="0.25">
      <c r="A15" t="s">
        <v>155</v>
      </c>
      <c r="C15" s="8"/>
      <c r="E15" s="8"/>
      <c r="G15" s="8"/>
      <c r="I15" s="8"/>
      <c r="J15" s="8"/>
      <c r="K15" s="8"/>
      <c r="L15" s="8"/>
      <c r="M15" s="8"/>
      <c r="O15" s="75"/>
      <c r="Y15" s="108"/>
      <c r="AD15" s="187"/>
    </row>
    <row r="16" spans="1:48" x14ac:dyDescent="0.25">
      <c r="B16" t="s">
        <v>184</v>
      </c>
      <c r="C16" s="8">
        <f>QB!F47+QB!F48+QB!F50+QB!F51</f>
        <v>497738.93</v>
      </c>
      <c r="D16" s="41">
        <f t="shared" ref="D16" si="9">C16/C$14</f>
        <v>0.38859475911847241</v>
      </c>
      <c r="E16" s="8">
        <f>QB!K47+QB!K48+QB!K50+QB!K51</f>
        <v>668009.87000000011</v>
      </c>
      <c r="F16" s="41">
        <f t="shared" si="3"/>
        <v>0.30794435273298471</v>
      </c>
      <c r="G16" s="8">
        <f>QB!P47+QB!P48+QB!P50+QB!P51</f>
        <v>943998.9</v>
      </c>
      <c r="H16" s="41">
        <f t="shared" ref="H16:H24" si="10">G16/G$14</f>
        <v>0.42872073294654234</v>
      </c>
      <c r="I16" s="8">
        <f>QB!Q47+QB!Q48+QB!Q50+QB!Q51</f>
        <v>296571.87</v>
      </c>
      <c r="J16" s="8">
        <f>QB!R47+QB!R48+QB!R50+QB!R51</f>
        <v>170635.73</v>
      </c>
      <c r="K16" s="8">
        <f>QB!S47+QB!S48+QB!S50+QB!S51</f>
        <v>195667.65000000002</v>
      </c>
      <c r="L16" s="8">
        <f>QB!T47+QB!T48+QB!T50+QB!T51</f>
        <v>349942.37</v>
      </c>
      <c r="M16" s="8">
        <f t="shared" si="0"/>
        <v>1012817.62</v>
      </c>
      <c r="N16" s="41">
        <f>M16/M$14</f>
        <v>0.43543444165292022</v>
      </c>
      <c r="O16" s="75"/>
      <c r="P16" s="8">
        <f>(P6*P97)+(P7*P98)+(P9*P99)+(P10*P100)</f>
        <v>259090.03412800003</v>
      </c>
      <c r="Q16" s="8">
        <f>(Q6*Q97)+(Q7*Q98)+(Q9*Q99)+(Q10*Q100)</f>
        <v>273918.0375408</v>
      </c>
      <c r="R16" s="8">
        <f>(R6*R97)+(R7*R98)+(R9*R99)+(R10*R100)</f>
        <v>336007.03924720001</v>
      </c>
      <c r="S16" s="8">
        <f>(S6*S97)+(S7*S98)+(S9*S99)+(S10*S100)</f>
        <v>485750.05972400005</v>
      </c>
      <c r="T16" s="8">
        <f>SUM(P16:S16)</f>
        <v>1354765.1706400001</v>
      </c>
      <c r="U16" s="41">
        <f>T16/T$14</f>
        <v>0.43269664166310984</v>
      </c>
      <c r="V16" t="s">
        <v>296</v>
      </c>
      <c r="W16" s="113"/>
      <c r="X16" s="8">
        <v>342783</v>
      </c>
      <c r="Y16" s="121">
        <v>182623</v>
      </c>
      <c r="Z16" s="121">
        <v>199547</v>
      </c>
      <c r="AA16" s="121">
        <v>51354</v>
      </c>
      <c r="AB16" s="121">
        <v>56556</v>
      </c>
      <c r="AC16" s="121">
        <v>54070</v>
      </c>
      <c r="AD16" s="188"/>
      <c r="AE16" s="121">
        <v>35127</v>
      </c>
      <c r="AF16" s="121">
        <v>27875</v>
      </c>
      <c r="AG16" s="121">
        <f t="shared" ref="AG16:AP16" si="11">AG14*0.4</f>
        <v>40000</v>
      </c>
      <c r="AH16" s="121">
        <f t="shared" si="11"/>
        <v>80000</v>
      </c>
      <c r="AI16" s="121">
        <f t="shared" si="11"/>
        <v>80000</v>
      </c>
      <c r="AJ16" s="121">
        <f t="shared" si="11"/>
        <v>80000</v>
      </c>
      <c r="AK16" s="121">
        <f t="shared" si="11"/>
        <v>92000</v>
      </c>
      <c r="AL16" s="121">
        <f t="shared" si="11"/>
        <v>92000</v>
      </c>
      <c r="AM16" s="121">
        <f t="shared" si="11"/>
        <v>96000</v>
      </c>
      <c r="AN16" s="121">
        <f t="shared" si="11"/>
        <v>90000</v>
      </c>
      <c r="AO16" s="121">
        <f t="shared" si="11"/>
        <v>92000</v>
      </c>
      <c r="AP16" s="121">
        <f t="shared" si="11"/>
        <v>92000</v>
      </c>
      <c r="AQ16" s="121">
        <f t="shared" ref="AQ16:AQ22" si="12">SUM(AE16:AP16)</f>
        <v>897002</v>
      </c>
      <c r="AR16" s="143">
        <f t="shared" ref="AR16:AR24" si="13">AQ16/AQ$14</f>
        <v>0.39480078889560338</v>
      </c>
      <c r="AS16" s="143" t="s">
        <v>1804</v>
      </c>
      <c r="AV16" s="113"/>
    </row>
    <row r="17" spans="1:48" x14ac:dyDescent="0.25">
      <c r="B17" t="s">
        <v>183</v>
      </c>
      <c r="C17" s="8">
        <f>QB!F49</f>
        <v>115308.88</v>
      </c>
      <c r="D17" s="41">
        <f t="shared" ref="D17" si="14">C17/C$14</f>
        <v>9.0023953818160946E-2</v>
      </c>
      <c r="E17" s="8">
        <f>QB!K49</f>
        <v>198278.66999999998</v>
      </c>
      <c r="F17" s="41">
        <f t="shared" si="3"/>
        <v>9.1404033736667778E-2</v>
      </c>
      <c r="G17" s="8">
        <f>QB!P49</f>
        <v>268052.96999999997</v>
      </c>
      <c r="H17" s="41">
        <f t="shared" si="10"/>
        <v>0.12173728779440052</v>
      </c>
      <c r="I17" s="8">
        <f>QB!Q49</f>
        <v>51915.66</v>
      </c>
      <c r="J17" s="8">
        <f>QB!R49</f>
        <v>50350.69</v>
      </c>
      <c r="K17" s="8">
        <f>QB!S49</f>
        <v>44278.39</v>
      </c>
      <c r="L17" s="8">
        <f>QB!T49</f>
        <v>68459.790000000008</v>
      </c>
      <c r="M17" s="8">
        <f t="shared" si="0"/>
        <v>215004.53</v>
      </c>
      <c r="N17" s="41">
        <f>M17/M$14</f>
        <v>9.2435573418833822E-2</v>
      </c>
      <c r="O17" s="75"/>
      <c r="P17" s="8">
        <f>P14*0.09</f>
        <v>54656.666604000005</v>
      </c>
      <c r="Q17" s="8">
        <f t="shared" ref="Q17:S17" si="15">Q14*0.09</f>
        <v>56639.333264400004</v>
      </c>
      <c r="R17" s="8">
        <f t="shared" si="15"/>
        <v>70230.666594600014</v>
      </c>
      <c r="S17" s="8">
        <f t="shared" si="15"/>
        <v>101701.66655699999</v>
      </c>
      <c r="T17" s="8">
        <f>SUM(P17:S17)</f>
        <v>283228.33302000002</v>
      </c>
      <c r="U17" s="41">
        <f>T17/T$14</f>
        <v>9.0459919680176401E-2</v>
      </c>
      <c r="V17" t="s">
        <v>297</v>
      </c>
      <c r="W17" s="113"/>
      <c r="X17" s="8">
        <v>46962</v>
      </c>
      <c r="Y17" s="121">
        <v>32407</v>
      </c>
      <c r="Z17" s="121">
        <v>27976</v>
      </c>
      <c r="AA17" s="121">
        <v>8573</v>
      </c>
      <c r="AB17" s="121">
        <v>10446</v>
      </c>
      <c r="AC17" s="121">
        <v>8139</v>
      </c>
      <c r="AD17" s="188"/>
      <c r="AE17" s="121">
        <v>8646</v>
      </c>
      <c r="AF17" s="121">
        <v>5159</v>
      </c>
      <c r="AG17" s="121">
        <f t="shared" ref="AG17:AP17" si="16">0.07*AG14</f>
        <v>7000.0000000000009</v>
      </c>
      <c r="AH17" s="121">
        <f t="shared" si="16"/>
        <v>14000.000000000002</v>
      </c>
      <c r="AI17" s="121">
        <f t="shared" si="16"/>
        <v>14000.000000000002</v>
      </c>
      <c r="AJ17" s="121">
        <f t="shared" si="16"/>
        <v>14000.000000000002</v>
      </c>
      <c r="AK17" s="121">
        <f t="shared" si="16"/>
        <v>16100.000000000002</v>
      </c>
      <c r="AL17" s="121">
        <f t="shared" si="16"/>
        <v>16100.000000000002</v>
      </c>
      <c r="AM17" s="121">
        <f t="shared" si="16"/>
        <v>16800</v>
      </c>
      <c r="AN17" s="121">
        <f t="shared" si="16"/>
        <v>15750.000000000002</v>
      </c>
      <c r="AO17" s="121">
        <f t="shared" si="16"/>
        <v>16100.000000000002</v>
      </c>
      <c r="AP17" s="121">
        <f t="shared" si="16"/>
        <v>16100.000000000002</v>
      </c>
      <c r="AQ17" s="121">
        <f t="shared" si="12"/>
        <v>159755</v>
      </c>
      <c r="AR17" s="143">
        <f t="shared" si="13"/>
        <v>7.0313555633116892E-2</v>
      </c>
      <c r="AS17" s="143" t="s">
        <v>538</v>
      </c>
      <c r="AV17" s="113"/>
    </row>
    <row r="18" spans="1:48" x14ac:dyDescent="0.25">
      <c r="B18" t="s">
        <v>1791</v>
      </c>
      <c r="C18" s="8"/>
      <c r="E18" s="8"/>
      <c r="G18" s="8"/>
      <c r="I18" s="8"/>
      <c r="J18" s="8"/>
      <c r="K18" s="8"/>
      <c r="L18" s="8"/>
      <c r="M18" s="8"/>
      <c r="O18" s="75"/>
      <c r="P18" s="8"/>
      <c r="Q18" s="8"/>
      <c r="R18" s="8"/>
      <c r="S18" s="8"/>
      <c r="T18" s="8"/>
      <c r="W18" s="113"/>
      <c r="X18" s="8"/>
      <c r="Y18" s="121"/>
      <c r="Z18" s="121"/>
      <c r="AA18" s="121"/>
      <c r="AB18" s="121"/>
      <c r="AC18" s="121"/>
      <c r="AD18" s="188"/>
      <c r="AE18" s="121">
        <v>6900</v>
      </c>
      <c r="AF18" s="121">
        <v>-2315</v>
      </c>
      <c r="AG18" s="121"/>
      <c r="AH18" s="121"/>
      <c r="AI18" s="121"/>
      <c r="AJ18" s="121"/>
      <c r="AK18" s="121"/>
      <c r="AL18" s="121"/>
      <c r="AM18" s="121"/>
      <c r="AN18" s="121"/>
      <c r="AO18" s="121"/>
      <c r="AP18" s="121"/>
      <c r="AQ18" s="121">
        <f t="shared" si="12"/>
        <v>4585</v>
      </c>
      <c r="AV18" s="113"/>
    </row>
    <row r="19" spans="1:48" x14ac:dyDescent="0.25">
      <c r="B19" t="s">
        <v>185</v>
      </c>
      <c r="C19" s="8">
        <f>QB!F52</f>
        <v>128054.04000000001</v>
      </c>
      <c r="D19" s="41">
        <f t="shared" ref="D19" si="17">C19/C$14</f>
        <v>9.99743556887287E-2</v>
      </c>
      <c r="E19" s="8">
        <f>QB!K52</f>
        <v>194413.35</v>
      </c>
      <c r="F19" s="41">
        <f t="shared" si="3"/>
        <v>8.9622168649096751E-2</v>
      </c>
      <c r="G19" s="8">
        <f>QB!P52</f>
        <v>179567.31000000003</v>
      </c>
      <c r="H19" s="41">
        <f t="shared" si="10"/>
        <v>8.1551184812227007E-2</v>
      </c>
      <c r="I19" s="8">
        <f>QB!Q52</f>
        <v>0</v>
      </c>
      <c r="J19" s="8">
        <f>QB!R52</f>
        <v>0</v>
      </c>
      <c r="K19" s="8">
        <f>QB!S52</f>
        <v>0</v>
      </c>
      <c r="L19" s="8">
        <f>QB!T52</f>
        <v>0</v>
      </c>
      <c r="M19" s="8">
        <f t="shared" si="0"/>
        <v>0</v>
      </c>
      <c r="N19" s="41">
        <f>M19/M$14</f>
        <v>0</v>
      </c>
      <c r="O19" s="75"/>
      <c r="P19" s="8">
        <f t="shared" ref="P19" si="18">SUM(L19:O19)</f>
        <v>0</v>
      </c>
      <c r="Q19" s="8">
        <f t="shared" ref="Q19" si="19">SUM(M19:P19)</f>
        <v>0</v>
      </c>
      <c r="R19" s="8">
        <f t="shared" ref="R19" si="20">SUM(N19:Q19)</f>
        <v>0</v>
      </c>
      <c r="S19" s="8">
        <f t="shared" ref="S19" si="21">SUM(O19:R19)</f>
        <v>0</v>
      </c>
      <c r="T19" s="8">
        <f>SUM(P19:S19)</f>
        <v>0</v>
      </c>
      <c r="U19" s="41">
        <f>T19/T$14</f>
        <v>0</v>
      </c>
      <c r="W19" s="113"/>
      <c r="X19" s="8">
        <f>SUM(T19:V19)</f>
        <v>0</v>
      </c>
      <c r="Y19" s="121"/>
      <c r="Z19" s="121"/>
      <c r="AA19" s="121"/>
      <c r="AB19" s="121"/>
      <c r="AC19" s="121"/>
      <c r="AD19" s="188"/>
      <c r="AE19" s="121"/>
      <c r="AF19" s="121"/>
      <c r="AG19" s="121"/>
      <c r="AH19" s="121"/>
      <c r="AI19" s="121"/>
      <c r="AJ19" s="121"/>
      <c r="AK19" s="121"/>
      <c r="AL19" s="121"/>
      <c r="AM19" s="121"/>
      <c r="AN19" s="121"/>
      <c r="AO19" s="121"/>
      <c r="AP19" s="121"/>
      <c r="AQ19" s="121">
        <f t="shared" si="12"/>
        <v>0</v>
      </c>
      <c r="AR19" s="143">
        <f t="shared" si="13"/>
        <v>0</v>
      </c>
      <c r="AV19" s="113"/>
    </row>
    <row r="20" spans="1:48" x14ac:dyDescent="0.25">
      <c r="B20" t="s">
        <v>1771</v>
      </c>
      <c r="C20" s="8"/>
      <c r="E20" s="8"/>
      <c r="G20" s="8"/>
      <c r="I20" s="8"/>
      <c r="J20" s="8"/>
      <c r="K20" s="8"/>
      <c r="L20" s="8"/>
      <c r="M20" s="8"/>
      <c r="O20" s="75"/>
      <c r="P20" s="8"/>
      <c r="Q20" s="8"/>
      <c r="R20" s="8"/>
      <c r="S20" s="8"/>
      <c r="T20" s="8"/>
      <c r="W20" s="113"/>
      <c r="X20" s="8"/>
      <c r="Y20" s="121"/>
      <c r="Z20" s="121"/>
      <c r="AA20" s="121"/>
      <c r="AB20" s="121"/>
      <c r="AC20" s="121"/>
      <c r="AD20" s="188"/>
      <c r="AE20" s="121"/>
      <c r="AF20" s="121"/>
      <c r="AG20" s="121"/>
      <c r="AH20" s="121"/>
      <c r="AI20" s="121"/>
      <c r="AJ20" s="121"/>
      <c r="AK20" s="121"/>
      <c r="AL20" s="121"/>
      <c r="AM20" s="121"/>
      <c r="AN20" s="121"/>
      <c r="AO20" s="121"/>
      <c r="AP20" s="121"/>
      <c r="AQ20" s="121">
        <f t="shared" si="12"/>
        <v>0</v>
      </c>
      <c r="AV20" s="113"/>
    </row>
    <row r="21" spans="1:48" ht="17.25" x14ac:dyDescent="0.25">
      <c r="A21" s="202" t="s">
        <v>1805</v>
      </c>
      <c r="B21" t="s">
        <v>539</v>
      </c>
      <c r="C21" s="8"/>
      <c r="E21" s="8"/>
      <c r="G21" s="8"/>
      <c r="I21" s="8"/>
      <c r="J21" s="8"/>
      <c r="K21" s="8"/>
      <c r="L21" s="8"/>
      <c r="M21" s="8"/>
      <c r="O21" s="75"/>
      <c r="P21" s="8"/>
      <c r="Q21" s="8"/>
      <c r="R21" s="8"/>
      <c r="S21" s="8"/>
      <c r="T21" s="8"/>
      <c r="W21" s="113"/>
      <c r="X21" s="8">
        <v>25860</v>
      </c>
      <c r="Y21" s="121">
        <v>17408</v>
      </c>
      <c r="Z21" s="121">
        <v>52288</v>
      </c>
      <c r="AA21" s="121">
        <v>20454</v>
      </c>
      <c r="AB21" s="121">
        <v>12986</v>
      </c>
      <c r="AC21" s="121">
        <v>2493</v>
      </c>
      <c r="AD21" s="188"/>
      <c r="AE21" s="121">
        <v>17155</v>
      </c>
      <c r="AF21" s="121">
        <v>16557</v>
      </c>
      <c r="AG21" s="121">
        <f t="shared" ref="AG21:AP21" si="22">AG14*0.08</f>
        <v>8000</v>
      </c>
      <c r="AH21" s="121">
        <f t="shared" si="22"/>
        <v>16000</v>
      </c>
      <c r="AI21" s="121">
        <f t="shared" si="22"/>
        <v>16000</v>
      </c>
      <c r="AJ21" s="121">
        <f t="shared" si="22"/>
        <v>16000</v>
      </c>
      <c r="AK21" s="121">
        <f t="shared" si="22"/>
        <v>18400</v>
      </c>
      <c r="AL21" s="121">
        <f t="shared" si="22"/>
        <v>18400</v>
      </c>
      <c r="AM21" s="121">
        <f t="shared" si="22"/>
        <v>19200</v>
      </c>
      <c r="AN21" s="121">
        <f t="shared" si="22"/>
        <v>18000</v>
      </c>
      <c r="AO21" s="121">
        <f t="shared" si="22"/>
        <v>18400</v>
      </c>
      <c r="AP21" s="121">
        <f t="shared" si="22"/>
        <v>18400</v>
      </c>
      <c r="AQ21" s="121">
        <f t="shared" si="12"/>
        <v>200512</v>
      </c>
      <c r="AS21" s="143" t="s">
        <v>1854</v>
      </c>
      <c r="AV21" s="113"/>
    </row>
    <row r="22" spans="1:48" x14ac:dyDescent="0.25">
      <c r="A22" t="s">
        <v>1805</v>
      </c>
      <c r="B22" t="s">
        <v>154</v>
      </c>
      <c r="C22" s="9">
        <f>QB!F53+QB!F54+QB!F55+QB!F56+QB!F57+QB!F58+QB!F59+QB!F60+QB!F61+QB!F62+QB!F64</f>
        <v>25822.27</v>
      </c>
      <c r="D22" s="43">
        <f t="shared" ref="D22" si="23">C22/C$14</f>
        <v>2.0159963759600153E-2</v>
      </c>
      <c r="E22" s="9">
        <f>QB!K53+QB!K54+QB!K55+QB!K56+QB!K57+QB!K58+QB!K59+QB!K60+QB!K61+QB!K62+QB!K64</f>
        <v>154060.70000000001</v>
      </c>
      <c r="F22" s="43">
        <f t="shared" si="3"/>
        <v>7.1020092177815464E-2</v>
      </c>
      <c r="G22" s="9">
        <f>QB!P53+QB!P54+QB!P55+QB!P56+QB!P57+QB!P58+QB!P59+QB!P60+QB!P61+QB!P62+QB!P64</f>
        <v>76433.53</v>
      </c>
      <c r="H22" s="43">
        <f t="shared" si="10"/>
        <v>3.4712581766029107E-2</v>
      </c>
      <c r="I22" s="9">
        <f>QB!Q53+QB!Q54+QB!Q55+QB!Q56+QB!Q57+QB!Q58+QB!Q59+QB!Q60+QB!Q61+QB!Q62+QB!Q64</f>
        <v>15108.43</v>
      </c>
      <c r="J22" s="9">
        <f>QB!R53+QB!R54+QB!R55+QB!R56+QB!R57+QB!R58+QB!R59+QB!R60+QB!R61+QB!R62+QB!R64</f>
        <v>25808.14</v>
      </c>
      <c r="K22" s="9">
        <f>QB!S53+QB!S54+QB!S55+QB!S56+QB!S57+QB!S58+QB!S59+QB!S60+QB!S61+QB!S62+QB!S64</f>
        <v>15454.42</v>
      </c>
      <c r="L22" s="9">
        <f>QB!T53+QB!T54+QB!T55+QB!T56+QB!T57+QB!T58+QB!T59+QB!T60+QB!T61+QB!T62+QB!T64</f>
        <v>27571.25</v>
      </c>
      <c r="M22" s="9">
        <f t="shared" si="0"/>
        <v>83942.239999999991</v>
      </c>
      <c r="N22" s="43">
        <f>M22/M$14</f>
        <v>3.6088770262009684E-2</v>
      </c>
      <c r="O22" s="75"/>
      <c r="P22" s="9">
        <f>P14*0.03</f>
        <v>18218.888868000002</v>
      </c>
      <c r="Q22" s="9">
        <f>Q14*0.03</f>
        <v>18879.777754800001</v>
      </c>
      <c r="R22" s="9">
        <f>R14*0.03</f>
        <v>23410.222198200001</v>
      </c>
      <c r="S22" s="9">
        <f>S14*0.03</f>
        <v>33900.555518999994</v>
      </c>
      <c r="T22" s="8">
        <f>SUM(P22:S22)</f>
        <v>94409.444339999987</v>
      </c>
      <c r="U22" s="43">
        <f>T22/T$14</f>
        <v>3.0153306560058796E-2</v>
      </c>
      <c r="V22" t="s">
        <v>301</v>
      </c>
      <c r="W22" s="113"/>
      <c r="X22" s="9"/>
      <c r="Y22" s="122">
        <v>31200</v>
      </c>
      <c r="Z22" s="122">
        <v>29434</v>
      </c>
      <c r="AA22" s="122">
        <v>10167</v>
      </c>
      <c r="AB22" s="122">
        <v>6575</v>
      </c>
      <c r="AC22" s="122">
        <v>9120</v>
      </c>
      <c r="AD22" s="189"/>
      <c r="AE22" s="122">
        <v>1408</v>
      </c>
      <c r="AF22" s="122">
        <v>281</v>
      </c>
      <c r="AG22" s="122">
        <f t="shared" ref="AG22:AP22" si="24">AG14*0.02</f>
        <v>2000</v>
      </c>
      <c r="AH22" s="122">
        <f t="shared" si="24"/>
        <v>4000</v>
      </c>
      <c r="AI22" s="122">
        <f t="shared" si="24"/>
        <v>4000</v>
      </c>
      <c r="AJ22" s="122">
        <f t="shared" si="24"/>
        <v>4000</v>
      </c>
      <c r="AK22" s="122">
        <f t="shared" si="24"/>
        <v>4600</v>
      </c>
      <c r="AL22" s="122">
        <f t="shared" si="24"/>
        <v>4600</v>
      </c>
      <c r="AM22" s="122">
        <f t="shared" si="24"/>
        <v>4800</v>
      </c>
      <c r="AN22" s="122">
        <f t="shared" si="24"/>
        <v>4500</v>
      </c>
      <c r="AO22" s="122">
        <f t="shared" si="24"/>
        <v>4600</v>
      </c>
      <c r="AP22" s="122">
        <f t="shared" si="24"/>
        <v>4600</v>
      </c>
      <c r="AQ22" s="121">
        <f t="shared" si="12"/>
        <v>43389</v>
      </c>
      <c r="AR22" s="144">
        <f t="shared" si="13"/>
        <v>1.9096960128730297E-2</v>
      </c>
      <c r="AS22" s="143" t="s">
        <v>1855</v>
      </c>
      <c r="AV22" s="113"/>
    </row>
    <row r="23" spans="1:48" s="45" customFormat="1" x14ac:dyDescent="0.25">
      <c r="A23" s="45" t="s">
        <v>156</v>
      </c>
      <c r="B23" s="45" t="s">
        <v>291</v>
      </c>
      <c r="C23" s="46">
        <f>SUM(C16:C22)</f>
        <v>766924.12000000011</v>
      </c>
      <c r="D23" s="50">
        <f t="shared" ref="D23" si="25">C23/C$14</f>
        <v>0.59875303238496225</v>
      </c>
      <c r="E23" s="46">
        <f>SUM(E16:E22)</f>
        <v>1214762.5900000001</v>
      </c>
      <c r="F23" s="50">
        <f t="shared" si="3"/>
        <v>0.55999064729656467</v>
      </c>
      <c r="G23" s="46">
        <f>SUM(G16:G22)</f>
        <v>1468052.7100000002</v>
      </c>
      <c r="H23" s="50">
        <f t="shared" si="10"/>
        <v>0.66672178731919907</v>
      </c>
      <c r="I23" s="46">
        <f>SUM(I16:I22)</f>
        <v>363595.96</v>
      </c>
      <c r="J23" s="46">
        <f>SUM(J16:J22)</f>
        <v>246794.56</v>
      </c>
      <c r="K23" s="46">
        <f>SUM(K16:K22)</f>
        <v>255400.46000000005</v>
      </c>
      <c r="L23" s="46">
        <f>SUM(L16:L22)</f>
        <v>445973.41000000003</v>
      </c>
      <c r="M23" s="46">
        <f>SUM(M16:M22)</f>
        <v>1311764.3899999999</v>
      </c>
      <c r="N23" s="50">
        <f>M23/M$14</f>
        <v>0.56395878533376365</v>
      </c>
      <c r="O23" s="76">
        <f>K23</f>
        <v>255400.46000000005</v>
      </c>
      <c r="P23" s="46">
        <f>SUM(P16:P22)</f>
        <v>331965.58960000006</v>
      </c>
      <c r="Q23" s="46">
        <f>SUM(Q16:Q22)</f>
        <v>349437.14856</v>
      </c>
      <c r="R23" s="46">
        <f>SUM(R16:R22)</f>
        <v>429647.92804000003</v>
      </c>
      <c r="S23" s="46">
        <f>SUM(S16:S22)</f>
        <v>621352.28180000011</v>
      </c>
      <c r="T23" s="46">
        <f>SUM(T16:T22)</f>
        <v>1732402.9480000001</v>
      </c>
      <c r="U23" s="50">
        <f>T23/T$14</f>
        <v>0.55330986790334502</v>
      </c>
      <c r="W23" s="115"/>
      <c r="X23" s="46">
        <f t="shared" ref="X23:AC23" si="26">SUM(X16:X22)</f>
        <v>415605</v>
      </c>
      <c r="Y23" s="127">
        <f t="shared" si="26"/>
        <v>263638</v>
      </c>
      <c r="Z23" s="127">
        <f t="shared" si="26"/>
        <v>309245</v>
      </c>
      <c r="AA23" s="127">
        <f t="shared" si="26"/>
        <v>90548</v>
      </c>
      <c r="AB23" s="127">
        <f t="shared" si="26"/>
        <v>86563</v>
      </c>
      <c r="AC23" s="127">
        <f t="shared" si="26"/>
        <v>73822</v>
      </c>
      <c r="AD23" s="191"/>
      <c r="AE23" s="127">
        <f t="shared" ref="AE23:AQ23" si="27">SUM(AE16:AE22)</f>
        <v>69236</v>
      </c>
      <c r="AF23" s="127">
        <f t="shared" si="27"/>
        <v>47557</v>
      </c>
      <c r="AG23" s="127">
        <f t="shared" si="27"/>
        <v>57000</v>
      </c>
      <c r="AH23" s="127">
        <f t="shared" si="27"/>
        <v>114000</v>
      </c>
      <c r="AI23" s="127">
        <f t="shared" si="27"/>
        <v>114000</v>
      </c>
      <c r="AJ23" s="127">
        <f t="shared" si="27"/>
        <v>114000</v>
      </c>
      <c r="AK23" s="127">
        <f t="shared" si="27"/>
        <v>131100</v>
      </c>
      <c r="AL23" s="127">
        <f t="shared" si="27"/>
        <v>131100</v>
      </c>
      <c r="AM23" s="127">
        <f t="shared" si="27"/>
        <v>136800</v>
      </c>
      <c r="AN23" s="127">
        <f t="shared" si="27"/>
        <v>128250</v>
      </c>
      <c r="AO23" s="127">
        <f t="shared" si="27"/>
        <v>131100</v>
      </c>
      <c r="AP23" s="127">
        <f t="shared" si="27"/>
        <v>131100</v>
      </c>
      <c r="AQ23" s="127">
        <f t="shared" si="27"/>
        <v>1305243</v>
      </c>
      <c r="AR23" s="145">
        <f t="shared" si="13"/>
        <v>0.57448140149126092</v>
      </c>
      <c r="AS23" s="141"/>
      <c r="AV23" s="117"/>
    </row>
    <row r="24" spans="1:48" s="45" customFormat="1" x14ac:dyDescent="0.25">
      <c r="A24" s="45" t="s">
        <v>191</v>
      </c>
      <c r="C24" s="46">
        <f>C14-C23</f>
        <v>513944.75</v>
      </c>
      <c r="D24" s="50">
        <f t="shared" ref="D24" si="28">C24/C$14</f>
        <v>0.4012469676150377</v>
      </c>
      <c r="E24" s="46">
        <f>E14-E23</f>
        <v>954492.55</v>
      </c>
      <c r="F24" s="50">
        <f t="shared" si="3"/>
        <v>0.44000935270343533</v>
      </c>
      <c r="G24" s="46">
        <f>G14-G23</f>
        <v>733844.29999999958</v>
      </c>
      <c r="H24" s="50">
        <f t="shared" si="10"/>
        <v>0.33327821268080093</v>
      </c>
      <c r="I24" s="46">
        <f>I14-I23</f>
        <v>236807.73000000004</v>
      </c>
      <c r="J24" s="46">
        <f>J14-J23</f>
        <v>180391.44</v>
      </c>
      <c r="K24" s="46">
        <f>K14-K23</f>
        <v>282029.53999999992</v>
      </c>
      <c r="L24" s="46">
        <f>L14-L23</f>
        <v>315000.26</v>
      </c>
      <c r="M24" s="46">
        <f>M14-M23</f>
        <v>1014228.9700000004</v>
      </c>
      <c r="N24" s="50">
        <f>M24/M$14</f>
        <v>0.4360412146662363</v>
      </c>
      <c r="O24" s="77">
        <f>O14*0.41</f>
        <v>220346.3</v>
      </c>
      <c r="P24" s="46">
        <f>P14-P23</f>
        <v>275330.70600000001</v>
      </c>
      <c r="Q24" s="46">
        <f>Q14-Q23</f>
        <v>279888.7766000001</v>
      </c>
      <c r="R24" s="46">
        <f>R14-R23</f>
        <v>350692.81190000009</v>
      </c>
      <c r="S24" s="46">
        <f>S14-S23</f>
        <v>508666.23549999984</v>
      </c>
      <c r="T24" s="46">
        <f>T14-T23</f>
        <v>1398578.53</v>
      </c>
      <c r="U24" s="50">
        <f>T24/T$14</f>
        <v>0.44669013209665498</v>
      </c>
      <c r="W24" s="115"/>
      <c r="X24" s="46">
        <f t="shared" ref="X24:AC24" si="29">X14-X23</f>
        <v>154436</v>
      </c>
      <c r="Y24" s="127">
        <f t="shared" si="29"/>
        <v>141536</v>
      </c>
      <c r="Z24" s="127">
        <f t="shared" si="29"/>
        <v>37898</v>
      </c>
      <c r="AA24" s="127">
        <f t="shared" si="29"/>
        <v>65364</v>
      </c>
      <c r="AB24" s="127">
        <f t="shared" si="29"/>
        <v>60821</v>
      </c>
      <c r="AC24" s="127">
        <f t="shared" si="29"/>
        <v>55243</v>
      </c>
      <c r="AD24" s="191"/>
      <c r="AE24" s="127">
        <f t="shared" ref="AE24:AQ24" si="30">AE14-AE23</f>
        <v>34884</v>
      </c>
      <c r="AF24" s="127">
        <f t="shared" si="30"/>
        <v>35360</v>
      </c>
      <c r="AG24" s="127">
        <f t="shared" si="30"/>
        <v>43000</v>
      </c>
      <c r="AH24" s="127">
        <f t="shared" si="30"/>
        <v>86000</v>
      </c>
      <c r="AI24" s="127">
        <f t="shared" si="30"/>
        <v>86000</v>
      </c>
      <c r="AJ24" s="127">
        <f t="shared" si="30"/>
        <v>86000</v>
      </c>
      <c r="AK24" s="127">
        <f t="shared" si="30"/>
        <v>98900</v>
      </c>
      <c r="AL24" s="127">
        <f t="shared" si="30"/>
        <v>98900</v>
      </c>
      <c r="AM24" s="127">
        <f t="shared" si="30"/>
        <v>103200</v>
      </c>
      <c r="AN24" s="127">
        <f t="shared" si="30"/>
        <v>96750</v>
      </c>
      <c r="AO24" s="127">
        <f t="shared" si="30"/>
        <v>98900</v>
      </c>
      <c r="AP24" s="127">
        <f t="shared" si="30"/>
        <v>98900</v>
      </c>
      <c r="AQ24" s="127">
        <f t="shared" si="30"/>
        <v>966794</v>
      </c>
      <c r="AR24" s="145">
        <f t="shared" si="13"/>
        <v>0.42551859850873908</v>
      </c>
      <c r="AS24" s="141"/>
      <c r="AV24" s="117"/>
    </row>
    <row r="25" spans="1:48" x14ac:dyDescent="0.25">
      <c r="C25" s="8"/>
      <c r="E25" s="8"/>
      <c r="G25" s="8"/>
      <c r="I25" s="8"/>
      <c r="J25" s="8"/>
      <c r="K25" s="8"/>
      <c r="L25" s="8"/>
      <c r="M25" s="8"/>
      <c r="P25" s="8"/>
      <c r="W25" s="113"/>
      <c r="X25" s="99">
        <f t="shared" ref="X25:AC25" si="31">X24/X14</f>
        <v>0.27092086358700512</v>
      </c>
      <c r="Y25" s="128">
        <f t="shared" si="31"/>
        <v>0.34932152606040862</v>
      </c>
      <c r="Z25" s="128">
        <f t="shared" si="31"/>
        <v>0.10917114848923931</v>
      </c>
      <c r="AA25" s="128">
        <f t="shared" si="31"/>
        <v>0.41923649238031713</v>
      </c>
      <c r="AB25" s="128">
        <f t="shared" si="31"/>
        <v>0.4126703034250665</v>
      </c>
      <c r="AC25" s="128">
        <f t="shared" si="31"/>
        <v>0.42802463874791774</v>
      </c>
      <c r="AD25" s="192"/>
      <c r="AE25" s="128">
        <f>AE24/AE14</f>
        <v>0.33503649635036498</v>
      </c>
      <c r="AF25" s="128">
        <f>AF24/AF14</f>
        <v>0.42645054693247464</v>
      </c>
      <c r="AG25" s="128"/>
      <c r="AH25" s="128"/>
      <c r="AI25" s="128"/>
      <c r="AJ25" s="128"/>
      <c r="AK25" s="128"/>
      <c r="AL25" s="128"/>
      <c r="AM25" s="128"/>
      <c r="AN25" s="128"/>
      <c r="AO25" s="128"/>
      <c r="AP25" s="128"/>
      <c r="AV25" s="113"/>
    </row>
    <row r="26" spans="1:48" x14ac:dyDescent="0.25">
      <c r="A26" t="s">
        <v>157</v>
      </c>
      <c r="C26" s="8"/>
      <c r="E26" s="8"/>
      <c r="G26" s="8"/>
      <c r="I26" s="8"/>
      <c r="J26" s="8"/>
      <c r="K26" s="8"/>
      <c r="L26" s="8"/>
      <c r="M26" s="8"/>
      <c r="P26" s="8"/>
      <c r="W26" s="113"/>
      <c r="X26" s="8"/>
      <c r="Y26" s="108"/>
      <c r="AD26" s="187"/>
      <c r="AE26" s="128"/>
      <c r="AV26" s="113"/>
    </row>
    <row r="27" spans="1:48" x14ac:dyDescent="0.25">
      <c r="B27" t="s">
        <v>158</v>
      </c>
      <c r="C27" s="8"/>
      <c r="E27" s="8"/>
      <c r="G27" s="8"/>
      <c r="I27" s="8"/>
      <c r="J27" s="8"/>
      <c r="K27" s="8"/>
      <c r="L27" s="8"/>
      <c r="M27" s="8"/>
      <c r="P27" s="8"/>
      <c r="W27" s="113"/>
      <c r="X27" s="8"/>
      <c r="Y27" s="108"/>
      <c r="AD27" s="187"/>
      <c r="AU27" s="39" t="s">
        <v>1770</v>
      </c>
      <c r="AV27" s="113"/>
    </row>
    <row r="28" spans="1:48" x14ac:dyDescent="0.25">
      <c r="B28" t="s">
        <v>159</v>
      </c>
      <c r="C28" s="8">
        <f>QB!F110</f>
        <v>0</v>
      </c>
      <c r="D28" s="41">
        <f t="shared" ref="D28" si="32">C28/C$14</f>
        <v>0</v>
      </c>
      <c r="E28" s="8">
        <f>QB!K110</f>
        <v>216764.24</v>
      </c>
      <c r="F28" s="41">
        <f t="shared" si="3"/>
        <v>9.992565466503861E-2</v>
      </c>
      <c r="G28" s="8">
        <f>QB!P110</f>
        <v>391277.16000000003</v>
      </c>
      <c r="H28" s="41">
        <f t="shared" ref="H28:H87" si="33">G28/G$14</f>
        <v>0.17770002785007646</v>
      </c>
      <c r="I28" s="8">
        <f>QB!Q110</f>
        <v>91276.55</v>
      </c>
      <c r="J28" s="8">
        <f>QB!R110</f>
        <v>84874.36</v>
      </c>
      <c r="K28" s="8">
        <f>QB!S110</f>
        <v>114609.99</v>
      </c>
      <c r="L28" s="8">
        <f>QB!T110</f>
        <v>119543.86</v>
      </c>
      <c r="M28" s="8">
        <f t="shared" si="0"/>
        <v>410304.76</v>
      </c>
      <c r="N28" s="41">
        <f>M28/M$14</f>
        <v>0.17639979849297591</v>
      </c>
      <c r="O28" s="75">
        <f>Payroll!F17*6</f>
        <v>126618</v>
      </c>
      <c r="P28" s="8">
        <f>Payroll!P17</f>
        <v>126618</v>
      </c>
      <c r="Q28" s="8">
        <f>Payroll!Q17</f>
        <v>126618</v>
      </c>
      <c r="R28" s="8">
        <f>Payroll!R17</f>
        <v>135718</v>
      </c>
      <c r="S28" s="8">
        <f>Payroll!S17</f>
        <v>135718</v>
      </c>
      <c r="T28" s="8">
        <f t="shared" ref="T28:T41" si="34">SUM(P28:S28)</f>
        <v>524672</v>
      </c>
      <c r="U28" s="41">
        <f>T28/T$14</f>
        <v>0.16757429058160656</v>
      </c>
      <c r="V28" t="s">
        <v>300</v>
      </c>
      <c r="W28" s="113"/>
      <c r="X28" s="8">
        <v>113695</v>
      </c>
      <c r="Y28" s="121">
        <v>113361</v>
      </c>
      <c r="Z28" s="121">
        <v>88012</v>
      </c>
      <c r="AA28" s="121">
        <v>32685</v>
      </c>
      <c r="AB28" s="121">
        <v>24892</v>
      </c>
      <c r="AC28" s="121">
        <v>22267</v>
      </c>
      <c r="AD28" s="188"/>
      <c r="AE28" s="121">
        <f t="shared" ref="AE28:AP28" si="35">SUM(AE29:AE34)</f>
        <v>26285</v>
      </c>
      <c r="AF28" s="121">
        <f t="shared" si="35"/>
        <v>19282</v>
      </c>
      <c r="AG28" s="121">
        <f t="shared" si="35"/>
        <v>18974</v>
      </c>
      <c r="AH28" s="121">
        <f t="shared" si="35"/>
        <v>18974</v>
      </c>
      <c r="AI28" s="121">
        <f t="shared" si="35"/>
        <v>18974</v>
      </c>
      <c r="AJ28" s="121">
        <f t="shared" si="35"/>
        <v>18974</v>
      </c>
      <c r="AK28" s="121">
        <f t="shared" si="35"/>
        <v>18974</v>
      </c>
      <c r="AL28" s="121">
        <f t="shared" si="35"/>
        <v>18974</v>
      </c>
      <c r="AM28" s="121">
        <f t="shared" si="35"/>
        <v>18974</v>
      </c>
      <c r="AN28" s="121">
        <f t="shared" si="35"/>
        <v>18974</v>
      </c>
      <c r="AO28" s="121">
        <f t="shared" si="35"/>
        <v>18974</v>
      </c>
      <c r="AP28" s="121">
        <f t="shared" si="35"/>
        <v>18974</v>
      </c>
      <c r="AQ28" s="121">
        <f t="shared" ref="AQ28" si="36">SUM(AE28:AP28)</f>
        <v>235307</v>
      </c>
      <c r="AR28" s="143">
        <f t="shared" ref="AR28:AR70" si="37">AQ28/AQ$14</f>
        <v>0.10356653522807947</v>
      </c>
      <c r="AV28" s="113"/>
    </row>
    <row r="29" spans="1:48" s="39" customFormat="1" x14ac:dyDescent="0.25">
      <c r="B29" s="39" t="s">
        <v>502</v>
      </c>
      <c r="C29" s="40"/>
      <c r="D29" s="41"/>
      <c r="E29" s="40"/>
      <c r="F29" s="41"/>
      <c r="G29" s="40"/>
      <c r="H29" s="41"/>
      <c r="I29" s="40"/>
      <c r="J29" s="40"/>
      <c r="K29" s="40"/>
      <c r="L29" s="40"/>
      <c r="M29" s="40"/>
      <c r="N29" s="41"/>
      <c r="O29" s="159"/>
      <c r="P29" s="40"/>
      <c r="Q29" s="40"/>
      <c r="R29" s="40"/>
      <c r="S29" s="40"/>
      <c r="T29" s="40"/>
      <c r="U29" s="41"/>
      <c r="W29" s="160"/>
      <c r="X29" s="40"/>
      <c r="Y29" s="157"/>
      <c r="Z29" s="157"/>
      <c r="AA29" s="157"/>
      <c r="AB29" s="157">
        <f t="shared" ref="AB29:AC32" si="38">$AS29*2</f>
        <v>4744</v>
      </c>
      <c r="AC29" s="157">
        <f t="shared" si="38"/>
        <v>4744</v>
      </c>
      <c r="AD29" s="193"/>
      <c r="AE29" s="200">
        <f t="shared" ref="AE29:AJ31" si="39">$AS29*2</f>
        <v>4744</v>
      </c>
      <c r="AF29" s="200">
        <v>1313</v>
      </c>
      <c r="AG29" s="200"/>
      <c r="AH29" s="200"/>
      <c r="AI29" s="200"/>
      <c r="AJ29" s="200"/>
      <c r="AK29" s="200"/>
      <c r="AL29" s="200"/>
      <c r="AM29" s="200"/>
      <c r="AN29" s="200"/>
      <c r="AO29" s="200"/>
      <c r="AP29" s="200"/>
      <c r="AQ29" s="157"/>
      <c r="AR29" s="143"/>
      <c r="AS29" s="158">
        <v>2372</v>
      </c>
      <c r="AU29" s="158"/>
      <c r="AV29" s="160"/>
    </row>
    <row r="30" spans="1:48" s="39" customFormat="1" x14ac:dyDescent="0.25">
      <c r="B30" s="39" t="s">
        <v>1769</v>
      </c>
      <c r="C30" s="40"/>
      <c r="D30" s="41"/>
      <c r="E30" s="40"/>
      <c r="F30" s="41"/>
      <c r="G30" s="40"/>
      <c r="H30" s="41"/>
      <c r="I30" s="40"/>
      <c r="J30" s="40"/>
      <c r="K30" s="40"/>
      <c r="L30" s="40"/>
      <c r="M30" s="40"/>
      <c r="N30" s="41"/>
      <c r="O30" s="159"/>
      <c r="P30" s="40"/>
      <c r="Q30" s="40"/>
      <c r="R30" s="40"/>
      <c r="S30" s="40"/>
      <c r="T30" s="40"/>
      <c r="U30" s="41"/>
      <c r="W30" s="160"/>
      <c r="X30" s="40"/>
      <c r="Y30" s="157"/>
      <c r="Z30" s="157"/>
      <c r="AA30" s="157"/>
      <c r="AB30" s="157">
        <f t="shared" si="38"/>
        <v>5000</v>
      </c>
      <c r="AC30" s="157">
        <f t="shared" si="38"/>
        <v>5000</v>
      </c>
      <c r="AD30" s="193"/>
      <c r="AE30" s="200">
        <f t="shared" si="39"/>
        <v>5000</v>
      </c>
      <c r="AF30" s="200">
        <f t="shared" si="39"/>
        <v>5000</v>
      </c>
      <c r="AG30" s="200"/>
      <c r="AH30" s="200"/>
      <c r="AI30" s="200"/>
      <c r="AJ30" s="200"/>
      <c r="AK30" s="200"/>
      <c r="AL30" s="200"/>
      <c r="AM30" s="200"/>
      <c r="AN30" s="200"/>
      <c r="AO30" s="200"/>
      <c r="AP30" s="200"/>
      <c r="AQ30" s="157"/>
      <c r="AR30" s="143"/>
      <c r="AS30" s="158">
        <v>2500</v>
      </c>
      <c r="AU30" s="158"/>
      <c r="AV30" s="160"/>
    </row>
    <row r="31" spans="1:48" s="39" customFormat="1" x14ac:dyDescent="0.25">
      <c r="B31" s="39" t="s">
        <v>503</v>
      </c>
      <c r="C31" s="40"/>
      <c r="D31" s="41"/>
      <c r="E31" s="40"/>
      <c r="F31" s="41"/>
      <c r="G31" s="40"/>
      <c r="H31" s="41"/>
      <c r="I31" s="40"/>
      <c r="J31" s="40"/>
      <c r="K31" s="40"/>
      <c r="L31" s="40"/>
      <c r="M31" s="40"/>
      <c r="N31" s="41"/>
      <c r="O31" s="159"/>
      <c r="P31" s="40"/>
      <c r="Q31" s="40"/>
      <c r="R31" s="40"/>
      <c r="S31" s="40"/>
      <c r="T31" s="40"/>
      <c r="U31" s="41"/>
      <c r="W31" s="160"/>
      <c r="X31" s="40"/>
      <c r="Y31" s="157"/>
      <c r="Z31" s="157"/>
      <c r="AA31" s="157"/>
      <c r="AB31" s="157">
        <f t="shared" si="38"/>
        <v>4574</v>
      </c>
      <c r="AC31" s="157">
        <f t="shared" si="38"/>
        <v>4574</v>
      </c>
      <c r="AD31" s="193"/>
      <c r="AE31" s="200">
        <v>4416</v>
      </c>
      <c r="AF31" s="200">
        <v>4468</v>
      </c>
      <c r="AG31" s="200">
        <f t="shared" si="39"/>
        <v>4574</v>
      </c>
      <c r="AH31" s="200">
        <f t="shared" si="39"/>
        <v>4574</v>
      </c>
      <c r="AI31" s="200">
        <f t="shared" si="39"/>
        <v>4574</v>
      </c>
      <c r="AJ31" s="200">
        <f t="shared" si="39"/>
        <v>4574</v>
      </c>
      <c r="AK31" s="200">
        <f t="shared" ref="AK31:AP31" si="40">$AS31*2</f>
        <v>4574</v>
      </c>
      <c r="AL31" s="200">
        <f t="shared" si="40"/>
        <v>4574</v>
      </c>
      <c r="AM31" s="200">
        <f t="shared" si="40"/>
        <v>4574</v>
      </c>
      <c r="AN31" s="200">
        <f t="shared" si="40"/>
        <v>4574</v>
      </c>
      <c r="AO31" s="200">
        <f t="shared" si="40"/>
        <v>4574</v>
      </c>
      <c r="AP31" s="200">
        <f t="shared" si="40"/>
        <v>4574</v>
      </c>
      <c r="AQ31" s="157"/>
      <c r="AR31" s="143"/>
      <c r="AS31" s="158">
        <v>2287</v>
      </c>
      <c r="AU31" s="158"/>
      <c r="AV31" s="160"/>
    </row>
    <row r="32" spans="1:48" s="39" customFormat="1" x14ac:dyDescent="0.25">
      <c r="B32" s="39" t="s">
        <v>504</v>
      </c>
      <c r="C32" s="40"/>
      <c r="D32" s="41"/>
      <c r="E32" s="40"/>
      <c r="F32" s="41"/>
      <c r="G32" s="40"/>
      <c r="H32" s="41"/>
      <c r="I32" s="40"/>
      <c r="J32" s="40"/>
      <c r="K32" s="40"/>
      <c r="L32" s="40"/>
      <c r="M32" s="40"/>
      <c r="N32" s="41"/>
      <c r="O32" s="159"/>
      <c r="P32" s="40"/>
      <c r="Q32" s="40"/>
      <c r="R32" s="40"/>
      <c r="S32" s="40"/>
      <c r="T32" s="40"/>
      <c r="U32" s="41"/>
      <c r="W32" s="160"/>
      <c r="X32" s="40"/>
      <c r="Y32" s="157"/>
      <c r="Z32" s="157"/>
      <c r="AA32" s="157"/>
      <c r="AB32" s="157">
        <f t="shared" si="38"/>
        <v>1834</v>
      </c>
      <c r="AC32" s="157">
        <f t="shared" si="38"/>
        <v>1834</v>
      </c>
      <c r="AD32" s="193"/>
      <c r="AE32" s="200">
        <v>1834</v>
      </c>
      <c r="AF32" s="200">
        <v>1834</v>
      </c>
      <c r="AG32" s="200">
        <f t="shared" ref="AG32:AP33" si="41">$AU32*2</f>
        <v>2400</v>
      </c>
      <c r="AH32" s="200">
        <f t="shared" si="41"/>
        <v>2400</v>
      </c>
      <c r="AI32" s="200">
        <f t="shared" si="41"/>
        <v>2400</v>
      </c>
      <c r="AJ32" s="200">
        <f t="shared" si="41"/>
        <v>2400</v>
      </c>
      <c r="AK32" s="200">
        <f t="shared" si="41"/>
        <v>2400</v>
      </c>
      <c r="AL32" s="200">
        <f t="shared" si="41"/>
        <v>2400</v>
      </c>
      <c r="AM32" s="200">
        <f t="shared" si="41"/>
        <v>2400</v>
      </c>
      <c r="AN32" s="200">
        <f t="shared" si="41"/>
        <v>2400</v>
      </c>
      <c r="AO32" s="200">
        <f t="shared" si="41"/>
        <v>2400</v>
      </c>
      <c r="AP32" s="200">
        <f t="shared" si="41"/>
        <v>2400</v>
      </c>
      <c r="AQ32" s="157"/>
      <c r="AR32" s="143"/>
      <c r="AS32" s="158">
        <v>917</v>
      </c>
      <c r="AU32" s="158">
        <v>1200</v>
      </c>
      <c r="AV32" s="160"/>
    </row>
    <row r="33" spans="2:48" s="39" customFormat="1" x14ac:dyDescent="0.25">
      <c r="B33" s="39" t="s">
        <v>505</v>
      </c>
      <c r="C33" s="40"/>
      <c r="D33" s="41"/>
      <c r="E33" s="40"/>
      <c r="F33" s="41"/>
      <c r="G33" s="40"/>
      <c r="H33" s="41"/>
      <c r="I33" s="40"/>
      <c r="J33" s="40"/>
      <c r="K33" s="40"/>
      <c r="L33" s="40"/>
      <c r="M33" s="40"/>
      <c r="N33" s="41"/>
      <c r="O33" s="159"/>
      <c r="P33" s="40"/>
      <c r="Q33" s="40"/>
      <c r="R33" s="40"/>
      <c r="S33" s="40"/>
      <c r="T33" s="40"/>
      <c r="U33" s="41"/>
      <c r="W33" s="160"/>
      <c r="X33" s="40"/>
      <c r="Y33" s="157"/>
      <c r="Z33" s="157"/>
      <c r="AA33" s="157"/>
      <c r="AB33" s="176">
        <f>$AS33*2</f>
        <v>2490</v>
      </c>
      <c r="AC33" s="176">
        <f>$AS33*AC$138</f>
        <v>2490</v>
      </c>
      <c r="AD33" s="194"/>
      <c r="AE33" s="200">
        <v>6666</v>
      </c>
      <c r="AF33" s="200">
        <v>6667</v>
      </c>
      <c r="AG33" s="200">
        <f t="shared" si="41"/>
        <v>5000</v>
      </c>
      <c r="AH33" s="200">
        <v>5000</v>
      </c>
      <c r="AI33" s="200">
        <v>5000</v>
      </c>
      <c r="AJ33" s="200">
        <v>5000</v>
      </c>
      <c r="AK33" s="200">
        <v>5000</v>
      </c>
      <c r="AL33" s="200">
        <v>5000</v>
      </c>
      <c r="AM33" s="200">
        <v>5000</v>
      </c>
      <c r="AN33" s="200">
        <v>5000</v>
      </c>
      <c r="AO33" s="200">
        <v>5000</v>
      </c>
      <c r="AP33" s="200">
        <v>5000</v>
      </c>
      <c r="AQ33" s="176"/>
      <c r="AR33" s="175"/>
      <c r="AS33" s="177">
        <v>1245</v>
      </c>
      <c r="AT33" s="105"/>
      <c r="AU33" s="177">
        <v>2500</v>
      </c>
      <c r="AV33" s="160"/>
    </row>
    <row r="34" spans="2:48" s="39" customFormat="1" x14ac:dyDescent="0.25">
      <c r="B34" s="39" t="s">
        <v>506</v>
      </c>
      <c r="C34" s="40"/>
      <c r="D34" s="41"/>
      <c r="E34" s="40"/>
      <c r="F34" s="41"/>
      <c r="G34" s="40"/>
      <c r="H34" s="41"/>
      <c r="I34" s="40"/>
      <c r="J34" s="40"/>
      <c r="K34" s="40"/>
      <c r="L34" s="40"/>
      <c r="M34" s="40"/>
      <c r="N34" s="41"/>
      <c r="O34" s="159"/>
      <c r="P34" s="40"/>
      <c r="Q34" s="40"/>
      <c r="R34" s="40"/>
      <c r="S34" s="40"/>
      <c r="T34" s="40"/>
      <c r="U34" s="41"/>
      <c r="W34" s="160"/>
      <c r="X34" s="40"/>
      <c r="Y34" s="157"/>
      <c r="Z34" s="157"/>
      <c r="AA34" s="157"/>
      <c r="AB34" s="176">
        <f>$AS34*2</f>
        <v>7000</v>
      </c>
      <c r="AC34" s="176">
        <f>$AS34*2</f>
        <v>7000</v>
      </c>
      <c r="AD34" s="194"/>
      <c r="AE34" s="200">
        <v>3625</v>
      </c>
      <c r="AF34" s="200">
        <v>0</v>
      </c>
      <c r="AG34" s="200">
        <f t="shared" ref="AG34:AJ34" si="42">$AS34*2</f>
        <v>7000</v>
      </c>
      <c r="AH34" s="200">
        <f t="shared" si="42"/>
        <v>7000</v>
      </c>
      <c r="AI34" s="200">
        <f t="shared" si="42"/>
        <v>7000</v>
      </c>
      <c r="AJ34" s="200">
        <f t="shared" si="42"/>
        <v>7000</v>
      </c>
      <c r="AK34" s="200">
        <f t="shared" ref="AK34:AP34" si="43">$AS34*2</f>
        <v>7000</v>
      </c>
      <c r="AL34" s="200">
        <f t="shared" si="43"/>
        <v>7000</v>
      </c>
      <c r="AM34" s="200">
        <f t="shared" si="43"/>
        <v>7000</v>
      </c>
      <c r="AN34" s="200">
        <f t="shared" si="43"/>
        <v>7000</v>
      </c>
      <c r="AO34" s="200">
        <f t="shared" si="43"/>
        <v>7000</v>
      </c>
      <c r="AP34" s="200">
        <f t="shared" si="43"/>
        <v>7000</v>
      </c>
      <c r="AQ34" s="176"/>
      <c r="AR34" s="175"/>
      <c r="AS34" s="177">
        <v>3500</v>
      </c>
      <c r="AT34" s="105"/>
      <c r="AU34" s="177"/>
      <c r="AV34" s="160"/>
    </row>
    <row r="35" spans="2:48" x14ac:dyDescent="0.25">
      <c r="B35" t="s">
        <v>160</v>
      </c>
      <c r="C35" s="8">
        <f>QB!F108</f>
        <v>142452.45000000001</v>
      </c>
      <c r="D35" s="41">
        <f t="shared" ref="D35" si="44">C35/C$14</f>
        <v>0.11121548297133647</v>
      </c>
      <c r="E35" s="8">
        <f>QB!K108</f>
        <v>57528.860000000008</v>
      </c>
      <c r="F35" s="41">
        <f t="shared" si="3"/>
        <v>2.6520098507176987E-2</v>
      </c>
      <c r="G35" s="8">
        <f>QB!P108</f>
        <v>18232.21</v>
      </c>
      <c r="H35" s="41">
        <f t="shared" si="33"/>
        <v>8.2802283291169929E-3</v>
      </c>
      <c r="I35" s="8">
        <f>QB!Q108</f>
        <v>17026.349999999999</v>
      </c>
      <c r="J35" s="8">
        <f>QB!R108</f>
        <v>19560.25</v>
      </c>
      <c r="K35" s="8">
        <f>QB!S108</f>
        <v>20833.55</v>
      </c>
      <c r="L35" s="8">
        <f>QB!T108</f>
        <v>34645.85</v>
      </c>
      <c r="M35" s="8">
        <f t="shared" si="0"/>
        <v>92066</v>
      </c>
      <c r="N35" s="41">
        <f>M35/M$14</f>
        <v>3.9581368366417E-2</v>
      </c>
      <c r="O35" s="75">
        <f>Payroll!G31*3</f>
        <v>19131</v>
      </c>
      <c r="P35" s="8">
        <f>Payroll!P34</f>
        <v>18381</v>
      </c>
      <c r="Q35" s="8">
        <f>Payroll!Q34</f>
        <v>18881</v>
      </c>
      <c r="R35" s="8">
        <f>Payroll!R34</f>
        <v>12614</v>
      </c>
      <c r="S35" s="8">
        <f>Payroll!S34</f>
        <v>17864</v>
      </c>
      <c r="T35" s="8">
        <f t="shared" si="34"/>
        <v>67740</v>
      </c>
      <c r="U35" s="41">
        <f>T35/T$14</f>
        <v>2.1635388288298266E-2</v>
      </c>
      <c r="V35" t="s">
        <v>300</v>
      </c>
      <c r="W35" s="113"/>
      <c r="X35" s="8">
        <v>30320</v>
      </c>
      <c r="Y35" s="121">
        <v>9581</v>
      </c>
      <c r="Z35" s="121">
        <v>9030</v>
      </c>
      <c r="AA35" s="121">
        <v>4939</v>
      </c>
      <c r="AB35" s="121">
        <v>6242</v>
      </c>
      <c r="AC35" s="121">
        <v>5138</v>
      </c>
      <c r="AD35" s="188"/>
      <c r="AE35" s="121">
        <f t="shared" ref="AE35:AP35" si="45">SUM(AE36:AE39)</f>
        <v>7721</v>
      </c>
      <c r="AF35" s="121">
        <f t="shared" si="45"/>
        <v>3588</v>
      </c>
      <c r="AG35" s="121">
        <f t="shared" si="45"/>
        <v>5720</v>
      </c>
      <c r="AH35" s="121">
        <f t="shared" si="45"/>
        <v>5720</v>
      </c>
      <c r="AI35" s="121">
        <f t="shared" si="45"/>
        <v>5720</v>
      </c>
      <c r="AJ35" s="121">
        <f t="shared" si="45"/>
        <v>5720</v>
      </c>
      <c r="AK35" s="121">
        <f t="shared" si="45"/>
        <v>5720</v>
      </c>
      <c r="AL35" s="121">
        <f t="shared" si="45"/>
        <v>5720</v>
      </c>
      <c r="AM35" s="121">
        <f t="shared" si="45"/>
        <v>5720</v>
      </c>
      <c r="AN35" s="121">
        <f t="shared" si="45"/>
        <v>5720</v>
      </c>
      <c r="AO35" s="121">
        <f t="shared" si="45"/>
        <v>5720</v>
      </c>
      <c r="AP35" s="121">
        <f t="shared" si="45"/>
        <v>5720</v>
      </c>
      <c r="AQ35" s="121">
        <f t="shared" ref="AQ35" si="46">SUM(AE35:AP35)</f>
        <v>68509</v>
      </c>
      <c r="AR35" s="143">
        <f t="shared" si="37"/>
        <v>3.0153118105030859E-2</v>
      </c>
      <c r="AV35" s="113"/>
    </row>
    <row r="36" spans="2:48" s="39" customFormat="1" x14ac:dyDescent="0.25">
      <c r="B36" s="39" t="s">
        <v>507</v>
      </c>
      <c r="C36" s="40"/>
      <c r="D36" s="41"/>
      <c r="E36" s="40"/>
      <c r="F36" s="41"/>
      <c r="G36" s="40"/>
      <c r="H36" s="41"/>
      <c r="I36" s="40"/>
      <c r="J36" s="40"/>
      <c r="K36" s="40"/>
      <c r="L36" s="40"/>
      <c r="M36" s="40"/>
      <c r="N36" s="41"/>
      <c r="O36" s="159"/>
      <c r="P36" s="40"/>
      <c r="Q36" s="40"/>
      <c r="R36" s="40"/>
      <c r="S36" s="40"/>
      <c r="T36" s="40"/>
      <c r="U36" s="41"/>
      <c r="W36" s="160"/>
      <c r="X36" s="40"/>
      <c r="Y36" s="157"/>
      <c r="Z36" s="157"/>
      <c r="AA36" s="157"/>
      <c r="AB36" s="157">
        <v>2860</v>
      </c>
      <c r="AC36" s="157">
        <v>2860</v>
      </c>
      <c r="AD36" s="193"/>
      <c r="AE36" s="200">
        <v>4767</v>
      </c>
      <c r="AF36" s="200">
        <v>1428</v>
      </c>
      <c r="AG36" s="200">
        <v>2860</v>
      </c>
      <c r="AH36" s="200">
        <v>2860</v>
      </c>
      <c r="AI36" s="200">
        <v>2860</v>
      </c>
      <c r="AJ36" s="200">
        <v>2860</v>
      </c>
      <c r="AK36" s="200">
        <v>2860</v>
      </c>
      <c r="AL36" s="200">
        <v>2860</v>
      </c>
      <c r="AM36" s="200">
        <v>2860</v>
      </c>
      <c r="AN36" s="200">
        <v>2860</v>
      </c>
      <c r="AO36" s="200">
        <v>2860</v>
      </c>
      <c r="AP36" s="200">
        <v>2860</v>
      </c>
      <c r="AQ36" s="157"/>
      <c r="AR36" s="143"/>
      <c r="AS36" s="158" t="s">
        <v>1856</v>
      </c>
      <c r="AV36" s="160"/>
    </row>
    <row r="37" spans="2:48" s="39" customFormat="1" x14ac:dyDescent="0.25">
      <c r="B37" s="39" t="s">
        <v>508</v>
      </c>
      <c r="C37" s="40"/>
      <c r="D37" s="41"/>
      <c r="E37" s="40"/>
      <c r="F37" s="41"/>
      <c r="G37" s="40"/>
      <c r="H37" s="41"/>
      <c r="I37" s="40"/>
      <c r="J37" s="40"/>
      <c r="K37" s="40"/>
      <c r="L37" s="40"/>
      <c r="M37" s="40"/>
      <c r="N37" s="41"/>
      <c r="O37" s="159"/>
      <c r="P37" s="40"/>
      <c r="Q37" s="40"/>
      <c r="R37" s="40"/>
      <c r="S37" s="40"/>
      <c r="T37" s="40"/>
      <c r="U37" s="41"/>
      <c r="W37" s="160"/>
      <c r="X37" s="40"/>
      <c r="Y37" s="157"/>
      <c r="Z37" s="157"/>
      <c r="AA37" s="157"/>
      <c r="AB37" s="157">
        <v>2860</v>
      </c>
      <c r="AC37" s="157">
        <v>2860</v>
      </c>
      <c r="AD37" s="193"/>
      <c r="AE37" s="200">
        <v>2954</v>
      </c>
      <c r="AF37" s="200">
        <v>2160</v>
      </c>
      <c r="AG37" s="200">
        <v>2860</v>
      </c>
      <c r="AH37" s="200">
        <v>2860</v>
      </c>
      <c r="AI37" s="200">
        <v>2860</v>
      </c>
      <c r="AJ37" s="200">
        <v>2860</v>
      </c>
      <c r="AK37" s="200">
        <v>2860</v>
      </c>
      <c r="AL37" s="200">
        <v>2860</v>
      </c>
      <c r="AM37" s="200">
        <v>2860</v>
      </c>
      <c r="AN37" s="200">
        <v>2860</v>
      </c>
      <c r="AO37" s="200">
        <v>2860</v>
      </c>
      <c r="AP37" s="200">
        <v>2860</v>
      </c>
      <c r="AQ37" s="157"/>
      <c r="AR37" s="143"/>
      <c r="AS37" s="158" t="s">
        <v>1857</v>
      </c>
      <c r="AU37" s="158">
        <v>1666</v>
      </c>
      <c r="AV37" s="160"/>
    </row>
    <row r="38" spans="2:48" s="39" customFormat="1" hidden="1" x14ac:dyDescent="0.25">
      <c r="C38" s="40"/>
      <c r="D38" s="41"/>
      <c r="E38" s="40"/>
      <c r="F38" s="41"/>
      <c r="G38" s="40"/>
      <c r="H38" s="41"/>
      <c r="I38" s="40"/>
      <c r="J38" s="40"/>
      <c r="K38" s="40"/>
      <c r="L38" s="40"/>
      <c r="M38" s="40"/>
      <c r="N38" s="41"/>
      <c r="O38" s="159"/>
      <c r="P38" s="40"/>
      <c r="Q38" s="40"/>
      <c r="R38" s="40"/>
      <c r="S38" s="40"/>
      <c r="T38" s="40"/>
      <c r="U38" s="41"/>
      <c r="W38" s="160"/>
      <c r="X38" s="40"/>
      <c r="Y38" s="157"/>
      <c r="Z38" s="157"/>
      <c r="AA38" s="157"/>
      <c r="AB38" s="157"/>
      <c r="AC38" s="157"/>
      <c r="AD38" s="193"/>
      <c r="AE38" s="157"/>
      <c r="AF38" s="157"/>
      <c r="AG38" s="157"/>
      <c r="AH38" s="157"/>
      <c r="AI38" s="157"/>
      <c r="AJ38" s="157"/>
      <c r="AK38" s="157"/>
      <c r="AL38" s="157"/>
      <c r="AM38" s="157"/>
      <c r="AN38" s="157"/>
      <c r="AO38" s="157"/>
      <c r="AP38" s="157"/>
      <c r="AQ38" s="157"/>
      <c r="AR38" s="143"/>
      <c r="AS38" s="158"/>
      <c r="AV38" s="160"/>
    </row>
    <row r="39" spans="2:48" s="39" customFormat="1" hidden="1" x14ac:dyDescent="0.25">
      <c r="C39" s="40"/>
      <c r="D39" s="41"/>
      <c r="E39" s="40"/>
      <c r="F39" s="41"/>
      <c r="G39" s="40"/>
      <c r="H39" s="41"/>
      <c r="I39" s="40"/>
      <c r="J39" s="40"/>
      <c r="K39" s="40"/>
      <c r="L39" s="40"/>
      <c r="M39" s="40"/>
      <c r="N39" s="41"/>
      <c r="O39" s="159"/>
      <c r="P39" s="40"/>
      <c r="Q39" s="40"/>
      <c r="R39" s="40"/>
      <c r="S39" s="40"/>
      <c r="T39" s="40"/>
      <c r="U39" s="41"/>
      <c r="W39" s="160"/>
      <c r="X39" s="40"/>
      <c r="Y39" s="157"/>
      <c r="Z39" s="157"/>
      <c r="AA39" s="157"/>
      <c r="AB39" s="157"/>
      <c r="AC39" s="157"/>
      <c r="AD39" s="193"/>
      <c r="AE39" s="157"/>
      <c r="AF39" s="157"/>
      <c r="AG39" s="157"/>
      <c r="AH39" s="157"/>
      <c r="AI39" s="157"/>
      <c r="AJ39" s="157"/>
      <c r="AK39" s="157"/>
      <c r="AL39" s="157"/>
      <c r="AM39" s="157"/>
      <c r="AN39" s="157"/>
      <c r="AO39" s="157"/>
      <c r="AP39" s="157"/>
      <c r="AQ39" s="157"/>
      <c r="AR39" s="143"/>
      <c r="AS39" s="158"/>
      <c r="AV39" s="160"/>
    </row>
    <row r="40" spans="2:48" x14ac:dyDescent="0.25">
      <c r="B40" t="s">
        <v>161</v>
      </c>
      <c r="C40" s="8">
        <f>QB!F109</f>
        <v>0</v>
      </c>
      <c r="D40" s="41">
        <f t="shared" ref="D40" si="47">C40/C$14</f>
        <v>0</v>
      </c>
      <c r="E40" s="8">
        <f>QB!K109</f>
        <v>18516.46</v>
      </c>
      <c r="F40" s="41">
        <f t="shared" si="3"/>
        <v>8.5358608393109534E-3</v>
      </c>
      <c r="G40" s="8">
        <f>QB!P109</f>
        <v>32796.35</v>
      </c>
      <c r="H40" s="41">
        <f t="shared" si="33"/>
        <v>1.4894588552985956E-2</v>
      </c>
      <c r="I40" s="8">
        <f>QB!Q109</f>
        <v>7854.57</v>
      </c>
      <c r="J40" s="8">
        <f>QB!R109</f>
        <v>5685.44</v>
      </c>
      <c r="K40" s="8">
        <f>QB!S109</f>
        <v>8563.9</v>
      </c>
      <c r="L40" s="8">
        <f>QB!T109</f>
        <v>8924.0499999999993</v>
      </c>
      <c r="M40" s="8">
        <f t="shared" si="0"/>
        <v>31027.959999999995</v>
      </c>
      <c r="N40" s="41">
        <f t="shared" ref="N40:N62" si="48">M40/M$14</f>
        <v>1.3339659748641755E-2</v>
      </c>
      <c r="O40" s="75">
        <f>Payroll!F18*6</f>
        <v>9450</v>
      </c>
      <c r="P40" s="8">
        <f>Payroll!P18</f>
        <v>10129.44</v>
      </c>
      <c r="Q40" s="8">
        <f>Payroll!Q18</f>
        <v>10129.44</v>
      </c>
      <c r="R40" s="8">
        <f>Payroll!R18</f>
        <v>10857.44</v>
      </c>
      <c r="S40" s="8">
        <f>Payroll!S18</f>
        <v>10857.44</v>
      </c>
      <c r="T40" s="8">
        <f t="shared" si="34"/>
        <v>41973.760000000002</v>
      </c>
      <c r="U40" s="41">
        <f t="shared" ref="U40:U62" si="49">T40/T$14</f>
        <v>1.3405943246528525E-2</v>
      </c>
      <c r="V40" t="s">
        <v>300</v>
      </c>
      <c r="W40" s="113"/>
      <c r="X40" s="8">
        <v>7707</v>
      </c>
      <c r="Y40" s="121">
        <v>6925</v>
      </c>
      <c r="Z40" s="121">
        <v>5184</v>
      </c>
      <c r="AA40" s="121">
        <v>1439</v>
      </c>
      <c r="AB40" s="121">
        <v>1363</v>
      </c>
      <c r="AC40" s="121">
        <v>1670</v>
      </c>
      <c r="AD40" s="188"/>
      <c r="AE40" s="121">
        <v>2184</v>
      </c>
      <c r="AF40" s="121">
        <v>1545</v>
      </c>
      <c r="AG40" s="121">
        <f t="shared" ref="AG40:AJ40" si="50">AG28*0.08</f>
        <v>1517.92</v>
      </c>
      <c r="AH40" s="121">
        <f t="shared" si="50"/>
        <v>1517.92</v>
      </c>
      <c r="AI40" s="121">
        <f t="shared" si="50"/>
        <v>1517.92</v>
      </c>
      <c r="AJ40" s="121">
        <f t="shared" si="50"/>
        <v>1517.92</v>
      </c>
      <c r="AK40" s="121">
        <f t="shared" ref="AK40:AP40" si="51">AK28*0.08</f>
        <v>1517.92</v>
      </c>
      <c r="AL40" s="121">
        <f t="shared" si="51"/>
        <v>1517.92</v>
      </c>
      <c r="AM40" s="121">
        <f t="shared" si="51"/>
        <v>1517.92</v>
      </c>
      <c r="AN40" s="121">
        <f t="shared" si="51"/>
        <v>1517.92</v>
      </c>
      <c r="AO40" s="121">
        <f t="shared" si="51"/>
        <v>1517.92</v>
      </c>
      <c r="AP40" s="121">
        <f t="shared" si="51"/>
        <v>1517.92</v>
      </c>
      <c r="AQ40" s="121">
        <f t="shared" ref="AQ40:AQ41" si="52">SUM(AE40:AP40)</f>
        <v>18908.199999999997</v>
      </c>
      <c r="AR40" s="143">
        <f t="shared" si="37"/>
        <v>8.3221355990241337E-3</v>
      </c>
      <c r="AS40" s="143" t="s">
        <v>509</v>
      </c>
      <c r="AV40" s="113"/>
    </row>
    <row r="41" spans="2:48" x14ac:dyDescent="0.25">
      <c r="B41" t="s">
        <v>162</v>
      </c>
      <c r="C41" s="9">
        <f>QB!F104</f>
        <v>6974.56</v>
      </c>
      <c r="D41" s="41">
        <f t="shared" ref="D41" si="53">C41/C$14</f>
        <v>5.4451787871150304E-3</v>
      </c>
      <c r="E41" s="9">
        <f>QB!K104</f>
        <v>10175.58</v>
      </c>
      <c r="F41" s="41">
        <f t="shared" si="3"/>
        <v>4.6908175125955909E-3</v>
      </c>
      <c r="G41" s="9">
        <f>QB!P104</f>
        <v>2511.54</v>
      </c>
      <c r="H41" s="41">
        <f t="shared" si="33"/>
        <v>1.1406255554159638E-3</v>
      </c>
      <c r="I41" s="9">
        <f>QB!Q104</f>
        <v>4626.4799999999996</v>
      </c>
      <c r="J41" s="9">
        <f>QB!R104</f>
        <v>4626.4799999999996</v>
      </c>
      <c r="K41" s="9">
        <f>QB!S104</f>
        <v>4626.4799999999996</v>
      </c>
      <c r="L41" s="9">
        <f>QB!T104</f>
        <v>3084.32</v>
      </c>
      <c r="M41" s="9">
        <f t="shared" si="0"/>
        <v>16963.759999999998</v>
      </c>
      <c r="N41" s="41">
        <f t="shared" si="48"/>
        <v>7.2931248608551474E-3</v>
      </c>
      <c r="O41" s="78">
        <f>Payroll!F19*6</f>
        <v>4626</v>
      </c>
      <c r="P41" s="9">
        <f>Payroll!P19</f>
        <v>4626</v>
      </c>
      <c r="Q41" s="9">
        <f>Payroll!Q19</f>
        <v>4626</v>
      </c>
      <c r="R41" s="9">
        <f>Payroll!R19</f>
        <v>5226</v>
      </c>
      <c r="S41" s="9">
        <f>Payroll!S19</f>
        <v>4626</v>
      </c>
      <c r="T41" s="9">
        <f t="shared" si="34"/>
        <v>19104</v>
      </c>
      <c r="U41" s="41">
        <f t="shared" si="49"/>
        <v>6.1016010903402734E-3</v>
      </c>
      <c r="V41" t="s">
        <v>300</v>
      </c>
      <c r="W41" s="116"/>
      <c r="X41" s="9">
        <v>3191</v>
      </c>
      <c r="Y41" s="122">
        <v>3417</v>
      </c>
      <c r="Z41" s="122">
        <v>3692</v>
      </c>
      <c r="AA41" s="122"/>
      <c r="AB41" s="122"/>
      <c r="AC41" s="122">
        <v>4817</v>
      </c>
      <c r="AD41" s="189"/>
      <c r="AE41" s="122">
        <v>270</v>
      </c>
      <c r="AF41" s="122">
        <v>0</v>
      </c>
      <c r="AG41" s="122">
        <v>1230</v>
      </c>
      <c r="AH41" s="122">
        <v>1230</v>
      </c>
      <c r="AI41" s="122">
        <v>1230</v>
      </c>
      <c r="AJ41" s="122">
        <v>1230</v>
      </c>
      <c r="AK41" s="122">
        <v>1230</v>
      </c>
      <c r="AL41" s="122">
        <v>1230</v>
      </c>
      <c r="AM41" s="122">
        <v>1230</v>
      </c>
      <c r="AN41" s="122">
        <v>1230</v>
      </c>
      <c r="AO41" s="122">
        <v>1230</v>
      </c>
      <c r="AP41" s="122">
        <v>1230</v>
      </c>
      <c r="AQ41" s="122">
        <f t="shared" si="52"/>
        <v>12570</v>
      </c>
      <c r="AR41" s="143">
        <f t="shared" si="37"/>
        <v>5.5324803249242856E-3</v>
      </c>
      <c r="AS41" s="143" t="s">
        <v>530</v>
      </c>
      <c r="AV41" s="113"/>
    </row>
    <row r="42" spans="2:48" x14ac:dyDescent="0.25">
      <c r="B42" t="s">
        <v>163</v>
      </c>
      <c r="C42" s="8">
        <f>SUM(C28:C41)</f>
        <v>149427.01</v>
      </c>
      <c r="D42" s="41">
        <f t="shared" ref="D42" si="54">C42/C$14</f>
        <v>0.11666066175845151</v>
      </c>
      <c r="E42" s="8">
        <f>SUM(E28:E41)</f>
        <v>302985.14</v>
      </c>
      <c r="F42" s="41">
        <f t="shared" si="3"/>
        <v>0.13967243152412215</v>
      </c>
      <c r="G42" s="8">
        <f>SUM(G28:G41)</f>
        <v>444817.26</v>
      </c>
      <c r="H42" s="41">
        <f t="shared" si="33"/>
        <v>0.20201547028759537</v>
      </c>
      <c r="I42" s="8">
        <f t="shared" ref="I42:M42" si="55">SUM(I28:I41)</f>
        <v>120783.95</v>
      </c>
      <c r="J42" s="8">
        <f t="shared" si="55"/>
        <v>114746.53</v>
      </c>
      <c r="K42" s="8">
        <f t="shared" si="55"/>
        <v>148633.92000000001</v>
      </c>
      <c r="L42" s="8">
        <f t="shared" ref="L42" si="56">SUM(L28:L41)</f>
        <v>166198.07999999999</v>
      </c>
      <c r="M42" s="8">
        <f t="shared" si="55"/>
        <v>550362.48</v>
      </c>
      <c r="N42" s="41">
        <f t="shared" si="48"/>
        <v>0.2366139514688898</v>
      </c>
      <c r="O42" s="75">
        <f t="shared" ref="O42:P42" si="57">SUM(O28:O41)</f>
        <v>159825</v>
      </c>
      <c r="P42" s="8">
        <f t="shared" si="57"/>
        <v>159754.44</v>
      </c>
      <c r="Q42" s="8">
        <f t="shared" ref="Q42:T42" si="58">SUM(Q28:Q41)</f>
        <v>160254.44</v>
      </c>
      <c r="R42" s="8">
        <f t="shared" si="58"/>
        <v>164415.44</v>
      </c>
      <c r="S42" s="8">
        <f t="shared" si="58"/>
        <v>169065.44</v>
      </c>
      <c r="T42" s="8">
        <f t="shared" si="58"/>
        <v>653489.76</v>
      </c>
      <c r="U42" s="41">
        <f t="shared" si="49"/>
        <v>0.20871722320677363</v>
      </c>
      <c r="W42" s="113"/>
      <c r="X42" s="8">
        <f t="shared" ref="X42:AA42" si="59">SUM(X28:X41)</f>
        <v>154913</v>
      </c>
      <c r="Y42" s="121">
        <f t="shared" si="59"/>
        <v>133284</v>
      </c>
      <c r="Z42" s="121">
        <f t="shared" si="59"/>
        <v>105918</v>
      </c>
      <c r="AA42" s="121">
        <f t="shared" si="59"/>
        <v>39063</v>
      </c>
      <c r="AB42" s="121">
        <f>AB28+AB35+AB40+AB41</f>
        <v>32497</v>
      </c>
      <c r="AC42" s="121">
        <f t="shared" ref="AC42:AP42" si="60">AC28+AC35+AC40+AC41</f>
        <v>33892</v>
      </c>
      <c r="AD42" s="188"/>
      <c r="AE42" s="121">
        <f t="shared" si="60"/>
        <v>36460</v>
      </c>
      <c r="AF42" s="121">
        <f t="shared" si="60"/>
        <v>24415</v>
      </c>
      <c r="AG42" s="121">
        <f t="shared" si="60"/>
        <v>27441.919999999998</v>
      </c>
      <c r="AH42" s="121">
        <f t="shared" si="60"/>
        <v>27441.919999999998</v>
      </c>
      <c r="AI42" s="121">
        <f t="shared" si="60"/>
        <v>27441.919999999998</v>
      </c>
      <c r="AJ42" s="121">
        <f t="shared" si="60"/>
        <v>27441.919999999998</v>
      </c>
      <c r="AK42" s="121">
        <f t="shared" si="60"/>
        <v>27441.919999999998</v>
      </c>
      <c r="AL42" s="121">
        <f t="shared" si="60"/>
        <v>27441.919999999998</v>
      </c>
      <c r="AM42" s="121">
        <f t="shared" si="60"/>
        <v>27441.919999999998</v>
      </c>
      <c r="AN42" s="121">
        <f t="shared" si="60"/>
        <v>27441.919999999998</v>
      </c>
      <c r="AO42" s="121">
        <f t="shared" si="60"/>
        <v>27441.919999999998</v>
      </c>
      <c r="AP42" s="121">
        <f t="shared" si="60"/>
        <v>27441.919999999998</v>
      </c>
      <c r="AQ42" s="121">
        <f>SUM(AQ28:AQ41)</f>
        <v>335294.2</v>
      </c>
      <c r="AR42" s="143">
        <f t="shared" si="37"/>
        <v>0.14757426925705877</v>
      </c>
      <c r="AV42" s="113"/>
    </row>
    <row r="43" spans="2:48" x14ac:dyDescent="0.25">
      <c r="B43" t="s">
        <v>164</v>
      </c>
      <c r="C43" s="8">
        <f>QB!F80</f>
        <v>120088.93</v>
      </c>
      <c r="D43" s="41">
        <f t="shared" ref="D43" si="61">C43/C$14</f>
        <v>9.3755834662450646E-2</v>
      </c>
      <c r="E43" s="8">
        <f>QB!K80</f>
        <v>126166.54000000001</v>
      </c>
      <c r="F43" s="41">
        <f t="shared" si="3"/>
        <v>5.8161226714899011E-2</v>
      </c>
      <c r="G43" s="8">
        <f>QB!P80</f>
        <v>153428.37</v>
      </c>
      <c r="H43" s="41">
        <f t="shared" si="33"/>
        <v>6.968008462848134E-2</v>
      </c>
      <c r="I43" s="8">
        <f>QB!Q80</f>
        <v>30869.340000000004</v>
      </c>
      <c r="J43" s="8">
        <f>QB!R80</f>
        <v>46372.210000000006</v>
      </c>
      <c r="K43" s="8">
        <f>QB!S80</f>
        <v>45966.520000000004</v>
      </c>
      <c r="L43" s="8">
        <f>QB!T80</f>
        <v>59769.5</v>
      </c>
      <c r="M43" s="8">
        <f t="shared" si="0"/>
        <v>182977.57</v>
      </c>
      <c r="N43" s="41">
        <f t="shared" si="48"/>
        <v>7.8666419752806166E-2</v>
      </c>
      <c r="O43" s="75">
        <f>(J43+K43)/2</f>
        <v>46169.365000000005</v>
      </c>
      <c r="P43" s="8">
        <f>(7700+6100+8400+3600+11200)+33000</f>
        <v>70000</v>
      </c>
      <c r="Q43" s="8">
        <f>(5600+8700+6100+7900)+33000</f>
        <v>61300</v>
      </c>
      <c r="R43" s="8">
        <f>(10000+8400)+33000</f>
        <v>51400</v>
      </c>
      <c r="S43" s="8">
        <v>33000</v>
      </c>
      <c r="T43" s="8">
        <f t="shared" ref="T43:T68" si="62">SUM(P43:S43)</f>
        <v>215700</v>
      </c>
      <c r="U43" s="41">
        <f t="shared" si="49"/>
        <v>6.8892135426423626E-2</v>
      </c>
      <c r="V43" t="s">
        <v>304</v>
      </c>
      <c r="W43" s="113"/>
      <c r="X43" s="8">
        <v>47825</v>
      </c>
      <c r="Y43" s="121">
        <v>43028</v>
      </c>
      <c r="Z43" s="121">
        <v>35371</v>
      </c>
      <c r="AA43" s="121">
        <v>-277</v>
      </c>
      <c r="AB43" s="121">
        <f>SUM(AB44:AB50)</f>
        <v>37351</v>
      </c>
      <c r="AC43" s="121">
        <f>SUM(AC44:AC50)</f>
        <v>11703</v>
      </c>
      <c r="AD43" s="188"/>
      <c r="AE43" s="121">
        <f t="shared" ref="AE43:AP43" si="63">SUM(AE44:AE50)</f>
        <v>3596</v>
      </c>
      <c r="AF43" s="121">
        <f t="shared" si="63"/>
        <v>5681</v>
      </c>
      <c r="AG43" s="121">
        <f t="shared" si="63"/>
        <v>3600</v>
      </c>
      <c r="AH43" s="121">
        <f t="shared" si="63"/>
        <v>2000</v>
      </c>
      <c r="AI43" s="121">
        <f t="shared" si="63"/>
        <v>2000</v>
      </c>
      <c r="AJ43" s="121">
        <f t="shared" si="63"/>
        <v>2000</v>
      </c>
      <c r="AK43" s="121">
        <f t="shared" si="63"/>
        <v>5000</v>
      </c>
      <c r="AL43" s="121">
        <f t="shared" si="63"/>
        <v>5000</v>
      </c>
      <c r="AM43" s="121">
        <f t="shared" si="63"/>
        <v>5000</v>
      </c>
      <c r="AN43" s="121">
        <f t="shared" si="63"/>
        <v>2000</v>
      </c>
      <c r="AO43" s="121">
        <f t="shared" si="63"/>
        <v>2000</v>
      </c>
      <c r="AP43" s="121">
        <f t="shared" si="63"/>
        <v>2000</v>
      </c>
      <c r="AQ43" s="121">
        <f t="shared" ref="AQ43" si="64">SUM(AE43:AP43)</f>
        <v>39877</v>
      </c>
      <c r="AR43" s="143">
        <f t="shared" si="37"/>
        <v>1.7551210653699741E-2</v>
      </c>
      <c r="AS43" s="143" t="s">
        <v>1772</v>
      </c>
      <c r="AV43" s="113"/>
    </row>
    <row r="44" spans="2:48" s="39" customFormat="1" x14ac:dyDescent="0.25">
      <c r="B44" s="39" t="s">
        <v>544</v>
      </c>
      <c r="C44" s="40"/>
      <c r="D44" s="41"/>
      <c r="E44" s="40"/>
      <c r="F44" s="41"/>
      <c r="G44" s="40"/>
      <c r="H44" s="41"/>
      <c r="I44" s="40"/>
      <c r="J44" s="40"/>
      <c r="K44" s="40"/>
      <c r="L44" s="40"/>
      <c r="M44" s="40"/>
      <c r="N44" s="41"/>
      <c r="O44" s="159"/>
      <c r="P44" s="40"/>
      <c r="Q44" s="40"/>
      <c r="R44" s="40"/>
      <c r="S44" s="40"/>
      <c r="T44" s="40"/>
      <c r="U44" s="41"/>
      <c r="W44" s="160"/>
      <c r="X44" s="40"/>
      <c r="Y44" s="157"/>
      <c r="Z44" s="157"/>
      <c r="AA44" s="157"/>
      <c r="AB44" s="176">
        <v>5091</v>
      </c>
      <c r="AC44" s="176"/>
      <c r="AD44" s="194"/>
      <c r="AE44" s="200">
        <v>15</v>
      </c>
      <c r="AF44" s="200">
        <v>3991</v>
      </c>
      <c r="AG44" s="200"/>
      <c r="AH44" s="200"/>
      <c r="AI44" s="200"/>
      <c r="AJ44" s="200"/>
      <c r="AK44" s="200">
        <v>3000</v>
      </c>
      <c r="AL44" s="200">
        <v>3000</v>
      </c>
      <c r="AM44" s="200">
        <v>3000</v>
      </c>
      <c r="AN44" s="200"/>
      <c r="AO44" s="200"/>
      <c r="AP44" s="200"/>
      <c r="AQ44" s="176"/>
      <c r="AR44" s="175"/>
      <c r="AS44" s="175"/>
      <c r="AV44" s="160"/>
    </row>
    <row r="45" spans="2:48" s="39" customFormat="1" x14ac:dyDescent="0.25">
      <c r="B45" s="39" t="s">
        <v>1795</v>
      </c>
      <c r="C45" s="40"/>
      <c r="D45" s="41"/>
      <c r="E45" s="40"/>
      <c r="F45" s="41"/>
      <c r="G45" s="40"/>
      <c r="H45" s="41"/>
      <c r="I45" s="40"/>
      <c r="J45" s="40"/>
      <c r="K45" s="40"/>
      <c r="L45" s="40"/>
      <c r="M45" s="40"/>
      <c r="N45" s="41"/>
      <c r="O45" s="159"/>
      <c r="P45" s="40"/>
      <c r="Q45" s="40"/>
      <c r="R45" s="40"/>
      <c r="S45" s="40"/>
      <c r="T45" s="40"/>
      <c r="U45" s="41"/>
      <c r="W45" s="160"/>
      <c r="X45" s="40"/>
      <c r="Y45" s="157"/>
      <c r="Z45" s="157"/>
      <c r="AA45" s="157"/>
      <c r="AB45" s="176"/>
      <c r="AC45" s="176"/>
      <c r="AD45" s="194"/>
      <c r="AE45" s="200">
        <v>2152</v>
      </c>
      <c r="AF45" s="200"/>
      <c r="AG45" s="200"/>
      <c r="AH45" s="200"/>
      <c r="AI45" s="200"/>
      <c r="AJ45" s="200"/>
      <c r="AK45" s="200"/>
      <c r="AL45" s="200"/>
      <c r="AM45" s="200"/>
      <c r="AN45" s="200"/>
      <c r="AO45" s="200"/>
      <c r="AP45" s="200"/>
      <c r="AQ45" s="176"/>
      <c r="AR45" s="175"/>
      <c r="AS45" s="175"/>
      <c r="AV45" s="160"/>
    </row>
    <row r="46" spans="2:48" s="39" customFormat="1" x14ac:dyDescent="0.25">
      <c r="B46" s="39" t="s">
        <v>1880</v>
      </c>
      <c r="C46" s="40"/>
      <c r="D46" s="41"/>
      <c r="E46" s="40"/>
      <c r="F46" s="41"/>
      <c r="G46" s="40"/>
      <c r="H46" s="41"/>
      <c r="I46" s="40"/>
      <c r="J46" s="40"/>
      <c r="K46" s="40"/>
      <c r="L46" s="40"/>
      <c r="M46" s="40"/>
      <c r="N46" s="41"/>
      <c r="O46" s="159"/>
      <c r="P46" s="40"/>
      <c r="Q46" s="40"/>
      <c r="R46" s="40"/>
      <c r="S46" s="40"/>
      <c r="T46" s="40"/>
      <c r="U46" s="41"/>
      <c r="W46" s="160"/>
      <c r="X46" s="40"/>
      <c r="Y46" s="157"/>
      <c r="Z46" s="157"/>
      <c r="AA46" s="157"/>
      <c r="AB46" s="176"/>
      <c r="AC46" s="176"/>
      <c r="AD46" s="194"/>
      <c r="AE46" s="200">
        <v>741</v>
      </c>
      <c r="AF46" s="200">
        <v>6</v>
      </c>
      <c r="AG46" s="200">
        <v>300</v>
      </c>
      <c r="AH46" s="200">
        <v>300</v>
      </c>
      <c r="AI46" s="200">
        <v>300</v>
      </c>
      <c r="AJ46" s="200">
        <v>300</v>
      </c>
      <c r="AK46" s="200">
        <v>300</v>
      </c>
      <c r="AL46" s="200">
        <v>300</v>
      </c>
      <c r="AM46" s="200">
        <v>300</v>
      </c>
      <c r="AN46" s="200">
        <v>300</v>
      </c>
      <c r="AO46" s="200">
        <v>300</v>
      </c>
      <c r="AP46" s="200">
        <v>300</v>
      </c>
      <c r="AQ46" s="176"/>
      <c r="AR46" s="175"/>
      <c r="AS46" s="175"/>
      <c r="AV46" s="160"/>
    </row>
    <row r="47" spans="2:48" s="39" customFormat="1" x14ac:dyDescent="0.25">
      <c r="B47" s="39" t="s">
        <v>545</v>
      </c>
      <c r="C47" s="40"/>
      <c r="D47" s="41"/>
      <c r="E47" s="40"/>
      <c r="F47" s="41"/>
      <c r="G47" s="40"/>
      <c r="H47" s="41"/>
      <c r="I47" s="40"/>
      <c r="J47" s="40"/>
      <c r="K47" s="40"/>
      <c r="L47" s="40"/>
      <c r="M47" s="40"/>
      <c r="N47" s="41"/>
      <c r="O47" s="159"/>
      <c r="P47" s="40"/>
      <c r="Q47" s="40"/>
      <c r="R47" s="40"/>
      <c r="S47" s="40"/>
      <c r="T47" s="40"/>
      <c r="U47" s="41"/>
      <c r="W47" s="160"/>
      <c r="X47" s="40"/>
      <c r="Y47" s="157"/>
      <c r="Z47" s="157"/>
      <c r="AA47" s="157"/>
      <c r="AB47" s="176"/>
      <c r="AC47" s="176"/>
      <c r="AD47" s="194"/>
      <c r="AE47" s="200">
        <v>192</v>
      </c>
      <c r="AF47" s="200">
        <v>30</v>
      </c>
      <c r="AG47" s="200">
        <v>300</v>
      </c>
      <c r="AH47" s="200">
        <v>300</v>
      </c>
      <c r="AI47" s="200">
        <v>300</v>
      </c>
      <c r="AJ47" s="200">
        <v>300</v>
      </c>
      <c r="AK47" s="200">
        <v>300</v>
      </c>
      <c r="AL47" s="200">
        <v>300</v>
      </c>
      <c r="AM47" s="200">
        <v>300</v>
      </c>
      <c r="AN47" s="200">
        <v>300</v>
      </c>
      <c r="AO47" s="200">
        <v>300</v>
      </c>
      <c r="AP47" s="200">
        <v>300</v>
      </c>
      <c r="AQ47" s="176"/>
      <c r="AR47" s="175"/>
      <c r="AS47" s="175"/>
      <c r="AV47" s="160"/>
    </row>
    <row r="48" spans="2:48" s="39" customFormat="1" x14ac:dyDescent="0.25">
      <c r="B48" s="39" t="s">
        <v>546</v>
      </c>
      <c r="C48" s="40"/>
      <c r="D48" s="41"/>
      <c r="E48" s="40"/>
      <c r="F48" s="41"/>
      <c r="G48" s="40"/>
      <c r="H48" s="41"/>
      <c r="I48" s="40"/>
      <c r="J48" s="40"/>
      <c r="K48" s="40"/>
      <c r="L48" s="40"/>
      <c r="M48" s="40"/>
      <c r="N48" s="41"/>
      <c r="O48" s="159"/>
      <c r="P48" s="40"/>
      <c r="Q48" s="40"/>
      <c r="R48" s="40"/>
      <c r="S48" s="40"/>
      <c r="T48" s="40"/>
      <c r="U48" s="41"/>
      <c r="W48" s="160"/>
      <c r="X48" s="40"/>
      <c r="Y48" s="157"/>
      <c r="Z48" s="157"/>
      <c r="AA48" s="157"/>
      <c r="AB48" s="176"/>
      <c r="AC48" s="176"/>
      <c r="AD48" s="194"/>
      <c r="AE48" s="200"/>
      <c r="AF48" s="200"/>
      <c r="AG48" s="200"/>
      <c r="AH48" s="200"/>
      <c r="AI48" s="200"/>
      <c r="AJ48" s="200"/>
      <c r="AK48" s="200"/>
      <c r="AL48" s="200"/>
      <c r="AM48" s="200"/>
      <c r="AN48" s="200"/>
      <c r="AO48" s="200"/>
      <c r="AP48" s="200"/>
      <c r="AQ48" s="176"/>
      <c r="AR48" s="175"/>
      <c r="AS48" s="175"/>
      <c r="AV48" s="160"/>
    </row>
    <row r="49" spans="1:48" s="39" customFormat="1" ht="17.25" x14ac:dyDescent="0.25">
      <c r="A49" s="202" t="s">
        <v>1767</v>
      </c>
      <c r="B49" s="39" t="s">
        <v>1794</v>
      </c>
      <c r="C49" s="40"/>
      <c r="D49" s="41"/>
      <c r="E49" s="40"/>
      <c r="F49" s="41"/>
      <c r="G49" s="40"/>
      <c r="H49" s="41"/>
      <c r="I49" s="40"/>
      <c r="J49" s="40"/>
      <c r="K49" s="40"/>
      <c r="L49" s="40"/>
      <c r="M49" s="40"/>
      <c r="N49" s="41"/>
      <c r="O49" s="159"/>
      <c r="P49" s="40"/>
      <c r="Q49" s="40"/>
      <c r="R49" s="40"/>
      <c r="S49" s="40"/>
      <c r="T49" s="40"/>
      <c r="U49" s="41"/>
      <c r="W49" s="160"/>
      <c r="X49" s="40"/>
      <c r="Y49" s="157"/>
      <c r="Z49" s="157"/>
      <c r="AA49" s="157"/>
      <c r="AB49" s="176">
        <v>30280</v>
      </c>
      <c r="AC49" s="176">
        <v>5130</v>
      </c>
      <c r="AD49" s="194"/>
      <c r="AE49" s="200"/>
      <c r="AF49" s="200"/>
      <c r="AG49" s="200"/>
      <c r="AH49" s="200"/>
      <c r="AI49" s="200"/>
      <c r="AJ49" s="200"/>
      <c r="AK49" s="200"/>
      <c r="AL49" s="200"/>
      <c r="AM49" s="200"/>
      <c r="AN49" s="200"/>
      <c r="AO49" s="200"/>
      <c r="AP49" s="200"/>
      <c r="AQ49" s="176"/>
      <c r="AR49" s="175"/>
      <c r="AS49" s="175"/>
      <c r="AV49" s="160"/>
    </row>
    <row r="50" spans="1:48" s="39" customFormat="1" x14ac:dyDescent="0.25">
      <c r="B50" s="39" t="s">
        <v>547</v>
      </c>
      <c r="C50" s="40"/>
      <c r="D50" s="41"/>
      <c r="E50" s="40"/>
      <c r="F50" s="41"/>
      <c r="G50" s="40"/>
      <c r="H50" s="41"/>
      <c r="I50" s="40"/>
      <c r="J50" s="40"/>
      <c r="K50" s="40"/>
      <c r="L50" s="40"/>
      <c r="M50" s="40"/>
      <c r="N50" s="41"/>
      <c r="O50" s="159"/>
      <c r="P50" s="40"/>
      <c r="Q50" s="40"/>
      <c r="R50" s="40"/>
      <c r="S50" s="40"/>
      <c r="T50" s="40"/>
      <c r="U50" s="41"/>
      <c r="W50" s="160"/>
      <c r="X50" s="40"/>
      <c r="Y50" s="157"/>
      <c r="Z50" s="157"/>
      <c r="AA50" s="157"/>
      <c r="AB50" s="176">
        <v>1980</v>
      </c>
      <c r="AC50" s="176">
        <v>6573</v>
      </c>
      <c r="AD50" s="194"/>
      <c r="AE50" s="200">
        <v>496</v>
      </c>
      <c r="AF50" s="200">
        <v>1654</v>
      </c>
      <c r="AG50" s="200">
        <v>3000</v>
      </c>
      <c r="AH50" s="200">
        <v>1400</v>
      </c>
      <c r="AI50" s="200">
        <v>1400</v>
      </c>
      <c r="AJ50" s="200">
        <v>1400</v>
      </c>
      <c r="AK50" s="200">
        <v>1400</v>
      </c>
      <c r="AL50" s="200">
        <v>1400</v>
      </c>
      <c r="AM50" s="200">
        <v>1400</v>
      </c>
      <c r="AN50" s="200">
        <v>1400</v>
      </c>
      <c r="AO50" s="200">
        <v>1400</v>
      </c>
      <c r="AP50" s="200">
        <v>1400</v>
      </c>
      <c r="AQ50" s="176"/>
      <c r="AR50" s="175"/>
      <c r="AS50" s="143"/>
      <c r="AV50" s="160"/>
    </row>
    <row r="51" spans="1:48" x14ac:dyDescent="0.25">
      <c r="B51" t="s">
        <v>165</v>
      </c>
      <c r="C51" s="8">
        <f>QB!F85</f>
        <v>38000.699999999997</v>
      </c>
      <c r="D51" s="41">
        <f t="shared" ref="D51" si="65">C51/C$14</f>
        <v>2.9667908159872754E-2</v>
      </c>
      <c r="E51" s="8">
        <f>QB!K85</f>
        <v>32084.48</v>
      </c>
      <c r="F51" s="41">
        <f t="shared" si="3"/>
        <v>1.4790551562321064E-2</v>
      </c>
      <c r="G51" s="8">
        <f>QB!P85</f>
        <v>84207.42</v>
      </c>
      <c r="H51" s="41">
        <f t="shared" si="33"/>
        <v>3.8243123823488913E-2</v>
      </c>
      <c r="I51" s="8">
        <f>QB!Q85</f>
        <v>26379.88</v>
      </c>
      <c r="J51" s="8">
        <f>QB!R85+QB!R81</f>
        <v>35720.619999999995</v>
      </c>
      <c r="K51" s="8">
        <f>QB!S85</f>
        <v>18292.419999999998</v>
      </c>
      <c r="L51" s="8">
        <f>QB!T85</f>
        <v>29012.51</v>
      </c>
      <c r="M51" s="8">
        <f t="shared" si="0"/>
        <v>109405.43</v>
      </c>
      <c r="N51" s="41">
        <f t="shared" si="48"/>
        <v>4.7036002716705938E-2</v>
      </c>
      <c r="O51" s="75">
        <f>(8442+760)*3</f>
        <v>27606</v>
      </c>
      <c r="P51" s="8">
        <f>9500*3</f>
        <v>28500</v>
      </c>
      <c r="Q51" s="8">
        <f t="shared" ref="Q51:S51" si="66">9500*3</f>
        <v>28500</v>
      </c>
      <c r="R51" s="8">
        <f t="shared" si="66"/>
        <v>28500</v>
      </c>
      <c r="S51" s="8">
        <f t="shared" si="66"/>
        <v>28500</v>
      </c>
      <c r="T51" s="8">
        <f t="shared" si="62"/>
        <v>114000</v>
      </c>
      <c r="U51" s="41">
        <f t="shared" si="49"/>
        <v>3.6410308013965199E-2</v>
      </c>
      <c r="V51" t="s">
        <v>302</v>
      </c>
      <c r="W51" s="113"/>
      <c r="X51" s="8">
        <v>37316</v>
      </c>
      <c r="Y51" s="121">
        <v>28264</v>
      </c>
      <c r="Z51" s="121">
        <v>29360</v>
      </c>
      <c r="AA51" s="121">
        <v>9440</v>
      </c>
      <c r="AB51" s="121">
        <v>9372</v>
      </c>
      <c r="AC51" s="121">
        <v>10026</v>
      </c>
      <c r="AD51" s="188"/>
      <c r="AE51" s="121">
        <f>9560-4500</f>
        <v>5060</v>
      </c>
      <c r="AF51" s="121">
        <v>9560</v>
      </c>
      <c r="AG51" s="121">
        <v>5000</v>
      </c>
      <c r="AH51" s="121">
        <f t="shared" ref="AH51:AJ51" si="67">AG51</f>
        <v>5000</v>
      </c>
      <c r="AI51" s="121">
        <f t="shared" si="67"/>
        <v>5000</v>
      </c>
      <c r="AJ51" s="121">
        <f t="shared" si="67"/>
        <v>5000</v>
      </c>
      <c r="AK51" s="121">
        <f t="shared" ref="AK51:AK52" si="68">AJ51</f>
        <v>5000</v>
      </c>
      <c r="AL51" s="121">
        <f t="shared" ref="AL51:AL52" si="69">AK51</f>
        <v>5000</v>
      </c>
      <c r="AM51" s="121">
        <f t="shared" ref="AM51:AM52" si="70">AL51</f>
        <v>5000</v>
      </c>
      <c r="AN51" s="121">
        <f t="shared" ref="AN51:AN52" si="71">AM51</f>
        <v>5000</v>
      </c>
      <c r="AO51" s="121">
        <f t="shared" ref="AO51:AO52" si="72">AN51</f>
        <v>5000</v>
      </c>
      <c r="AP51" s="121">
        <f t="shared" ref="AP51:AP52" si="73">AO51</f>
        <v>5000</v>
      </c>
      <c r="AQ51" s="121">
        <f t="shared" ref="AQ51:AQ68" si="74">SUM(AE51:AP51)</f>
        <v>64620</v>
      </c>
      <c r="AR51" s="143">
        <f t="shared" si="37"/>
        <v>2.8441438233620314E-2</v>
      </c>
      <c r="AS51" s="143" t="s">
        <v>540</v>
      </c>
      <c r="AV51" s="113"/>
    </row>
    <row r="52" spans="1:48" x14ac:dyDescent="0.25">
      <c r="B52" t="s">
        <v>1436</v>
      </c>
      <c r="C52" s="8">
        <f>QB!F89</f>
        <v>20912.079999999998</v>
      </c>
      <c r="D52" s="41">
        <f t="shared" ref="D52" si="75">C52/C$14</f>
        <v>1.6326480008839621E-2</v>
      </c>
      <c r="E52" s="8">
        <f>QB!K89</f>
        <v>28881.79</v>
      </c>
      <c r="F52" s="41">
        <f t="shared" si="3"/>
        <v>1.331415077343092E-2</v>
      </c>
      <c r="G52" s="8">
        <f>QB!P89</f>
        <v>62978.55</v>
      </c>
      <c r="H52" s="41">
        <f t="shared" si="33"/>
        <v>2.8601950824212258E-2</v>
      </c>
      <c r="I52" s="8">
        <f>QB!Q89</f>
        <v>8729.68</v>
      </c>
      <c r="J52" s="8">
        <f>QB!R89</f>
        <v>14622.97</v>
      </c>
      <c r="K52" s="8">
        <f>QB!S89</f>
        <v>18106.66</v>
      </c>
      <c r="L52" s="8">
        <f>QB!T89</f>
        <v>23639.129999999997</v>
      </c>
      <c r="M52" s="8">
        <f t="shared" si="0"/>
        <v>65098.439999999995</v>
      </c>
      <c r="N52" s="41">
        <f t="shared" si="48"/>
        <v>2.7987371382693881E-2</v>
      </c>
      <c r="O52" s="75">
        <f>(J52+K52)/2</f>
        <v>16364.814999999999</v>
      </c>
      <c r="P52" s="8">
        <v>15000</v>
      </c>
      <c r="Q52" s="8">
        <v>15000</v>
      </c>
      <c r="R52" s="8">
        <v>15000</v>
      </c>
      <c r="S52" s="8">
        <v>15000</v>
      </c>
      <c r="T52" s="8">
        <f t="shared" si="62"/>
        <v>60000</v>
      </c>
      <c r="U52" s="41">
        <f t="shared" si="49"/>
        <v>1.9163320007350104E-2</v>
      </c>
      <c r="V52" t="s">
        <v>303</v>
      </c>
      <c r="W52" s="113"/>
      <c r="X52" s="8">
        <v>11546</v>
      </c>
      <c r="Y52" s="121">
        <v>6569</v>
      </c>
      <c r="Z52" s="121">
        <v>1644</v>
      </c>
      <c r="AA52" s="121">
        <v>1798</v>
      </c>
      <c r="AB52" s="121">
        <v>1032</v>
      </c>
      <c r="AC52" s="121">
        <v>564</v>
      </c>
      <c r="AD52" s="188"/>
      <c r="AE52" s="121">
        <v>251</v>
      </c>
      <c r="AF52" s="121">
        <v>893</v>
      </c>
      <c r="AG52" s="121">
        <v>600</v>
      </c>
      <c r="AH52" s="121">
        <f t="shared" ref="AH52:AJ52" si="76">AG52</f>
        <v>600</v>
      </c>
      <c r="AI52" s="121">
        <f t="shared" si="76"/>
        <v>600</v>
      </c>
      <c r="AJ52" s="121">
        <f t="shared" si="76"/>
        <v>600</v>
      </c>
      <c r="AK52" s="121">
        <f t="shared" si="68"/>
        <v>600</v>
      </c>
      <c r="AL52" s="121">
        <f t="shared" si="69"/>
        <v>600</v>
      </c>
      <c r="AM52" s="121">
        <f t="shared" si="70"/>
        <v>600</v>
      </c>
      <c r="AN52" s="121">
        <f t="shared" si="71"/>
        <v>600</v>
      </c>
      <c r="AO52" s="121">
        <f t="shared" si="72"/>
        <v>600</v>
      </c>
      <c r="AP52" s="121">
        <f t="shared" si="73"/>
        <v>600</v>
      </c>
      <c r="AQ52" s="121">
        <f t="shared" si="74"/>
        <v>7144</v>
      </c>
      <c r="AR52" s="143">
        <f t="shared" si="37"/>
        <v>3.1443149913491725E-3</v>
      </c>
      <c r="AS52" s="143" t="s">
        <v>541</v>
      </c>
      <c r="AV52" s="113"/>
    </row>
    <row r="53" spans="1:48" x14ac:dyDescent="0.25">
      <c r="B53" t="s">
        <v>167</v>
      </c>
      <c r="C53" s="8">
        <f>QB!F113</f>
        <v>10191.39</v>
      </c>
      <c r="D53" s="41">
        <f t="shared" ref="D53" si="77">C53/C$14</f>
        <v>7.9566224448877412E-3</v>
      </c>
      <c r="E53" s="8">
        <f>QB!K113</f>
        <v>6913.83</v>
      </c>
      <c r="F53" s="41">
        <f t="shared" si="3"/>
        <v>3.1871907884473191E-3</v>
      </c>
      <c r="G53" s="8">
        <f>QB!P113</f>
        <v>9268.26</v>
      </c>
      <c r="H53" s="41">
        <f t="shared" si="33"/>
        <v>4.209215943301545E-3</v>
      </c>
      <c r="I53" s="8">
        <f>QB!Q113</f>
        <v>5660.65</v>
      </c>
      <c r="J53" s="8">
        <f>QB!R113</f>
        <v>10099.85</v>
      </c>
      <c r="K53" s="8">
        <f>QB!S113</f>
        <v>5022</v>
      </c>
      <c r="L53" s="8">
        <f>QB!T113</f>
        <v>3101.44</v>
      </c>
      <c r="M53" s="8">
        <f t="shared" si="0"/>
        <v>23883.94</v>
      </c>
      <c r="N53" s="41">
        <f t="shared" si="48"/>
        <v>1.0268275228438312E-2</v>
      </c>
      <c r="O53" s="75">
        <f>(J53+K53)/2</f>
        <v>7560.9250000000002</v>
      </c>
      <c r="P53" s="8">
        <f>M53/4</f>
        <v>5970.9849999999997</v>
      </c>
      <c r="Q53" s="8">
        <f>P53</f>
        <v>5970.9849999999997</v>
      </c>
      <c r="R53" s="8">
        <f t="shared" ref="R53:S53" si="78">Q53</f>
        <v>5970.9849999999997</v>
      </c>
      <c r="S53" s="8">
        <f t="shared" si="78"/>
        <v>5970.9849999999997</v>
      </c>
      <c r="T53" s="8">
        <f t="shared" si="62"/>
        <v>23883.94</v>
      </c>
      <c r="U53" s="41">
        <f t="shared" si="49"/>
        <v>7.62825975427249E-3</v>
      </c>
      <c r="V53" t="s">
        <v>305</v>
      </c>
      <c r="W53" s="113"/>
      <c r="X53" s="8">
        <v>10230</v>
      </c>
      <c r="Y53" s="121">
        <v>17117</v>
      </c>
      <c r="Z53" s="121">
        <v>9398</v>
      </c>
      <c r="AA53" s="121">
        <v>1514</v>
      </c>
      <c r="AB53" s="121">
        <v>571</v>
      </c>
      <c r="AC53" s="121">
        <v>192</v>
      </c>
      <c r="AD53" s="195"/>
      <c r="AE53" s="121"/>
      <c r="AF53" s="121">
        <v>177</v>
      </c>
      <c r="AG53" s="121">
        <v>500</v>
      </c>
      <c r="AH53" s="121">
        <v>500</v>
      </c>
      <c r="AI53" s="121">
        <v>500</v>
      </c>
      <c r="AJ53" s="121">
        <v>500</v>
      </c>
      <c r="AK53" s="121">
        <v>500</v>
      </c>
      <c r="AL53" s="121">
        <v>500</v>
      </c>
      <c r="AM53" s="121">
        <v>500</v>
      </c>
      <c r="AN53" s="121">
        <v>500</v>
      </c>
      <c r="AO53" s="121">
        <v>500</v>
      </c>
      <c r="AP53" s="121">
        <v>500</v>
      </c>
      <c r="AQ53" s="121">
        <f t="shared" si="74"/>
        <v>5177</v>
      </c>
      <c r="AR53" s="143">
        <f t="shared" si="37"/>
        <v>2.2785720479023891E-3</v>
      </c>
      <c r="AS53" s="143" t="s">
        <v>1772</v>
      </c>
      <c r="AT53" t="s">
        <v>305</v>
      </c>
      <c r="AV53" s="113"/>
    </row>
    <row r="54" spans="1:48" x14ac:dyDescent="0.25">
      <c r="B54" t="s">
        <v>168</v>
      </c>
      <c r="C54" s="8">
        <f>QB!F100</f>
        <v>9066.619999999999</v>
      </c>
      <c r="D54" s="41">
        <f t="shared" ref="D54" si="79">C54/C$14</f>
        <v>7.0784919614761176E-3</v>
      </c>
      <c r="E54" s="8">
        <f>QB!K100</f>
        <v>9832.89</v>
      </c>
      <c r="F54" s="41">
        <f t="shared" si="3"/>
        <v>4.5328416278409738E-3</v>
      </c>
      <c r="G54" s="8">
        <f>QB!P100</f>
        <v>13230.97</v>
      </c>
      <c r="H54" s="41">
        <f t="shared" si="33"/>
        <v>6.0088959383254714E-3</v>
      </c>
      <c r="I54" s="8">
        <f>QB!Q100</f>
        <v>4003.7</v>
      </c>
      <c r="J54" s="8">
        <f>QB!R100</f>
        <v>4951.0600000000004</v>
      </c>
      <c r="K54" s="8">
        <f>QB!S100</f>
        <v>5337.94</v>
      </c>
      <c r="L54" s="8">
        <f>QB!T100</f>
        <v>6193</v>
      </c>
      <c r="M54" s="8">
        <f t="shared" si="0"/>
        <v>20485.7</v>
      </c>
      <c r="N54" s="41">
        <f t="shared" si="48"/>
        <v>8.8072908342266276E-3</v>
      </c>
      <c r="O54" s="75">
        <f>(J54+K54)/2</f>
        <v>5144.5</v>
      </c>
      <c r="P54" s="8">
        <f>M54/4</f>
        <v>5121.4250000000002</v>
      </c>
      <c r="Q54" s="8">
        <f>P54</f>
        <v>5121.4250000000002</v>
      </c>
      <c r="R54" s="8">
        <f t="shared" ref="R54:S54" si="80">Q54</f>
        <v>5121.4250000000002</v>
      </c>
      <c r="S54" s="8">
        <f t="shared" si="80"/>
        <v>5121.4250000000002</v>
      </c>
      <c r="T54" s="8">
        <f t="shared" si="62"/>
        <v>20485.7</v>
      </c>
      <c r="U54" s="41">
        <f t="shared" si="49"/>
        <v>6.5429004112428669E-3</v>
      </c>
      <c r="V54" t="s">
        <v>306</v>
      </c>
      <c r="W54" s="113"/>
      <c r="X54" s="8">
        <v>12949</v>
      </c>
      <c r="Y54" s="121">
        <v>10819</v>
      </c>
      <c r="Z54" s="121">
        <v>17922</v>
      </c>
      <c r="AA54" s="121">
        <v>3465</v>
      </c>
      <c r="AB54" s="121">
        <v>5065</v>
      </c>
      <c r="AC54" s="121">
        <v>2125</v>
      </c>
      <c r="AD54" s="188"/>
      <c r="AE54" s="121">
        <v>4075</v>
      </c>
      <c r="AF54" s="121">
        <v>2467</v>
      </c>
      <c r="AG54" s="121">
        <v>3000</v>
      </c>
      <c r="AH54" s="121">
        <v>2000</v>
      </c>
      <c r="AI54" s="121">
        <v>2000</v>
      </c>
      <c r="AJ54" s="121">
        <v>2000</v>
      </c>
      <c r="AK54" s="121">
        <v>2000</v>
      </c>
      <c r="AL54" s="121">
        <v>2000</v>
      </c>
      <c r="AM54" s="121">
        <v>2000</v>
      </c>
      <c r="AN54" s="121">
        <v>2000</v>
      </c>
      <c r="AO54" s="121">
        <v>2000</v>
      </c>
      <c r="AP54" s="121">
        <v>2000</v>
      </c>
      <c r="AQ54" s="121">
        <f t="shared" si="74"/>
        <v>27542</v>
      </c>
      <c r="AR54" s="143">
        <f t="shared" si="37"/>
        <v>1.2122161742964573E-2</v>
      </c>
      <c r="AS54" s="143" t="s">
        <v>1891</v>
      </c>
      <c r="AT54" t="s">
        <v>306</v>
      </c>
      <c r="AV54" s="113"/>
    </row>
    <row r="55" spans="1:48" x14ac:dyDescent="0.25">
      <c r="B55" t="s">
        <v>169</v>
      </c>
      <c r="C55" s="8">
        <f>QB!F101+QB!F102+QB!F103</f>
        <v>7786.98</v>
      </c>
      <c r="D55" s="41">
        <f t="shared" ref="D55" si="81">C55/C$14</f>
        <v>6.0794513649160657E-3</v>
      </c>
      <c r="E55" s="8">
        <f>QB!K101+QB!K102+QB!K103</f>
        <v>9618.1999999999989</v>
      </c>
      <c r="F55" s="41">
        <f t="shared" si="3"/>
        <v>4.433872172362352E-3</v>
      </c>
      <c r="G55" s="8">
        <f>QB!P101+QB!P102+QB!P103</f>
        <v>19428.150000000001</v>
      </c>
      <c r="H55" s="41">
        <f t="shared" si="33"/>
        <v>8.8233690820988964E-3</v>
      </c>
      <c r="I55" s="8">
        <f>QB!Q101+QB!Q102+QB!Q103</f>
        <v>5429.34</v>
      </c>
      <c r="J55" s="8">
        <f>QB!R101+QB!R102+QB!R103</f>
        <v>5207.41</v>
      </c>
      <c r="K55" s="8">
        <f>QB!S101+QB!S102+QB!S103</f>
        <v>1824.37</v>
      </c>
      <c r="L55" s="8">
        <f>QB!T101+QB!T102+QB!T103</f>
        <v>3851.3999999999996</v>
      </c>
      <c r="M55" s="8">
        <f t="shared" si="0"/>
        <v>16312.519999999999</v>
      </c>
      <c r="N55" s="41">
        <f t="shared" si="48"/>
        <v>7.0131412584943905E-3</v>
      </c>
      <c r="O55" s="75">
        <v>1400</v>
      </c>
      <c r="P55" s="8">
        <f>(M55*1.05)/4</f>
        <v>4282.0365000000002</v>
      </c>
      <c r="Q55" s="8">
        <f>P55</f>
        <v>4282.0365000000002</v>
      </c>
      <c r="R55" s="8">
        <f t="shared" ref="R55:S55" si="82">Q55</f>
        <v>4282.0365000000002</v>
      </c>
      <c r="S55" s="8">
        <f t="shared" si="82"/>
        <v>4282.0365000000002</v>
      </c>
      <c r="T55" s="8">
        <f t="shared" si="62"/>
        <v>17128.146000000001</v>
      </c>
      <c r="U55" s="41">
        <f t="shared" si="49"/>
        <v>5.4705357155102278E-3</v>
      </c>
      <c r="V55" t="s">
        <v>307</v>
      </c>
      <c r="W55" s="113"/>
      <c r="X55" s="8">
        <v>8122</v>
      </c>
      <c r="Y55" s="121">
        <v>4876</v>
      </c>
      <c r="Z55" s="121">
        <v>3610</v>
      </c>
      <c r="AA55" s="121">
        <v>1394</v>
      </c>
      <c r="AB55" s="121">
        <v>364</v>
      </c>
      <c r="AC55" s="121">
        <v>375</v>
      </c>
      <c r="AD55" s="188"/>
      <c r="AE55" s="121">
        <v>3015</v>
      </c>
      <c r="AF55" s="121">
        <f>201+94+1809</f>
        <v>2104</v>
      </c>
      <c r="AG55" s="121">
        <f>201+94+982</f>
        <v>1277</v>
      </c>
      <c r="AH55" s="121">
        <f t="shared" ref="AH55:AK55" si="83">201+94+982</f>
        <v>1277</v>
      </c>
      <c r="AI55" s="121">
        <f t="shared" si="83"/>
        <v>1277</v>
      </c>
      <c r="AJ55" s="121">
        <f t="shared" si="83"/>
        <v>1277</v>
      </c>
      <c r="AK55" s="121">
        <f t="shared" si="83"/>
        <v>1277</v>
      </c>
      <c r="AL55" s="121">
        <f>201+94</f>
        <v>295</v>
      </c>
      <c r="AM55" s="121">
        <f t="shared" ref="AM55:AP55" si="84">201+94</f>
        <v>295</v>
      </c>
      <c r="AN55" s="121">
        <f t="shared" si="84"/>
        <v>295</v>
      </c>
      <c r="AO55" s="121">
        <f t="shared" si="84"/>
        <v>295</v>
      </c>
      <c r="AP55" s="121">
        <f t="shared" si="84"/>
        <v>295</v>
      </c>
      <c r="AQ55" s="121">
        <f t="shared" si="74"/>
        <v>12979</v>
      </c>
      <c r="AR55" s="143">
        <f t="shared" si="37"/>
        <v>5.7124949989810908E-3</v>
      </c>
      <c r="AS55" s="143" t="s">
        <v>1858</v>
      </c>
      <c r="AV55" s="113"/>
    </row>
    <row r="56" spans="1:48" x14ac:dyDescent="0.25">
      <c r="B56" t="s">
        <v>170</v>
      </c>
      <c r="C56" s="8">
        <f>QB!F90</f>
        <v>3827.54</v>
      </c>
      <c r="D56" s="41">
        <f t="shared" ref="D56" si="85">C56/C$14</f>
        <v>2.9882371955842753E-3</v>
      </c>
      <c r="E56" s="8">
        <f>QB!K90</f>
        <v>4766.1099999999997</v>
      </c>
      <c r="F56" s="41">
        <f t="shared" si="3"/>
        <v>2.1971182237235584E-3</v>
      </c>
      <c r="G56" s="8">
        <f>QB!P90</f>
        <v>12331.72</v>
      </c>
      <c r="H56" s="41">
        <f t="shared" si="33"/>
        <v>5.6004980905078753E-3</v>
      </c>
      <c r="I56" s="8">
        <f>QB!Q90</f>
        <v>2861.71</v>
      </c>
      <c r="J56" s="8">
        <f>QB!R90</f>
        <v>5028.17</v>
      </c>
      <c r="K56" s="8">
        <f>QB!S90</f>
        <v>2859.4</v>
      </c>
      <c r="L56" s="8">
        <f>QB!T90</f>
        <v>2800.93</v>
      </c>
      <c r="M56" s="8">
        <f t="shared" si="0"/>
        <v>13550.210000000001</v>
      </c>
      <c r="N56" s="41">
        <f t="shared" si="48"/>
        <v>5.8255583326342767E-3</v>
      </c>
      <c r="O56" s="75">
        <f>(170+810+180)*3</f>
        <v>3480</v>
      </c>
      <c r="P56" s="8">
        <f>M56/4</f>
        <v>3387.5525000000002</v>
      </c>
      <c r="Q56" s="8">
        <f>P56</f>
        <v>3387.5525000000002</v>
      </c>
      <c r="R56" s="8">
        <f t="shared" ref="R56:S56" si="86">Q56</f>
        <v>3387.5525000000002</v>
      </c>
      <c r="S56" s="8">
        <f t="shared" si="86"/>
        <v>3387.5525000000002</v>
      </c>
      <c r="T56" s="8">
        <f t="shared" si="62"/>
        <v>13550.210000000001</v>
      </c>
      <c r="U56" s="41">
        <f t="shared" si="49"/>
        <v>4.3277835066132574E-3</v>
      </c>
      <c r="V56" t="s">
        <v>308</v>
      </c>
      <c r="W56" s="113"/>
      <c r="X56" s="8"/>
      <c r="Y56" s="121"/>
      <c r="Z56" s="121"/>
      <c r="AA56" s="121">
        <v>3400</v>
      </c>
      <c r="AB56" s="121"/>
      <c r="AC56" s="121"/>
      <c r="AD56" s="188"/>
      <c r="AE56" s="121"/>
      <c r="AF56" s="121"/>
      <c r="AG56" s="121"/>
      <c r="AH56" s="121"/>
      <c r="AI56" s="121"/>
      <c r="AJ56" s="121"/>
      <c r="AK56" s="121"/>
      <c r="AL56" s="121"/>
      <c r="AM56" s="121"/>
      <c r="AN56" s="121"/>
      <c r="AO56" s="121"/>
      <c r="AP56" s="121"/>
      <c r="AQ56" s="121"/>
      <c r="AT56" t="s">
        <v>308</v>
      </c>
      <c r="AV56" s="113"/>
    </row>
    <row r="57" spans="1:48" x14ac:dyDescent="0.25">
      <c r="B57" t="s">
        <v>1437</v>
      </c>
      <c r="C57" s="8"/>
      <c r="E57" s="8"/>
      <c r="G57" s="8"/>
      <c r="I57" s="8"/>
      <c r="J57" s="8"/>
      <c r="K57" s="8"/>
      <c r="L57" s="8"/>
      <c r="M57" s="8"/>
      <c r="O57" s="75"/>
      <c r="P57" s="8"/>
      <c r="Q57" s="8"/>
      <c r="R57" s="8"/>
      <c r="S57" s="8"/>
      <c r="T57" s="8"/>
      <c r="W57" s="113"/>
      <c r="X57" s="8">
        <v>3992</v>
      </c>
      <c r="Y57" s="121">
        <v>3647</v>
      </c>
      <c r="Z57" s="121">
        <v>2189</v>
      </c>
      <c r="AA57" s="121"/>
      <c r="AB57" s="121"/>
      <c r="AC57" s="121">
        <v>650</v>
      </c>
      <c r="AD57" s="188"/>
      <c r="AE57" s="121">
        <v>792</v>
      </c>
      <c r="AF57" s="121">
        <v>782</v>
      </c>
      <c r="AG57" s="121">
        <f t="shared" ref="AG57" si="87">612+183</f>
        <v>795</v>
      </c>
      <c r="AH57" s="121">
        <f>612+183-220</f>
        <v>575</v>
      </c>
      <c r="AI57" s="121">
        <f t="shared" ref="AI57:AP57" si="88">612+183-220</f>
        <v>575</v>
      </c>
      <c r="AJ57" s="121">
        <f t="shared" si="88"/>
        <v>575</v>
      </c>
      <c r="AK57" s="121">
        <f t="shared" si="88"/>
        <v>575</v>
      </c>
      <c r="AL57" s="121">
        <f t="shared" si="88"/>
        <v>575</v>
      </c>
      <c r="AM57" s="121">
        <f t="shared" si="88"/>
        <v>575</v>
      </c>
      <c r="AN57" s="121">
        <f t="shared" si="88"/>
        <v>575</v>
      </c>
      <c r="AO57" s="121">
        <f t="shared" si="88"/>
        <v>575</v>
      </c>
      <c r="AP57" s="121">
        <f t="shared" si="88"/>
        <v>575</v>
      </c>
      <c r="AQ57" s="121">
        <f t="shared" si="74"/>
        <v>7544</v>
      </c>
      <c r="AR57" s="143">
        <f t="shared" si="37"/>
        <v>3.3203684623093724E-3</v>
      </c>
      <c r="AS57" s="143" t="s">
        <v>1859</v>
      </c>
      <c r="AV57" s="113"/>
    </row>
    <row r="58" spans="1:48" x14ac:dyDescent="0.25">
      <c r="B58" t="s">
        <v>1438</v>
      </c>
      <c r="C58" s="8"/>
      <c r="E58" s="8"/>
      <c r="G58" s="8"/>
      <c r="I58" s="8"/>
      <c r="J58" s="8"/>
      <c r="K58" s="8"/>
      <c r="L58" s="8"/>
      <c r="M58" s="8"/>
      <c r="O58" s="75"/>
      <c r="P58" s="8"/>
      <c r="Q58" s="8"/>
      <c r="R58" s="8"/>
      <c r="S58" s="8"/>
      <c r="T58" s="8"/>
      <c r="W58" s="113"/>
      <c r="X58" s="8">
        <v>2243</v>
      </c>
      <c r="Y58" s="121">
        <v>1989</v>
      </c>
      <c r="Z58" s="121">
        <v>3165</v>
      </c>
      <c r="AA58" s="121"/>
      <c r="AB58" s="121">
        <v>252</v>
      </c>
      <c r="AC58" s="121">
        <v>858</v>
      </c>
      <c r="AD58" s="188"/>
      <c r="AE58" s="121">
        <v>0</v>
      </c>
      <c r="AF58" s="121">
        <v>0</v>
      </c>
      <c r="AG58" s="121">
        <v>820</v>
      </c>
      <c r="AH58" s="121">
        <v>820</v>
      </c>
      <c r="AI58" s="121">
        <v>820</v>
      </c>
      <c r="AJ58" s="121">
        <v>820</v>
      </c>
      <c r="AK58" s="121">
        <v>820</v>
      </c>
      <c r="AL58" s="121">
        <v>820</v>
      </c>
      <c r="AM58" s="121">
        <v>820</v>
      </c>
      <c r="AN58" s="121">
        <v>820</v>
      </c>
      <c r="AO58" s="121">
        <v>820</v>
      </c>
      <c r="AP58" s="121">
        <v>820</v>
      </c>
      <c r="AQ58" s="121">
        <f t="shared" si="74"/>
        <v>8200</v>
      </c>
      <c r="AR58" s="143">
        <f t="shared" si="37"/>
        <v>3.6090961546841006E-3</v>
      </c>
      <c r="AS58" s="143" t="s">
        <v>530</v>
      </c>
      <c r="AV58" s="113"/>
    </row>
    <row r="59" spans="1:48" x14ac:dyDescent="0.25">
      <c r="B59" t="s">
        <v>171</v>
      </c>
      <c r="C59" s="8">
        <f>QB!F106</f>
        <v>8793.32</v>
      </c>
      <c r="D59" s="41">
        <f t="shared" ref="D59" si="89">C59/C$14</f>
        <v>6.865121173567126E-3</v>
      </c>
      <c r="E59" s="8">
        <f>QB!K106</f>
        <v>14641.91</v>
      </c>
      <c r="F59" s="41">
        <f t="shared" si="3"/>
        <v>6.7497408350038523E-3</v>
      </c>
      <c r="G59" s="8">
        <f>QB!P106</f>
        <v>25989.679999999997</v>
      </c>
      <c r="H59" s="41">
        <f t="shared" si="33"/>
        <v>1.1803313180392573E-2</v>
      </c>
      <c r="I59" s="8">
        <f>QB!Q106</f>
        <v>1557</v>
      </c>
      <c r="J59" s="8">
        <f>QB!R106</f>
        <v>1232</v>
      </c>
      <c r="K59" s="8">
        <f>QB!S106</f>
        <v>4093</v>
      </c>
      <c r="L59" s="8">
        <f>QB!T106</f>
        <v>12384.98</v>
      </c>
      <c r="M59" s="8">
        <f t="shared" si="0"/>
        <v>19266.98</v>
      </c>
      <c r="N59" s="41">
        <f t="shared" si="48"/>
        <v>8.2833340504462998E-3</v>
      </c>
      <c r="O59" s="75">
        <v>10500</v>
      </c>
      <c r="P59" s="8">
        <f>I59+7500</f>
        <v>9057</v>
      </c>
      <c r="Q59" s="8">
        <f t="shared" ref="Q59:R59" si="90">J59+7500</f>
        <v>8732</v>
      </c>
      <c r="R59" s="8">
        <f t="shared" si="90"/>
        <v>11593</v>
      </c>
      <c r="S59" s="8">
        <f>L59</f>
        <v>12384.98</v>
      </c>
      <c r="T59" s="8">
        <f t="shared" si="62"/>
        <v>41766.979999999996</v>
      </c>
      <c r="U59" s="41">
        <f t="shared" si="49"/>
        <v>1.3339900058009859E-2</v>
      </c>
      <c r="V59" t="s">
        <v>309</v>
      </c>
      <c r="W59" s="113"/>
      <c r="X59" s="8">
        <v>12052</v>
      </c>
      <c r="Y59" s="121">
        <v>9564</v>
      </c>
      <c r="Z59" s="121">
        <v>9537</v>
      </c>
      <c r="AA59" s="121">
        <v>2194</v>
      </c>
      <c r="AB59" s="121">
        <v>1594</v>
      </c>
      <c r="AC59" s="121">
        <v>9094</v>
      </c>
      <c r="AD59" s="188"/>
      <c r="AE59" s="121">
        <v>5893</v>
      </c>
      <c r="AF59" s="121">
        <v>0</v>
      </c>
      <c r="AG59" s="121">
        <v>5500</v>
      </c>
      <c r="AH59" s="121">
        <f t="shared" ref="AH59:AJ59" si="91">AG59</f>
        <v>5500</v>
      </c>
      <c r="AI59" s="121">
        <f t="shared" si="91"/>
        <v>5500</v>
      </c>
      <c r="AJ59" s="121">
        <f t="shared" si="91"/>
        <v>5500</v>
      </c>
      <c r="AK59" s="121">
        <f t="shared" ref="AK59" si="92">AJ59</f>
        <v>5500</v>
      </c>
      <c r="AL59" s="121">
        <f t="shared" ref="AL59" si="93">AK59</f>
        <v>5500</v>
      </c>
      <c r="AM59" s="121">
        <f t="shared" ref="AM59" si="94">AL59</f>
        <v>5500</v>
      </c>
      <c r="AN59" s="121">
        <f t="shared" ref="AN59" si="95">AM59</f>
        <v>5500</v>
      </c>
      <c r="AO59" s="121">
        <f t="shared" ref="AO59" si="96">AN59</f>
        <v>5500</v>
      </c>
      <c r="AP59" s="121">
        <f t="shared" ref="AP59" si="97">AO59</f>
        <v>5500</v>
      </c>
      <c r="AQ59" s="121">
        <f t="shared" si="74"/>
        <v>60893</v>
      </c>
      <c r="AR59" s="143">
        <f t="shared" si="37"/>
        <v>2.6801060017948651E-2</v>
      </c>
      <c r="AS59" s="143" t="s">
        <v>1743</v>
      </c>
      <c r="AT59" t="s">
        <v>309</v>
      </c>
      <c r="AV59" s="113"/>
    </row>
    <row r="60" spans="1:48" x14ac:dyDescent="0.25">
      <c r="B60" t="s">
        <v>172</v>
      </c>
      <c r="C60" s="8">
        <f>QB!F115</f>
        <v>5276.76</v>
      </c>
      <c r="D60" s="41">
        <f t="shared" ref="D60" si="98">C60/C$14</f>
        <v>4.1196722971337417E-3</v>
      </c>
      <c r="E60" s="8">
        <f>QB!K115</f>
        <v>3200.5699999999997</v>
      </c>
      <c r="F60" s="41">
        <f t="shared" si="3"/>
        <v>1.4754234949052602E-3</v>
      </c>
      <c r="G60" s="8">
        <f>QB!P115</f>
        <v>8234.48</v>
      </c>
      <c r="H60" s="41">
        <f t="shared" si="33"/>
        <v>3.7397207783119702E-3</v>
      </c>
      <c r="I60" s="8">
        <f>QB!Q115</f>
        <v>3372.88</v>
      </c>
      <c r="J60" s="8">
        <f>QB!R115</f>
        <v>3634.97</v>
      </c>
      <c r="K60" s="8">
        <f>QB!S115</f>
        <v>1907.57</v>
      </c>
      <c r="L60" s="8">
        <f>QB!T115</f>
        <v>2104.5</v>
      </c>
      <c r="M60" s="8">
        <f t="shared" si="0"/>
        <v>11019.92</v>
      </c>
      <c r="N60" s="41">
        <f t="shared" si="48"/>
        <v>4.7377263364156803E-3</v>
      </c>
      <c r="O60" s="75">
        <v>3500</v>
      </c>
      <c r="P60" s="8">
        <f>M60/4</f>
        <v>2754.98</v>
      </c>
      <c r="Q60" s="8">
        <f>P60</f>
        <v>2754.98</v>
      </c>
      <c r="R60" s="8">
        <f t="shared" ref="R60:S60" si="99">Q60</f>
        <v>2754.98</v>
      </c>
      <c r="S60" s="8">
        <f t="shared" si="99"/>
        <v>2754.98</v>
      </c>
      <c r="T60" s="8">
        <f t="shared" si="62"/>
        <v>11019.92</v>
      </c>
      <c r="U60" s="41">
        <f t="shared" si="49"/>
        <v>3.5196375569232926E-3</v>
      </c>
      <c r="V60" t="s">
        <v>308</v>
      </c>
      <c r="W60" s="113"/>
      <c r="X60" s="8">
        <v>1010</v>
      </c>
      <c r="Y60" s="121">
        <v>2214</v>
      </c>
      <c r="Z60" s="121">
        <v>1118</v>
      </c>
      <c r="AA60" s="121">
        <v>534</v>
      </c>
      <c r="AB60" s="121"/>
      <c r="AC60" s="121">
        <v>204</v>
      </c>
      <c r="AD60" s="188"/>
      <c r="AE60" s="121">
        <v>0</v>
      </c>
      <c r="AF60" s="121">
        <v>0</v>
      </c>
      <c r="AG60" s="121">
        <v>300</v>
      </c>
      <c r="AH60" s="121">
        <v>300</v>
      </c>
      <c r="AI60" s="121">
        <v>300</v>
      </c>
      <c r="AJ60" s="121">
        <v>300</v>
      </c>
      <c r="AK60" s="121">
        <v>300</v>
      </c>
      <c r="AL60" s="121">
        <v>300</v>
      </c>
      <c r="AM60" s="121">
        <v>300</v>
      </c>
      <c r="AN60" s="121">
        <v>300</v>
      </c>
      <c r="AO60" s="121">
        <v>300</v>
      </c>
      <c r="AP60" s="121">
        <v>300</v>
      </c>
      <c r="AQ60" s="121">
        <f t="shared" si="74"/>
        <v>3000</v>
      </c>
      <c r="AR60" s="143">
        <f t="shared" si="37"/>
        <v>1.3204010322015003E-3</v>
      </c>
      <c r="AS60" s="143" t="s">
        <v>542</v>
      </c>
      <c r="AT60" t="s">
        <v>308</v>
      </c>
      <c r="AV60" s="113"/>
    </row>
    <row r="61" spans="1:48" x14ac:dyDescent="0.25">
      <c r="B61" t="s">
        <v>173</v>
      </c>
      <c r="C61" s="8">
        <f>QB!F107</f>
        <v>2966.05</v>
      </c>
      <c r="D61" s="41">
        <f t="shared" ref="D61" si="100">C61/C$14</f>
        <v>2.3156546852450242E-3</v>
      </c>
      <c r="E61" s="8">
        <f>QB!K107</f>
        <v>3042.38</v>
      </c>
      <c r="F61" s="41">
        <f t="shared" si="3"/>
        <v>1.4024998460992466E-3</v>
      </c>
      <c r="G61" s="8">
        <f>QB!P107</f>
        <v>22007.56</v>
      </c>
      <c r="H61" s="41">
        <f t="shared" si="33"/>
        <v>9.9948180591788918E-3</v>
      </c>
      <c r="I61" s="8">
        <f>QB!Q107</f>
        <v>2319.65</v>
      </c>
      <c r="J61" s="8">
        <f>QB!R107</f>
        <v>540.23</v>
      </c>
      <c r="K61" s="8">
        <f>QB!S107</f>
        <v>6401.74</v>
      </c>
      <c r="L61" s="8">
        <f>QB!T107</f>
        <v>0</v>
      </c>
      <c r="M61" s="8">
        <f t="shared" si="0"/>
        <v>9261.619999999999</v>
      </c>
      <c r="N61" s="41">
        <f t="shared" si="48"/>
        <v>3.9817912463860159E-3</v>
      </c>
      <c r="O61" s="75">
        <f>(SUM(I61:K61))/3</f>
        <v>3087.2066666666665</v>
      </c>
      <c r="P61" s="8">
        <f>I61</f>
        <v>2319.65</v>
      </c>
      <c r="Q61" s="8">
        <f t="shared" ref="Q61:S61" si="101">J61</f>
        <v>540.23</v>
      </c>
      <c r="R61" s="8">
        <f>K61*1.1</f>
        <v>7041.9140000000007</v>
      </c>
      <c r="S61" s="8">
        <f t="shared" si="101"/>
        <v>0</v>
      </c>
      <c r="T61" s="8">
        <f t="shared" si="62"/>
        <v>9901.7940000000017</v>
      </c>
      <c r="U61" s="41">
        <f t="shared" si="49"/>
        <v>3.1625207844809874E-3</v>
      </c>
      <c r="V61" t="s">
        <v>310</v>
      </c>
      <c r="W61" s="113"/>
      <c r="X61" s="8">
        <v>849</v>
      </c>
      <c r="Y61" s="121">
        <v>7574</v>
      </c>
      <c r="Z61" s="121">
        <v>150</v>
      </c>
      <c r="AA61" s="121"/>
      <c r="AB61" s="121">
        <v>0</v>
      </c>
      <c r="AC61" s="121">
        <v>0</v>
      </c>
      <c r="AD61" s="188"/>
      <c r="AE61" s="121">
        <v>0</v>
      </c>
      <c r="AF61" s="121">
        <v>0</v>
      </c>
      <c r="AG61" s="121">
        <v>0</v>
      </c>
      <c r="AH61" s="121">
        <v>4000</v>
      </c>
      <c r="AI61" s="121">
        <v>0</v>
      </c>
      <c r="AJ61" s="121">
        <v>0</v>
      </c>
      <c r="AK61" s="121">
        <v>0</v>
      </c>
      <c r="AL61" s="121">
        <v>0</v>
      </c>
      <c r="AM61" s="121">
        <v>0</v>
      </c>
      <c r="AN61" s="121">
        <v>0</v>
      </c>
      <c r="AO61" s="121">
        <v>0</v>
      </c>
      <c r="AP61" s="121">
        <v>0</v>
      </c>
      <c r="AQ61" s="121">
        <f t="shared" si="74"/>
        <v>4000</v>
      </c>
      <c r="AR61" s="143">
        <f t="shared" si="37"/>
        <v>1.7605347096020002E-3</v>
      </c>
      <c r="AS61" s="143" t="s">
        <v>543</v>
      </c>
      <c r="AV61" s="113"/>
    </row>
    <row r="62" spans="1:48" x14ac:dyDescent="0.25">
      <c r="B62" t="s">
        <v>174</v>
      </c>
      <c r="C62" s="8">
        <f>QB!F114</f>
        <v>0</v>
      </c>
      <c r="D62" s="41">
        <f t="shared" ref="D62" si="102">C62/C$14</f>
        <v>0</v>
      </c>
      <c r="E62" s="8">
        <f>QB!K114</f>
        <v>0</v>
      </c>
      <c r="F62" s="41">
        <f t="shared" si="3"/>
        <v>0</v>
      </c>
      <c r="G62" s="8">
        <f>QB!P114</f>
        <v>32.44</v>
      </c>
      <c r="H62" s="41">
        <f t="shared" si="33"/>
        <v>1.473275082924973E-5</v>
      </c>
      <c r="I62" s="8">
        <f>QB!Q114</f>
        <v>916.78</v>
      </c>
      <c r="J62" s="8">
        <f>QB!R114</f>
        <v>1260.6400000000001</v>
      </c>
      <c r="K62" s="8">
        <f>QB!S114</f>
        <v>907.58</v>
      </c>
      <c r="L62" s="8">
        <f>QB!T114</f>
        <v>568.13</v>
      </c>
      <c r="M62" s="8">
        <f t="shared" si="0"/>
        <v>3653.13</v>
      </c>
      <c r="N62" s="41">
        <f t="shared" si="48"/>
        <v>1.5705676821020675E-3</v>
      </c>
      <c r="O62" s="75">
        <v>1000</v>
      </c>
      <c r="P62" s="8">
        <f>M62/4</f>
        <v>913.28250000000003</v>
      </c>
      <c r="Q62" s="8">
        <f>P62</f>
        <v>913.28250000000003</v>
      </c>
      <c r="R62" s="8">
        <f t="shared" ref="R62:S62" si="103">Q62</f>
        <v>913.28250000000003</v>
      </c>
      <c r="S62" s="8">
        <f t="shared" si="103"/>
        <v>913.28250000000003</v>
      </c>
      <c r="T62" s="8">
        <f t="shared" si="62"/>
        <v>3653.13</v>
      </c>
      <c r="U62" s="41">
        <f t="shared" si="49"/>
        <v>1.1667683203075148E-3</v>
      </c>
      <c r="V62" t="s">
        <v>308</v>
      </c>
      <c r="W62" s="113"/>
      <c r="X62" s="8">
        <v>1267</v>
      </c>
      <c r="Y62" s="121">
        <v>917</v>
      </c>
      <c r="Z62" s="121">
        <v>794</v>
      </c>
      <c r="AA62" s="121">
        <v>650</v>
      </c>
      <c r="AB62" s="121"/>
      <c r="AC62" s="121">
        <v>442</v>
      </c>
      <c r="AD62" s="188"/>
      <c r="AE62" s="121">
        <v>79</v>
      </c>
      <c r="AF62" s="121">
        <v>240</v>
      </c>
      <c r="AG62" s="121">
        <v>100</v>
      </c>
      <c r="AH62" s="121">
        <v>100</v>
      </c>
      <c r="AI62" s="121">
        <v>100</v>
      </c>
      <c r="AJ62" s="121">
        <v>100</v>
      </c>
      <c r="AK62" s="121">
        <v>100</v>
      </c>
      <c r="AL62" s="121">
        <v>100</v>
      </c>
      <c r="AM62" s="121">
        <v>100</v>
      </c>
      <c r="AN62" s="121">
        <v>100</v>
      </c>
      <c r="AO62" s="121">
        <v>100</v>
      </c>
      <c r="AP62" s="121">
        <v>100</v>
      </c>
      <c r="AQ62" s="121">
        <f t="shared" si="74"/>
        <v>1319</v>
      </c>
      <c r="AR62" s="143">
        <f t="shared" si="37"/>
        <v>5.805363204912596E-4</v>
      </c>
      <c r="AS62" s="143" t="s">
        <v>542</v>
      </c>
      <c r="AT62" t="s">
        <v>308</v>
      </c>
      <c r="AV62" s="113"/>
    </row>
    <row r="63" spans="1:48" x14ac:dyDescent="0.25">
      <c r="B63" t="s">
        <v>511</v>
      </c>
      <c r="C63" s="8"/>
      <c r="E63" s="8"/>
      <c r="G63" s="8"/>
      <c r="I63" s="8"/>
      <c r="J63" s="8"/>
      <c r="K63" s="8"/>
      <c r="L63" s="8"/>
      <c r="M63" s="8"/>
      <c r="O63" s="75"/>
      <c r="P63" s="8"/>
      <c r="Q63" s="8"/>
      <c r="R63" s="8"/>
      <c r="S63" s="8"/>
      <c r="T63" s="8"/>
      <c r="W63" s="113"/>
      <c r="X63" s="8"/>
      <c r="Y63" s="121"/>
      <c r="Z63" s="121"/>
      <c r="AA63" s="121"/>
      <c r="AB63" s="121"/>
      <c r="AC63" s="121"/>
      <c r="AD63" s="188"/>
      <c r="AE63" s="121"/>
      <c r="AF63" s="121"/>
      <c r="AG63" s="121"/>
      <c r="AH63" s="121"/>
      <c r="AI63" s="121"/>
      <c r="AJ63" s="121"/>
      <c r="AK63" s="121"/>
      <c r="AL63" s="121"/>
      <c r="AM63" s="121"/>
      <c r="AN63" s="121"/>
      <c r="AO63" s="121"/>
      <c r="AP63" s="121"/>
      <c r="AQ63" s="121">
        <f t="shared" si="74"/>
        <v>0</v>
      </c>
      <c r="AS63" s="175"/>
      <c r="AV63" s="113"/>
    </row>
    <row r="64" spans="1:48" x14ac:dyDescent="0.25">
      <c r="B64" t="s">
        <v>1793</v>
      </c>
      <c r="C64" s="8"/>
      <c r="E64" s="8"/>
      <c r="G64" s="8"/>
      <c r="I64" s="8"/>
      <c r="J64" s="8"/>
      <c r="K64" s="8"/>
      <c r="L64" s="8"/>
      <c r="M64" s="8"/>
      <c r="O64" s="75"/>
      <c r="P64" s="8"/>
      <c r="Q64" s="8"/>
      <c r="R64" s="8"/>
      <c r="S64" s="8"/>
      <c r="T64" s="8"/>
      <c r="W64" s="113"/>
      <c r="X64" s="8">
        <v>5811</v>
      </c>
      <c r="Y64" s="121">
        <v>6586</v>
      </c>
      <c r="Z64" s="121">
        <v>3831</v>
      </c>
      <c r="AA64" s="121">
        <v>252</v>
      </c>
      <c r="AB64" s="121">
        <v>533</v>
      </c>
      <c r="AC64" s="121">
        <v>813</v>
      </c>
      <c r="AD64" s="188"/>
      <c r="AE64" s="121">
        <v>1441</v>
      </c>
      <c r="AF64" s="121">
        <v>640</v>
      </c>
      <c r="AG64" s="121">
        <v>100</v>
      </c>
      <c r="AH64" s="121">
        <v>100</v>
      </c>
      <c r="AI64" s="121">
        <v>100</v>
      </c>
      <c r="AJ64" s="121">
        <v>100</v>
      </c>
      <c r="AK64" s="121">
        <v>100</v>
      </c>
      <c r="AL64" s="121">
        <v>100</v>
      </c>
      <c r="AM64" s="121">
        <v>100</v>
      </c>
      <c r="AN64" s="121">
        <v>100</v>
      </c>
      <c r="AO64" s="121">
        <v>100</v>
      </c>
      <c r="AP64" s="121">
        <v>100</v>
      </c>
      <c r="AQ64" s="121">
        <f t="shared" si="74"/>
        <v>3081</v>
      </c>
      <c r="AS64" s="175"/>
      <c r="AV64" s="113"/>
    </row>
    <row r="65" spans="1:48" x14ac:dyDescent="0.25">
      <c r="B65" t="s">
        <v>1773</v>
      </c>
      <c r="C65" s="8"/>
      <c r="E65" s="8"/>
      <c r="G65" s="8"/>
      <c r="I65" s="8"/>
      <c r="J65" s="8"/>
      <c r="K65" s="8"/>
      <c r="L65" s="8"/>
      <c r="M65" s="8"/>
      <c r="O65" s="75"/>
      <c r="P65" s="8"/>
      <c r="Q65" s="8"/>
      <c r="R65" s="8"/>
      <c r="S65" s="8"/>
      <c r="T65" s="8"/>
      <c r="W65" s="113"/>
      <c r="X65" s="8"/>
      <c r="Y65" s="121"/>
      <c r="Z65" s="121"/>
      <c r="AA65" s="121"/>
      <c r="AB65" s="121"/>
      <c r="AC65" s="121"/>
      <c r="AD65" s="188"/>
      <c r="AE65" s="121">
        <v>366</v>
      </c>
      <c r="AF65" s="121">
        <v>102</v>
      </c>
      <c r="AG65" s="121">
        <v>250</v>
      </c>
      <c r="AH65" s="121">
        <v>250</v>
      </c>
      <c r="AI65" s="121">
        <v>250</v>
      </c>
      <c r="AJ65" s="121">
        <v>250</v>
      </c>
      <c r="AK65" s="121">
        <v>250</v>
      </c>
      <c r="AL65" s="121">
        <v>250</v>
      </c>
      <c r="AM65" s="121">
        <v>250</v>
      </c>
      <c r="AN65" s="121">
        <v>250</v>
      </c>
      <c r="AO65" s="121">
        <v>250</v>
      </c>
      <c r="AP65" s="121">
        <v>250</v>
      </c>
      <c r="AQ65" s="121">
        <f t="shared" si="74"/>
        <v>2968</v>
      </c>
      <c r="AS65" s="175"/>
      <c r="AV65" s="113"/>
    </row>
    <row r="66" spans="1:48" x14ac:dyDescent="0.25">
      <c r="B66" t="s">
        <v>1801</v>
      </c>
      <c r="C66" s="8"/>
      <c r="E66" s="8"/>
      <c r="G66" s="8"/>
      <c r="I66" s="8"/>
      <c r="J66" s="8"/>
      <c r="K66" s="8"/>
      <c r="L66" s="8"/>
      <c r="M66" s="8"/>
      <c r="O66" s="75"/>
      <c r="P66" s="8"/>
      <c r="Q66" s="8"/>
      <c r="R66" s="8"/>
      <c r="S66" s="8"/>
      <c r="T66" s="8"/>
      <c r="W66" s="113"/>
      <c r="X66" s="8"/>
      <c r="Y66" s="121"/>
      <c r="Z66" s="121"/>
      <c r="AA66" s="121">
        <v>5025</v>
      </c>
      <c r="AB66" s="121">
        <v>6435</v>
      </c>
      <c r="AC66" s="121">
        <v>-2378</v>
      </c>
      <c r="AD66" s="188"/>
      <c r="AE66" s="121">
        <v>4234</v>
      </c>
      <c r="AF66" s="121">
        <v>3609</v>
      </c>
      <c r="AG66" s="121">
        <v>50</v>
      </c>
      <c r="AH66" s="121">
        <v>50</v>
      </c>
      <c r="AI66" s="121">
        <v>50</v>
      </c>
      <c r="AJ66" s="121">
        <v>50</v>
      </c>
      <c r="AK66" s="121">
        <v>50</v>
      </c>
      <c r="AL66" s="121">
        <v>50</v>
      </c>
      <c r="AM66" s="121">
        <v>50</v>
      </c>
      <c r="AN66" s="121">
        <v>50</v>
      </c>
      <c r="AO66" s="121">
        <v>50</v>
      </c>
      <c r="AP66" s="121">
        <v>50</v>
      </c>
      <c r="AQ66" s="121">
        <f t="shared" si="74"/>
        <v>8343</v>
      </c>
      <c r="AS66" s="175"/>
      <c r="AV66" s="113"/>
    </row>
    <row r="67" spans="1:48" x14ac:dyDescent="0.25">
      <c r="B67" t="s">
        <v>175</v>
      </c>
      <c r="C67" s="8">
        <f>QB!F112</f>
        <v>652.41999999999996</v>
      </c>
      <c r="D67" s="41">
        <f t="shared" ref="D67" si="104">C67/C$14</f>
        <v>5.0935737082906851E-4</v>
      </c>
      <c r="E67" s="8">
        <f>QB!K112</f>
        <v>6737.83</v>
      </c>
      <c r="F67" s="41">
        <f t="shared" si="3"/>
        <v>3.1060569481928249E-3</v>
      </c>
      <c r="G67" s="8">
        <f>QB!P112</f>
        <v>0</v>
      </c>
      <c r="H67" s="41">
        <f t="shared" si="33"/>
        <v>0</v>
      </c>
      <c r="I67" s="8">
        <f>QB!Q112</f>
        <v>0</v>
      </c>
      <c r="J67" s="8">
        <f>QB!R112</f>
        <v>0</v>
      </c>
      <c r="K67" s="8">
        <f>QB!S112</f>
        <v>0</v>
      </c>
      <c r="L67" s="8">
        <f>QB!T112</f>
        <v>0</v>
      </c>
      <c r="M67" s="8">
        <f t="shared" si="0"/>
        <v>0</v>
      </c>
      <c r="N67" s="41">
        <f>M67/M$14</f>
        <v>0</v>
      </c>
      <c r="O67" s="75">
        <v>500</v>
      </c>
      <c r="P67" s="8">
        <v>500</v>
      </c>
      <c r="Q67" s="8">
        <v>500</v>
      </c>
      <c r="R67" s="8">
        <v>500</v>
      </c>
      <c r="S67" s="8">
        <v>500</v>
      </c>
      <c r="T67" s="8">
        <f t="shared" si="62"/>
        <v>2000</v>
      </c>
      <c r="U67" s="41">
        <f>T67/T$14</f>
        <v>6.3877733357833681E-4</v>
      </c>
      <c r="V67" t="s">
        <v>311</v>
      </c>
      <c r="W67" s="113"/>
      <c r="X67" s="8">
        <v>-143</v>
      </c>
      <c r="Y67" s="121">
        <v>0</v>
      </c>
      <c r="Z67" s="121">
        <v>477</v>
      </c>
      <c r="AA67" s="121"/>
      <c r="AB67" s="121">
        <v>0</v>
      </c>
      <c r="AC67" s="121">
        <v>0</v>
      </c>
      <c r="AD67" s="188"/>
      <c r="AE67" s="121">
        <v>0</v>
      </c>
      <c r="AF67" s="121">
        <v>0</v>
      </c>
      <c r="AG67" s="121">
        <v>0</v>
      </c>
      <c r="AH67" s="121">
        <v>0</v>
      </c>
      <c r="AI67" s="121">
        <v>0</v>
      </c>
      <c r="AJ67" s="121">
        <v>0</v>
      </c>
      <c r="AK67" s="121">
        <v>0</v>
      </c>
      <c r="AL67" s="121">
        <v>0</v>
      </c>
      <c r="AM67" s="121">
        <v>0</v>
      </c>
      <c r="AN67" s="121">
        <v>0</v>
      </c>
      <c r="AO67" s="121">
        <v>0</v>
      </c>
      <c r="AP67" s="121">
        <v>0</v>
      </c>
      <c r="AQ67" s="121">
        <f t="shared" si="74"/>
        <v>0</v>
      </c>
      <c r="AR67" s="143">
        <f t="shared" si="37"/>
        <v>0</v>
      </c>
      <c r="AV67" s="113"/>
    </row>
    <row r="68" spans="1:48" x14ac:dyDescent="0.25">
      <c r="B68" t="s">
        <v>176</v>
      </c>
      <c r="C68" s="9">
        <f>QB!F132</f>
        <v>-8839</v>
      </c>
      <c r="D68" s="41">
        <f t="shared" ref="D68" si="105">C68/C$14</f>
        <v>-6.9007844651576234E-3</v>
      </c>
      <c r="E68" s="9">
        <f>QB!K132+QB!K116+QB!K117+QB!K118+QB!K119+QB!K120+QB!K121</f>
        <v>4773.8899999999994</v>
      </c>
      <c r="F68" s="41">
        <f t="shared" si="3"/>
        <v>2.2007047082529901E-3</v>
      </c>
      <c r="G68" s="9">
        <f>QB!P132+QB!P116+QB!P117+QB!P118+QB!P119+QB!P120+QB!P121</f>
        <v>1597.54</v>
      </c>
      <c r="H68" s="41">
        <f t="shared" si="33"/>
        <v>7.2552893834030869E-4</v>
      </c>
      <c r="I68" s="9">
        <f>QB!Q132+QB!Q116+QB!Q117+QB!Q118+QB!Q119+QB!Q120+QB!Q121</f>
        <v>181.43</v>
      </c>
      <c r="J68" s="9">
        <f>QB!R132+QB!R116+QB!R117+QB!R118+QB!R119+QB!R120+QB!R121</f>
        <v>577.3599999999999</v>
      </c>
      <c r="K68" s="9">
        <f>QB!S132+QB!S116+QB!S117+QB!S118+QB!S119+QB!S120+QB!S121</f>
        <v>61.87</v>
      </c>
      <c r="L68" s="9">
        <f>QB!T132+QB!T116+QB!T117+QB!T118+QB!T119+QB!T120+QB!T121</f>
        <v>264.60000000000002</v>
      </c>
      <c r="M68" s="9">
        <f t="shared" si="0"/>
        <v>1085.26</v>
      </c>
      <c r="N68" s="41">
        <f>M68/M$14</f>
        <v>4.6657914793015565E-4</v>
      </c>
      <c r="O68" s="78">
        <v>1000</v>
      </c>
      <c r="P68" s="9">
        <v>2500</v>
      </c>
      <c r="Q68" s="9">
        <v>2500</v>
      </c>
      <c r="R68" s="9">
        <v>2500</v>
      </c>
      <c r="S68" s="9">
        <v>2500</v>
      </c>
      <c r="T68" s="8">
        <f t="shared" si="62"/>
        <v>10000</v>
      </c>
      <c r="U68" s="41">
        <f>T68/T$14</f>
        <v>3.1938866678916837E-3</v>
      </c>
      <c r="V68" t="s">
        <v>312</v>
      </c>
      <c r="W68" s="113"/>
      <c r="X68" s="9">
        <v>87</v>
      </c>
      <c r="Y68" s="122">
        <v>-100</v>
      </c>
      <c r="Z68" s="122">
        <v>-16379</v>
      </c>
      <c r="AA68" s="122">
        <v>21</v>
      </c>
      <c r="AB68" s="122">
        <f>-319+83</f>
        <v>-236</v>
      </c>
      <c r="AC68" s="122">
        <v>31</v>
      </c>
      <c r="AD68" s="189"/>
      <c r="AE68" s="122">
        <v>5</v>
      </c>
      <c r="AF68" s="122">
        <v>500</v>
      </c>
      <c r="AG68" s="122">
        <v>250</v>
      </c>
      <c r="AH68" s="122">
        <v>250</v>
      </c>
      <c r="AI68" s="122">
        <v>250</v>
      </c>
      <c r="AJ68" s="122">
        <v>250</v>
      </c>
      <c r="AK68" s="122">
        <v>250</v>
      </c>
      <c r="AL68" s="122">
        <v>250</v>
      </c>
      <c r="AM68" s="122">
        <v>250</v>
      </c>
      <c r="AN68" s="122">
        <v>250</v>
      </c>
      <c r="AO68" s="122">
        <v>250</v>
      </c>
      <c r="AP68" s="122">
        <v>250</v>
      </c>
      <c r="AQ68" s="121">
        <f t="shared" si="74"/>
        <v>3005</v>
      </c>
      <c r="AR68" s="143">
        <f t="shared" si="37"/>
        <v>1.3226017005885026E-3</v>
      </c>
      <c r="AS68" s="143" t="s">
        <v>1744</v>
      </c>
      <c r="AV68" s="113"/>
    </row>
    <row r="69" spans="1:48" s="45" customFormat="1" x14ac:dyDescent="0.25">
      <c r="B69" s="45" t="s">
        <v>177</v>
      </c>
      <c r="C69" s="46">
        <f>SUM(C42:C68)</f>
        <v>368150.8</v>
      </c>
      <c r="D69" s="51">
        <f t="shared" ref="D69" si="106">C69/C$14</f>
        <v>0.28742270861809605</v>
      </c>
      <c r="E69" s="46">
        <f>SUM(E42:E68)</f>
        <v>553645.55999999994</v>
      </c>
      <c r="F69" s="51">
        <f t="shared" si="3"/>
        <v>0.25522380921960147</v>
      </c>
      <c r="G69" s="46">
        <f>SUM(G42:G68)</f>
        <v>857552.40000000014</v>
      </c>
      <c r="H69" s="51">
        <f t="shared" si="33"/>
        <v>0.38946072232506473</v>
      </c>
      <c r="I69" s="46">
        <f>SUM(I42:I68)</f>
        <v>213065.99</v>
      </c>
      <c r="J69" s="46">
        <f>SUM(J42:J68)</f>
        <v>243994.02000000002</v>
      </c>
      <c r="K69" s="46">
        <f>SUM(K42:K68)</f>
        <v>259414.98999999996</v>
      </c>
      <c r="L69" s="46">
        <f>SUM(L42:L68)</f>
        <v>309888.19999999995</v>
      </c>
      <c r="M69" s="46">
        <f>SUM(M42:M68)</f>
        <v>1026363.1999999998</v>
      </c>
      <c r="N69" s="51">
        <f>M69/M$14</f>
        <v>0.44125800943816956</v>
      </c>
      <c r="O69" s="77">
        <f t="shared" ref="O69:T69" si="107">SUM(O42:O68)</f>
        <v>287137.81166666665</v>
      </c>
      <c r="P69" s="46">
        <f t="shared" si="107"/>
        <v>310061.35149999993</v>
      </c>
      <c r="Q69" s="46">
        <f t="shared" si="107"/>
        <v>299756.93149999989</v>
      </c>
      <c r="R69" s="46">
        <f t="shared" si="107"/>
        <v>303380.6154999999</v>
      </c>
      <c r="S69" s="46">
        <f t="shared" si="107"/>
        <v>283380.68149999989</v>
      </c>
      <c r="T69" s="46">
        <f t="shared" si="107"/>
        <v>1196579.5799999996</v>
      </c>
      <c r="U69" s="51">
        <f>T69/T$14</f>
        <v>0.38217395676334293</v>
      </c>
      <c r="W69" s="115"/>
      <c r="X69" s="46">
        <f>SUM(X42:X68)</f>
        <v>310069</v>
      </c>
      <c r="Y69" s="127">
        <f>SUM(Y42:Y68)</f>
        <v>276348</v>
      </c>
      <c r="Z69" s="127">
        <f>SUM(Z42:Z68)</f>
        <v>208105</v>
      </c>
      <c r="AA69" s="127">
        <f>SUM(AA42:AA68)</f>
        <v>68473</v>
      </c>
      <c r="AB69" s="127">
        <f>SUM(AB42:AB68)-AB44-AB46-AB47-AB48-AB49-AB50</f>
        <v>94830</v>
      </c>
      <c r="AC69" s="127">
        <f>SUM(AC42:AC68)-AC44-AC46-AC47-AC48-AC49-AC50</f>
        <v>68591</v>
      </c>
      <c r="AD69" s="191"/>
      <c r="AE69" s="127">
        <f>SUM(AE42:AE68)-AE44-AE45-AE46-AE47-AE48-AE49-AE50</f>
        <v>65267</v>
      </c>
      <c r="AF69" s="127">
        <f t="shared" ref="AF69:AQ69" si="108">SUM(AF51:AF68)+AF43+AF42</f>
        <v>51170</v>
      </c>
      <c r="AG69" s="127">
        <f t="shared" si="108"/>
        <v>49583.92</v>
      </c>
      <c r="AH69" s="127">
        <f t="shared" si="108"/>
        <v>50763.92</v>
      </c>
      <c r="AI69" s="127">
        <f t="shared" si="108"/>
        <v>46763.92</v>
      </c>
      <c r="AJ69" s="127">
        <f t="shared" si="108"/>
        <v>46763.92</v>
      </c>
      <c r="AK69" s="127">
        <f t="shared" si="108"/>
        <v>49763.92</v>
      </c>
      <c r="AL69" s="127">
        <f t="shared" si="108"/>
        <v>48781.919999999998</v>
      </c>
      <c r="AM69" s="127">
        <f t="shared" si="108"/>
        <v>48781.919999999998</v>
      </c>
      <c r="AN69" s="127">
        <f t="shared" si="108"/>
        <v>45781.919999999998</v>
      </c>
      <c r="AO69" s="127">
        <f t="shared" si="108"/>
        <v>45781.919999999998</v>
      </c>
      <c r="AP69" s="127">
        <f t="shared" si="108"/>
        <v>45781.919999999998</v>
      </c>
      <c r="AQ69" s="127">
        <f t="shared" si="108"/>
        <v>594986.19999999995</v>
      </c>
      <c r="AR69" s="141">
        <f t="shared" si="37"/>
        <v>0.2618734642085494</v>
      </c>
      <c r="AS69" s="141"/>
      <c r="AV69" s="117"/>
    </row>
    <row r="70" spans="1:48" s="45" customFormat="1" x14ac:dyDescent="0.25">
      <c r="A70" s="45" t="s">
        <v>517</v>
      </c>
      <c r="C70" s="49">
        <f>C24-C69</f>
        <v>145793.95000000001</v>
      </c>
      <c r="D70" s="51">
        <f t="shared" ref="D70" si="109">C70/C$14</f>
        <v>0.11382425899694167</v>
      </c>
      <c r="E70" s="49">
        <f>E24-E69</f>
        <v>400846.99000000011</v>
      </c>
      <c r="F70" s="51">
        <f t="shared" si="3"/>
        <v>0.18478554348383386</v>
      </c>
      <c r="G70" s="49">
        <f>G24-G69</f>
        <v>-123708.10000000056</v>
      </c>
      <c r="H70" s="51">
        <f t="shared" si="33"/>
        <v>-5.6182509644263773E-2</v>
      </c>
      <c r="I70" s="49">
        <f>I24-I69</f>
        <v>23741.740000000049</v>
      </c>
      <c r="J70" s="49">
        <f>J24-J69</f>
        <v>-63602.580000000016</v>
      </c>
      <c r="K70" s="49">
        <f>K24-K69</f>
        <v>22614.549999999959</v>
      </c>
      <c r="L70" s="49">
        <f>L24-L69</f>
        <v>5112.0600000000559</v>
      </c>
      <c r="M70" s="49">
        <f>M24-M69</f>
        <v>-12134.229999999399</v>
      </c>
      <c r="N70" s="51">
        <f>M70/M$14</f>
        <v>-5.216794771933226E-3</v>
      </c>
      <c r="O70" s="76">
        <f t="shared" ref="O70:T70" si="110">O24-O69</f>
        <v>-66791.511666666658</v>
      </c>
      <c r="P70" s="49">
        <f t="shared" si="110"/>
        <v>-34730.645499999926</v>
      </c>
      <c r="Q70" s="49">
        <f t="shared" si="110"/>
        <v>-19868.15489999979</v>
      </c>
      <c r="R70" s="49">
        <f t="shared" si="110"/>
        <v>47312.19640000019</v>
      </c>
      <c r="S70" s="49">
        <f t="shared" si="110"/>
        <v>225285.55399999995</v>
      </c>
      <c r="T70" s="49">
        <f t="shared" si="110"/>
        <v>201998.95000000042</v>
      </c>
      <c r="U70" s="51">
        <f>T70/T$14</f>
        <v>6.4516175333312026E-2</v>
      </c>
      <c r="W70" s="117"/>
      <c r="X70" s="46">
        <f t="shared" ref="X70:AC70" si="111">X24-X69</f>
        <v>-155633</v>
      </c>
      <c r="Y70" s="127">
        <f t="shared" si="111"/>
        <v>-134812</v>
      </c>
      <c r="Z70" s="127">
        <f t="shared" si="111"/>
        <v>-170207</v>
      </c>
      <c r="AA70" s="127">
        <f t="shared" si="111"/>
        <v>-3109</v>
      </c>
      <c r="AB70" s="127">
        <f t="shared" si="111"/>
        <v>-34009</v>
      </c>
      <c r="AC70" s="127">
        <f t="shared" si="111"/>
        <v>-13348</v>
      </c>
      <c r="AD70" s="191"/>
      <c r="AE70" s="127">
        <f>AE24-AE69</f>
        <v>-30383</v>
      </c>
      <c r="AF70" s="127">
        <f t="shared" ref="AF70:AQ70" si="112">AF24-AF69</f>
        <v>-15810</v>
      </c>
      <c r="AG70" s="127">
        <f t="shared" si="112"/>
        <v>-6583.9199999999983</v>
      </c>
      <c r="AH70" s="127">
        <f t="shared" si="112"/>
        <v>35236.080000000002</v>
      </c>
      <c r="AI70" s="127">
        <f t="shared" si="112"/>
        <v>39236.080000000002</v>
      </c>
      <c r="AJ70" s="127">
        <f t="shared" si="112"/>
        <v>39236.080000000002</v>
      </c>
      <c r="AK70" s="127">
        <f t="shared" si="112"/>
        <v>49136.08</v>
      </c>
      <c r="AL70" s="127">
        <f t="shared" si="112"/>
        <v>50118.080000000002</v>
      </c>
      <c r="AM70" s="127">
        <f t="shared" si="112"/>
        <v>54418.080000000002</v>
      </c>
      <c r="AN70" s="127">
        <f t="shared" si="112"/>
        <v>50968.08</v>
      </c>
      <c r="AO70" s="127">
        <f t="shared" si="112"/>
        <v>53118.080000000002</v>
      </c>
      <c r="AP70" s="127">
        <f t="shared" si="112"/>
        <v>53118.080000000002</v>
      </c>
      <c r="AQ70" s="127">
        <f t="shared" si="112"/>
        <v>371807.80000000005</v>
      </c>
      <c r="AR70" s="141">
        <f t="shared" si="37"/>
        <v>0.16364513430018968</v>
      </c>
      <c r="AS70" s="141"/>
      <c r="AV70" s="117"/>
    </row>
    <row r="71" spans="1:48" x14ac:dyDescent="0.25">
      <c r="A71" s="45" t="s">
        <v>512</v>
      </c>
      <c r="C71" s="8"/>
      <c r="D71" s="41">
        <f t="shared" ref="D71" si="113">C71/C$14</f>
        <v>0</v>
      </c>
      <c r="E71" s="8"/>
      <c r="F71" s="41">
        <f t="shared" si="3"/>
        <v>0</v>
      </c>
      <c r="G71" s="8"/>
      <c r="H71" s="41">
        <f t="shared" si="33"/>
        <v>0</v>
      </c>
      <c r="I71" s="8"/>
      <c r="J71" s="8"/>
      <c r="K71" s="8"/>
      <c r="L71" s="8"/>
      <c r="M71" s="8"/>
      <c r="O71" s="75"/>
      <c r="P71" s="8"/>
      <c r="W71" s="113"/>
      <c r="X71" s="8"/>
      <c r="Y71" s="108"/>
      <c r="AD71" s="187"/>
      <c r="AV71" s="113"/>
    </row>
    <row r="72" spans="1:48" x14ac:dyDescent="0.25">
      <c r="A72" s="45"/>
      <c r="B72" t="s">
        <v>1881</v>
      </c>
      <c r="C72" s="8"/>
      <c r="E72" s="8"/>
      <c r="G72" s="8"/>
      <c r="I72" s="8"/>
      <c r="J72" s="8"/>
      <c r="K72" s="8"/>
      <c r="L72" s="8"/>
      <c r="M72" s="8"/>
      <c r="O72" s="75"/>
      <c r="P72" s="8"/>
      <c r="W72" s="113"/>
      <c r="X72" s="8"/>
      <c r="Y72" s="108"/>
      <c r="AA72" s="121">
        <f>Z124-AA124</f>
        <v>15451</v>
      </c>
      <c r="AB72" s="121">
        <f>AA124-AB124</f>
        <v>1827.2999999999884</v>
      </c>
      <c r="AC72" s="121">
        <f>AB124-AC124</f>
        <v>1468.7000000000116</v>
      </c>
      <c r="AD72" s="188"/>
      <c r="AE72" s="121">
        <f>AC124-AE124</f>
        <v>27408</v>
      </c>
      <c r="AF72" s="121">
        <v>-1446</v>
      </c>
      <c r="AG72" s="121">
        <f>5400+200+1732+50+1000</f>
        <v>8382</v>
      </c>
      <c r="AH72" s="121">
        <f t="shared" ref="AH72:AL72" si="114">5400+200+1732+50+1000</f>
        <v>8382</v>
      </c>
      <c r="AI72" s="121">
        <f t="shared" si="114"/>
        <v>8382</v>
      </c>
      <c r="AJ72" s="121">
        <f t="shared" si="114"/>
        <v>8382</v>
      </c>
      <c r="AK72" s="121">
        <f t="shared" si="114"/>
        <v>8382</v>
      </c>
      <c r="AL72" s="121">
        <f t="shared" si="114"/>
        <v>8382</v>
      </c>
      <c r="AM72" s="121">
        <f>200+1732+50+1000</f>
        <v>2982</v>
      </c>
      <c r="AN72" s="121">
        <f t="shared" ref="AN72:AP72" si="115">200+1732+50+1000</f>
        <v>2982</v>
      </c>
      <c r="AO72" s="121">
        <f t="shared" si="115"/>
        <v>2982</v>
      </c>
      <c r="AP72" s="121">
        <f t="shared" si="115"/>
        <v>2982</v>
      </c>
      <c r="AQ72" s="121">
        <f t="shared" ref="AQ72:AQ82" si="116">SUM(AE72:AP72)</f>
        <v>88182</v>
      </c>
      <c r="AS72" s="175"/>
      <c r="AV72" s="113"/>
    </row>
    <row r="73" spans="1:48" x14ac:dyDescent="0.25">
      <c r="A73" s="45"/>
      <c r="B73" t="s">
        <v>513</v>
      </c>
      <c r="C73" s="8"/>
      <c r="E73" s="8"/>
      <c r="G73" s="8"/>
      <c r="I73" s="8"/>
      <c r="J73" s="8"/>
      <c r="K73" s="8"/>
      <c r="L73" s="8"/>
      <c r="M73" s="8"/>
      <c r="O73" s="75"/>
      <c r="P73" s="8"/>
      <c r="W73" s="113"/>
      <c r="X73" s="8"/>
      <c r="Y73" s="108"/>
      <c r="AA73" s="121"/>
      <c r="AB73" s="121"/>
      <c r="AC73" s="121"/>
      <c r="AD73" s="188"/>
      <c r="AE73" s="121"/>
      <c r="AF73" s="121"/>
      <c r="AG73" s="121"/>
      <c r="AH73" s="121"/>
      <c r="AI73" s="121"/>
      <c r="AJ73" s="121"/>
      <c r="AK73" s="121"/>
      <c r="AL73" s="121"/>
      <c r="AM73" s="121"/>
      <c r="AN73" s="121"/>
      <c r="AO73" s="121"/>
      <c r="AP73" s="121"/>
      <c r="AQ73" s="121">
        <f t="shared" si="116"/>
        <v>0</v>
      </c>
      <c r="AS73" s="175"/>
      <c r="AV73" s="113"/>
    </row>
    <row r="74" spans="1:48" x14ac:dyDescent="0.25">
      <c r="A74" s="45"/>
      <c r="B74" t="s">
        <v>483</v>
      </c>
      <c r="C74" s="8"/>
      <c r="E74" s="8"/>
      <c r="G74" s="8"/>
      <c r="I74" s="8"/>
      <c r="J74" s="8"/>
      <c r="K74" s="8"/>
      <c r="L74" s="8"/>
      <c r="M74" s="8"/>
      <c r="O74" s="75"/>
      <c r="P74" s="8"/>
      <c r="W74" s="113"/>
      <c r="X74" s="8"/>
      <c r="Y74" s="108"/>
      <c r="AA74" s="121">
        <v>28007</v>
      </c>
      <c r="AB74" s="121">
        <v>23286</v>
      </c>
      <c r="AC74" s="121">
        <v>18248</v>
      </c>
      <c r="AD74" s="188"/>
      <c r="AE74" s="121">
        <v>15342</v>
      </c>
      <c r="AF74" s="121">
        <v>10668</v>
      </c>
      <c r="AG74" s="121">
        <f t="shared" ref="AG74:AJ74" si="117">1181*4</f>
        <v>4724</v>
      </c>
      <c r="AH74" s="121">
        <f t="shared" si="117"/>
        <v>4724</v>
      </c>
      <c r="AI74" s="121">
        <f t="shared" si="117"/>
        <v>4724</v>
      </c>
      <c r="AJ74" s="121">
        <f t="shared" si="117"/>
        <v>4724</v>
      </c>
      <c r="AK74" s="121"/>
      <c r="AL74" s="121"/>
      <c r="AM74" s="121"/>
      <c r="AN74" s="121"/>
      <c r="AO74" s="121"/>
      <c r="AP74" s="121"/>
      <c r="AQ74" s="121">
        <f t="shared" si="116"/>
        <v>44906</v>
      </c>
      <c r="AS74" s="175"/>
      <c r="AV74" s="113"/>
    </row>
    <row r="75" spans="1:48" x14ac:dyDescent="0.25">
      <c r="A75" s="45"/>
      <c r="B75" t="s">
        <v>1802</v>
      </c>
      <c r="C75" s="8"/>
      <c r="E75" s="8"/>
      <c r="G75" s="8"/>
      <c r="I75" s="8"/>
      <c r="J75" s="8"/>
      <c r="K75" s="8"/>
      <c r="L75" s="8"/>
      <c r="M75" s="8"/>
      <c r="O75" s="75"/>
      <c r="P75" s="8"/>
      <c r="W75" s="113"/>
      <c r="X75" s="8"/>
      <c r="Y75" s="108"/>
      <c r="AA75" s="121">
        <v>2834</v>
      </c>
      <c r="AB75" s="121"/>
      <c r="AC75" s="121">
        <v>22418</v>
      </c>
      <c r="AD75" s="188"/>
      <c r="AE75" s="121">
        <v>14150</v>
      </c>
      <c r="AF75" s="121">
        <v>-35</v>
      </c>
      <c r="AG75" s="121"/>
      <c r="AH75" s="121"/>
      <c r="AI75" s="121"/>
      <c r="AJ75" s="121"/>
      <c r="AK75" s="121"/>
      <c r="AL75" s="121"/>
      <c r="AM75" s="121"/>
      <c r="AN75" s="121"/>
      <c r="AO75" s="121"/>
      <c r="AP75" s="121"/>
      <c r="AQ75" s="121">
        <f t="shared" si="116"/>
        <v>14115</v>
      </c>
      <c r="AS75" s="175"/>
      <c r="AV75" s="113"/>
    </row>
    <row r="76" spans="1:48" x14ac:dyDescent="0.25">
      <c r="A76" s="45"/>
      <c r="B76" t="s">
        <v>1745</v>
      </c>
      <c r="C76" s="8"/>
      <c r="E76" s="8"/>
      <c r="G76" s="8"/>
      <c r="I76" s="8"/>
      <c r="J76" s="8"/>
      <c r="K76" s="8"/>
      <c r="L76" s="8"/>
      <c r="M76" s="8"/>
      <c r="O76" s="75"/>
      <c r="P76" s="8"/>
      <c r="W76" s="113"/>
      <c r="X76" s="8"/>
      <c r="Y76" s="108"/>
      <c r="AA76" s="121"/>
      <c r="AB76" s="121">
        <v>2273</v>
      </c>
      <c r="AC76" s="121">
        <v>4648</v>
      </c>
      <c r="AD76" s="188"/>
      <c r="AE76" s="121">
        <v>5155</v>
      </c>
      <c r="AF76" s="121">
        <v>5458</v>
      </c>
      <c r="AG76" s="121">
        <f t="shared" ref="AG76:AJ76" si="118">585*4</f>
        <v>2340</v>
      </c>
      <c r="AH76" s="121">
        <f t="shared" si="118"/>
        <v>2340</v>
      </c>
      <c r="AI76" s="121">
        <f t="shared" si="118"/>
        <v>2340</v>
      </c>
      <c r="AJ76" s="121">
        <f t="shared" si="118"/>
        <v>2340</v>
      </c>
      <c r="AK76" s="121"/>
      <c r="AL76" s="121"/>
      <c r="AM76" s="121"/>
      <c r="AN76" s="121"/>
      <c r="AO76" s="121"/>
      <c r="AP76" s="121"/>
      <c r="AQ76" s="121">
        <f t="shared" si="116"/>
        <v>19973</v>
      </c>
      <c r="AS76" s="175"/>
      <c r="AV76" s="113"/>
    </row>
    <row r="77" spans="1:48" x14ac:dyDescent="0.25">
      <c r="A77" s="45"/>
      <c r="B77" t="s">
        <v>514</v>
      </c>
      <c r="C77" s="8"/>
      <c r="E77" s="8"/>
      <c r="G77" s="8"/>
      <c r="I77" s="8"/>
      <c r="J77" s="8"/>
      <c r="K77" s="8"/>
      <c r="L77" s="8"/>
      <c r="M77" s="8"/>
      <c r="O77" s="75"/>
      <c r="P77" s="8"/>
      <c r="W77" s="113"/>
      <c r="X77" s="8"/>
      <c r="Y77" s="108"/>
      <c r="AA77" s="121">
        <v>2938</v>
      </c>
      <c r="AB77" s="121">
        <v>2974</v>
      </c>
      <c r="AC77" s="121">
        <v>3012</v>
      </c>
      <c r="AD77" s="188"/>
      <c r="AE77" s="121">
        <v>3049</v>
      </c>
      <c r="AF77" s="121">
        <v>6213</v>
      </c>
      <c r="AG77" s="121">
        <v>3813</v>
      </c>
      <c r="AH77" s="121">
        <v>3813</v>
      </c>
      <c r="AI77" s="121">
        <v>3813</v>
      </c>
      <c r="AJ77" s="121">
        <v>3813</v>
      </c>
      <c r="AK77" s="121"/>
      <c r="AL77" s="121"/>
      <c r="AM77" s="121"/>
      <c r="AN77" s="121"/>
      <c r="AO77" s="121"/>
      <c r="AP77" s="121"/>
      <c r="AQ77" s="121">
        <f t="shared" si="116"/>
        <v>24514</v>
      </c>
      <c r="AS77" s="175"/>
      <c r="AV77" s="113"/>
    </row>
    <row r="78" spans="1:48" x14ac:dyDescent="0.25">
      <c r="A78" s="45"/>
      <c r="B78" t="s">
        <v>515</v>
      </c>
      <c r="C78" s="8"/>
      <c r="E78" s="8"/>
      <c r="G78" s="8"/>
      <c r="I78" s="8"/>
      <c r="J78" s="8"/>
      <c r="K78" s="8"/>
      <c r="L78" s="8"/>
      <c r="M78" s="8"/>
      <c r="O78" s="75"/>
      <c r="P78" s="8"/>
      <c r="W78" s="113"/>
      <c r="X78" s="8"/>
      <c r="Y78" s="108"/>
      <c r="AA78" s="121">
        <v>5486</v>
      </c>
      <c r="AB78" s="121">
        <v>3617</v>
      </c>
      <c r="AC78" s="121">
        <v>2285</v>
      </c>
      <c r="AD78" s="188"/>
      <c r="AE78" s="121">
        <v>3580</v>
      </c>
      <c r="AF78" s="121">
        <v>1973</v>
      </c>
      <c r="AG78" s="121">
        <v>3000</v>
      </c>
      <c r="AH78" s="121">
        <v>3000</v>
      </c>
      <c r="AI78" s="121">
        <v>3000</v>
      </c>
      <c r="AJ78" s="121">
        <v>3000</v>
      </c>
      <c r="AK78" s="121"/>
      <c r="AL78" s="121"/>
      <c r="AM78" s="121"/>
      <c r="AN78" s="121"/>
      <c r="AO78" s="121"/>
      <c r="AP78" s="121"/>
      <c r="AQ78" s="121">
        <f t="shared" si="116"/>
        <v>17553</v>
      </c>
      <c r="AS78" s="175"/>
      <c r="AV78" s="113"/>
    </row>
    <row r="79" spans="1:48" x14ac:dyDescent="0.25">
      <c r="A79" s="45"/>
      <c r="B79" t="s">
        <v>484</v>
      </c>
      <c r="C79" s="8"/>
      <c r="E79" s="8"/>
      <c r="G79" s="8"/>
      <c r="I79" s="8"/>
      <c r="J79" s="8"/>
      <c r="K79" s="8"/>
      <c r="L79" s="8"/>
      <c r="M79" s="8"/>
      <c r="O79" s="75"/>
      <c r="P79" s="8"/>
      <c r="W79" s="113"/>
      <c r="X79" s="8"/>
      <c r="Y79" s="108"/>
      <c r="AA79" s="121">
        <v>3853</v>
      </c>
      <c r="AB79" s="121">
        <v>3888</v>
      </c>
      <c r="AC79" s="121">
        <v>3844</v>
      </c>
      <c r="AD79" s="188"/>
      <c r="AE79" s="121"/>
      <c r="AF79" s="121">
        <v>1680</v>
      </c>
      <c r="AG79" s="121">
        <v>1680</v>
      </c>
      <c r="AH79" s="121">
        <v>1680</v>
      </c>
      <c r="AI79" s="121">
        <v>1680</v>
      </c>
      <c r="AJ79" s="121">
        <v>1680</v>
      </c>
      <c r="AK79" s="121">
        <v>1680</v>
      </c>
      <c r="AL79" s="121">
        <v>1680</v>
      </c>
      <c r="AM79" s="121">
        <v>1680</v>
      </c>
      <c r="AN79" s="121">
        <v>1680</v>
      </c>
      <c r="AO79" s="121"/>
      <c r="AP79" s="121"/>
      <c r="AQ79" s="121">
        <f t="shared" si="116"/>
        <v>15120</v>
      </c>
      <c r="AS79" s="175"/>
      <c r="AV79" s="113"/>
    </row>
    <row r="80" spans="1:48" x14ac:dyDescent="0.25">
      <c r="A80" s="45"/>
      <c r="B80" t="s">
        <v>485</v>
      </c>
      <c r="C80" s="8"/>
      <c r="E80" s="8"/>
      <c r="G80" s="8"/>
      <c r="I80" s="8"/>
      <c r="J80" s="8"/>
      <c r="K80" s="8"/>
      <c r="L80" s="8"/>
      <c r="M80" s="8"/>
      <c r="O80" s="75"/>
      <c r="P80" s="8"/>
      <c r="W80" s="113"/>
      <c r="X80" s="8"/>
      <c r="Y80" s="108"/>
      <c r="AA80" s="121">
        <v>954</v>
      </c>
      <c r="AB80" s="121">
        <v>2558</v>
      </c>
      <c r="AC80" s="121">
        <v>2112</v>
      </c>
      <c r="AD80" s="188"/>
      <c r="AE80" s="121">
        <v>639</v>
      </c>
      <c r="AF80" s="121">
        <v>611</v>
      </c>
      <c r="AG80" s="121">
        <v>400</v>
      </c>
      <c r="AH80" s="121">
        <v>400</v>
      </c>
      <c r="AI80" s="121">
        <v>400</v>
      </c>
      <c r="AJ80" s="121">
        <v>400</v>
      </c>
      <c r="AK80" s="121"/>
      <c r="AL80" s="121"/>
      <c r="AM80" s="121"/>
      <c r="AN80" s="121"/>
      <c r="AO80" s="121"/>
      <c r="AP80" s="121"/>
      <c r="AQ80" s="121">
        <f t="shared" si="116"/>
        <v>2850</v>
      </c>
      <c r="AS80" s="175"/>
      <c r="AV80" s="113"/>
    </row>
    <row r="81" spans="1:48" x14ac:dyDescent="0.25">
      <c r="A81" s="45"/>
      <c r="B81" t="s">
        <v>250</v>
      </c>
      <c r="C81" s="8"/>
      <c r="E81" s="8"/>
      <c r="G81" s="8"/>
      <c r="I81" s="8"/>
      <c r="J81" s="8"/>
      <c r="K81" s="8"/>
      <c r="L81" s="8"/>
      <c r="M81" s="8"/>
      <c r="O81" s="75"/>
      <c r="P81" s="8"/>
      <c r="W81" s="113"/>
      <c r="X81" s="8"/>
      <c r="Y81" s="108"/>
      <c r="AA81" s="121">
        <v>5984</v>
      </c>
      <c r="AB81" s="121">
        <v>3433</v>
      </c>
      <c r="AC81" s="121">
        <v>8186</v>
      </c>
      <c r="AD81" s="188"/>
      <c r="AE81" s="121">
        <v>3164</v>
      </c>
      <c r="AF81" s="121">
        <v>6111</v>
      </c>
      <c r="AG81" s="121">
        <v>5635</v>
      </c>
      <c r="AH81" s="121">
        <v>5635</v>
      </c>
      <c r="AI81" s="121">
        <v>5635</v>
      </c>
      <c r="AJ81" s="121">
        <v>5635</v>
      </c>
      <c r="AK81" s="121"/>
      <c r="AL81" s="121"/>
      <c r="AM81" s="121"/>
      <c r="AN81" s="121"/>
      <c r="AO81" s="121"/>
      <c r="AP81" s="121"/>
      <c r="AQ81" s="121">
        <f t="shared" si="116"/>
        <v>31815</v>
      </c>
      <c r="AS81" s="175"/>
      <c r="AV81" s="113"/>
    </row>
    <row r="82" spans="1:48" x14ac:dyDescent="0.25">
      <c r="B82" t="s">
        <v>510</v>
      </c>
      <c r="C82" s="8">
        <f>QB!F99</f>
        <v>10146.969999999999</v>
      </c>
      <c r="D82" s="41">
        <f t="shared" ref="D82" si="119">C82/C$14</f>
        <v>7.9219428605521482E-3</v>
      </c>
      <c r="E82" s="8">
        <f>QB!K99</f>
        <v>2481.65</v>
      </c>
      <c r="F82" s="41">
        <f t="shared" si="3"/>
        <v>1.1440101969748013E-3</v>
      </c>
      <c r="G82" s="8">
        <f>QB!P99</f>
        <v>8155.74</v>
      </c>
      <c r="H82" s="41">
        <f t="shared" si="33"/>
        <v>3.7039607043201357E-3</v>
      </c>
      <c r="I82" s="8">
        <f>QB!Q99</f>
        <v>4509.9399999999996</v>
      </c>
      <c r="J82" s="8">
        <f>QB!R99</f>
        <v>8061.97</v>
      </c>
      <c r="K82" s="8">
        <f>QB!S99</f>
        <v>7285.0599999999995</v>
      </c>
      <c r="L82" s="8">
        <f>QB!T99</f>
        <v>13926.07</v>
      </c>
      <c r="M82" s="8">
        <f t="shared" si="0"/>
        <v>33783.040000000001</v>
      </c>
      <c r="N82" s="41">
        <f>M82/M$14</f>
        <v>1.4524134325129801E-2</v>
      </c>
      <c r="O82" s="75"/>
      <c r="P82" s="8">
        <f>M82*0.9/4</f>
        <v>7601.1840000000002</v>
      </c>
      <c r="Q82" s="8">
        <f>P82</f>
        <v>7601.1840000000002</v>
      </c>
      <c r="R82" s="8">
        <f t="shared" ref="R82:S82" si="120">Q82</f>
        <v>7601.1840000000002</v>
      </c>
      <c r="S82" s="8">
        <f t="shared" si="120"/>
        <v>7601.1840000000002</v>
      </c>
      <c r="T82" s="8">
        <f t="shared" ref="T82" si="121">SUM(P82:S82)</f>
        <v>30404.736000000001</v>
      </c>
      <c r="U82" s="41">
        <f>T82/T$14</f>
        <v>9.7109280951166322E-3</v>
      </c>
      <c r="V82" t="s">
        <v>313</v>
      </c>
      <c r="W82" s="113"/>
      <c r="X82" s="9">
        <v>16981</v>
      </c>
      <c r="Y82" s="122">
        <v>23222</v>
      </c>
      <c r="Z82" s="122">
        <v>15052</v>
      </c>
      <c r="AA82" s="122"/>
      <c r="AB82" s="122"/>
      <c r="AC82" s="122"/>
      <c r="AD82" s="189"/>
      <c r="AE82" s="122"/>
      <c r="AF82" s="122"/>
      <c r="AG82" s="122"/>
      <c r="AH82" s="122"/>
      <c r="AI82" s="122"/>
      <c r="AJ82" s="122"/>
      <c r="AK82" s="122"/>
      <c r="AL82" s="122"/>
      <c r="AM82" s="122"/>
      <c r="AN82" s="122"/>
      <c r="AO82" s="122"/>
      <c r="AP82" s="122"/>
      <c r="AQ82" s="121">
        <f t="shared" si="116"/>
        <v>0</v>
      </c>
      <c r="AR82" s="143">
        <f t="shared" ref="AR82:AR87" si="122">AQ82/AQ$14</f>
        <v>0</v>
      </c>
      <c r="AS82" s="175"/>
      <c r="AT82" t="s">
        <v>313</v>
      </c>
      <c r="AV82" s="113"/>
    </row>
    <row r="83" spans="1:48" x14ac:dyDescent="0.25">
      <c r="B83" t="s">
        <v>1799</v>
      </c>
      <c r="C83" s="8"/>
      <c r="E83" s="8"/>
      <c r="G83" s="8"/>
      <c r="I83" s="8"/>
      <c r="J83" s="8"/>
      <c r="K83" s="8"/>
      <c r="L83" s="8"/>
      <c r="M83" s="8"/>
      <c r="O83" s="75"/>
      <c r="P83" s="8"/>
      <c r="Q83" s="8"/>
      <c r="R83" s="8"/>
      <c r="S83" s="8"/>
      <c r="T83" s="8"/>
      <c r="W83" s="113"/>
      <c r="X83" s="121">
        <f t="shared" ref="X83:AC83" si="123">SUM(X72:X82)</f>
        <v>16981</v>
      </c>
      <c r="Y83" s="121">
        <f t="shared" si="123"/>
        <v>23222</v>
      </c>
      <c r="Z83" s="121">
        <f t="shared" si="123"/>
        <v>15052</v>
      </c>
      <c r="AA83" s="123">
        <f t="shared" si="123"/>
        <v>65507</v>
      </c>
      <c r="AB83" s="123">
        <f t="shared" si="123"/>
        <v>43856.299999999988</v>
      </c>
      <c r="AC83" s="123">
        <f t="shared" si="123"/>
        <v>66221.700000000012</v>
      </c>
      <c r="AD83" s="205"/>
      <c r="AE83" s="123">
        <f>SUM(AE72:AE82)</f>
        <v>72487</v>
      </c>
      <c r="AF83" s="123">
        <f t="shared" ref="AF83:AP83" si="124">SUM(AF72:AF82)</f>
        <v>31233</v>
      </c>
      <c r="AG83" s="123">
        <f t="shared" si="124"/>
        <v>29974</v>
      </c>
      <c r="AH83" s="123">
        <f t="shared" si="124"/>
        <v>29974</v>
      </c>
      <c r="AI83" s="123">
        <f t="shared" si="124"/>
        <v>29974</v>
      </c>
      <c r="AJ83" s="123">
        <f t="shared" si="124"/>
        <v>29974</v>
      </c>
      <c r="AK83" s="123">
        <f t="shared" si="124"/>
        <v>10062</v>
      </c>
      <c r="AL83" s="123">
        <f t="shared" si="124"/>
        <v>10062</v>
      </c>
      <c r="AM83" s="123">
        <f t="shared" si="124"/>
        <v>4662</v>
      </c>
      <c r="AN83" s="123">
        <f t="shared" si="124"/>
        <v>4662</v>
      </c>
      <c r="AO83" s="123">
        <f t="shared" si="124"/>
        <v>2982</v>
      </c>
      <c r="AP83" s="123">
        <f t="shared" si="124"/>
        <v>2982</v>
      </c>
      <c r="AQ83" s="121">
        <f>SUM(AQ72:AQ82)</f>
        <v>259028</v>
      </c>
      <c r="AV83" s="113"/>
    </row>
    <row r="84" spans="1:48" x14ac:dyDescent="0.25">
      <c r="A84" s="45" t="s">
        <v>1798</v>
      </c>
      <c r="C84" s="8"/>
      <c r="E84" s="8"/>
      <c r="G84" s="8"/>
      <c r="I84" s="8"/>
      <c r="J84" s="8"/>
      <c r="K84" s="8"/>
      <c r="L84" s="8"/>
      <c r="M84" s="8"/>
      <c r="O84" s="75"/>
      <c r="P84" s="8"/>
      <c r="Q84" s="8"/>
      <c r="R84" s="8"/>
      <c r="S84" s="8"/>
      <c r="T84" s="8"/>
      <c r="W84" s="113"/>
      <c r="X84" s="121"/>
      <c r="Y84" s="121"/>
      <c r="Z84" s="121"/>
      <c r="AA84" s="121">
        <f>AA70-AA83</f>
        <v>-68616</v>
      </c>
      <c r="AB84" s="121">
        <f>AB70-AB83</f>
        <v>-77865.299999999988</v>
      </c>
      <c r="AC84" s="121">
        <f>AC70-AC83</f>
        <v>-79569.700000000012</v>
      </c>
      <c r="AD84" s="188"/>
      <c r="AE84" s="121">
        <f>AE70-AE83</f>
        <v>-102870</v>
      </c>
      <c r="AF84" s="121">
        <f t="shared" ref="AF84:AP84" si="125">AF70-AF83</f>
        <v>-47043</v>
      </c>
      <c r="AG84" s="121">
        <f t="shared" si="125"/>
        <v>-36557.919999999998</v>
      </c>
      <c r="AH84" s="121">
        <f t="shared" si="125"/>
        <v>5262.0800000000017</v>
      </c>
      <c r="AI84" s="121">
        <f t="shared" si="125"/>
        <v>9262.0800000000017</v>
      </c>
      <c r="AJ84" s="121">
        <f t="shared" si="125"/>
        <v>9262.0800000000017</v>
      </c>
      <c r="AK84" s="121">
        <f t="shared" si="125"/>
        <v>39074.080000000002</v>
      </c>
      <c r="AL84" s="121">
        <f t="shared" si="125"/>
        <v>40056.080000000002</v>
      </c>
      <c r="AM84" s="121">
        <f t="shared" si="125"/>
        <v>49756.08</v>
      </c>
      <c r="AN84" s="121">
        <f t="shared" si="125"/>
        <v>46306.080000000002</v>
      </c>
      <c r="AO84" s="121">
        <f t="shared" si="125"/>
        <v>50136.08</v>
      </c>
      <c r="AP84" s="121">
        <f t="shared" si="125"/>
        <v>50136.08</v>
      </c>
      <c r="AQ84" s="121"/>
      <c r="AV84" s="113"/>
    </row>
    <row r="85" spans="1:48" x14ac:dyDescent="0.25">
      <c r="A85" s="45" t="s">
        <v>519</v>
      </c>
      <c r="C85" s="8"/>
      <c r="E85" s="8"/>
      <c r="G85" s="8"/>
      <c r="I85" s="8"/>
      <c r="J85" s="8"/>
      <c r="K85" s="8"/>
      <c r="L85" s="8"/>
      <c r="M85" s="8"/>
      <c r="O85" s="75"/>
      <c r="P85" s="8"/>
      <c r="Q85" s="8"/>
      <c r="R85" s="8"/>
      <c r="S85" s="8"/>
      <c r="T85" s="8"/>
      <c r="W85" s="113"/>
      <c r="X85" s="121"/>
      <c r="Y85" s="121"/>
      <c r="Z85" s="121"/>
      <c r="AA85" s="121">
        <v>12964</v>
      </c>
      <c r="AB85" s="121">
        <v>22340</v>
      </c>
      <c r="AC85" s="121">
        <v>48625</v>
      </c>
      <c r="AD85" s="188"/>
      <c r="AE85" s="121">
        <v>-67158</v>
      </c>
      <c r="AF85" s="121">
        <v>47727</v>
      </c>
      <c r="AG85" s="121"/>
      <c r="AH85" s="121"/>
      <c r="AI85" s="121"/>
      <c r="AJ85" s="121"/>
      <c r="AK85" s="121"/>
      <c r="AL85" s="121"/>
      <c r="AM85" s="121"/>
      <c r="AN85" s="121"/>
      <c r="AO85" s="121"/>
      <c r="AP85" s="121"/>
      <c r="AQ85" s="121"/>
      <c r="AV85" s="113"/>
    </row>
    <row r="86" spans="1:48" x14ac:dyDescent="0.25">
      <c r="A86" s="45" t="s">
        <v>516</v>
      </c>
      <c r="C86" s="9"/>
      <c r="E86" s="9"/>
      <c r="G86" s="9"/>
      <c r="I86" s="9"/>
      <c r="J86" s="9"/>
      <c r="K86" s="9"/>
      <c r="L86" s="9"/>
      <c r="M86" s="9"/>
      <c r="O86" s="75"/>
      <c r="P86" s="9"/>
      <c r="Q86" s="19"/>
      <c r="R86" s="19"/>
      <c r="S86" s="19"/>
      <c r="T86" s="9"/>
      <c r="W86" s="113"/>
      <c r="X86" s="9"/>
      <c r="Y86" s="129"/>
      <c r="Z86" s="129"/>
      <c r="AA86" s="122">
        <v>48000</v>
      </c>
      <c r="AB86" s="122">
        <f>14000+25000</f>
        <v>39000</v>
      </c>
      <c r="AC86" s="122">
        <v>209440</v>
      </c>
      <c r="AD86" s="188"/>
      <c r="AE86" s="122"/>
      <c r="AF86" s="122"/>
      <c r="AG86" s="122"/>
      <c r="AH86" s="122"/>
      <c r="AI86" s="122"/>
      <c r="AJ86" s="122"/>
      <c r="AK86" s="122"/>
      <c r="AL86" s="122"/>
      <c r="AM86" s="122"/>
      <c r="AN86" s="122"/>
      <c r="AO86" s="122"/>
      <c r="AP86" s="122"/>
      <c r="AQ86" s="121"/>
      <c r="AV86" s="113"/>
    </row>
    <row r="87" spans="1:48" s="45" customFormat="1" ht="15.75" thickBot="1" x14ac:dyDescent="0.3">
      <c r="A87" s="45" t="s">
        <v>518</v>
      </c>
      <c r="C87" s="52" t="e">
        <f>C70-#REF!-C82-C86</f>
        <v>#REF!</v>
      </c>
      <c r="D87" s="51" t="e">
        <f t="shared" ref="D87" si="126">C87/C$14</f>
        <v>#REF!</v>
      </c>
      <c r="E87" s="52" t="e">
        <f>E70-#REF!-E82-E86</f>
        <v>#REF!</v>
      </c>
      <c r="F87" s="51" t="e">
        <f t="shared" si="3"/>
        <v>#REF!</v>
      </c>
      <c r="G87" s="52" t="e">
        <f>G70-#REF!-G82-G86</f>
        <v>#REF!</v>
      </c>
      <c r="H87" s="51" t="e">
        <f t="shared" si="33"/>
        <v>#REF!</v>
      </c>
      <c r="I87" s="52" t="e">
        <f>I70-#REF!-I82-I86</f>
        <v>#REF!</v>
      </c>
      <c r="J87" s="52" t="e">
        <f>J70-#REF!-J82-J86</f>
        <v>#REF!</v>
      </c>
      <c r="K87" s="52" t="e">
        <f>K70-#REF!-K82-K86</f>
        <v>#REF!</v>
      </c>
      <c r="L87" s="52" t="e">
        <f>L70-#REF!-L82-L86</f>
        <v>#REF!</v>
      </c>
      <c r="M87" s="52" t="e">
        <f>M70-#REF!-M82-M86</f>
        <v>#REF!</v>
      </c>
      <c r="N87" s="51" t="e">
        <f>M87/M$14</f>
        <v>#REF!</v>
      </c>
      <c r="O87" s="76"/>
      <c r="P87" s="79" t="e">
        <f>P70-#REF!-P82-P86</f>
        <v>#REF!</v>
      </c>
      <c r="Q87" s="79" t="e">
        <f>Q70-#REF!-Q82-Q86</f>
        <v>#REF!</v>
      </c>
      <c r="R87" s="79" t="e">
        <f>R70-#REF!-R82-R86</f>
        <v>#REF!</v>
      </c>
      <c r="S87" s="79" t="e">
        <f>S70-#REF!-S82-S86</f>
        <v>#REF!</v>
      </c>
      <c r="T87" s="79" t="e">
        <f>T70-#REF!-T82-T86</f>
        <v>#REF!</v>
      </c>
      <c r="U87" s="51" t="e">
        <f>T87/T$14</f>
        <v>#REF!</v>
      </c>
      <c r="W87" s="118"/>
      <c r="X87" s="79">
        <f>X70-X83-X86</f>
        <v>-172614</v>
      </c>
      <c r="Y87" s="79">
        <f>Y70-Y83-Y86</f>
        <v>-158034</v>
      </c>
      <c r="Z87" s="79">
        <f>Z70-Z83-Z86</f>
        <v>-185259</v>
      </c>
      <c r="AA87" s="49">
        <f>SUM(AA84:AA86)</f>
        <v>-7652</v>
      </c>
      <c r="AB87" s="49">
        <f t="shared" ref="AB87:AC87" si="127">SUM(AB84:AB86)</f>
        <v>-16525.299999999988</v>
      </c>
      <c r="AC87" s="49">
        <f t="shared" si="127"/>
        <v>178495.3</v>
      </c>
      <c r="AD87" s="196"/>
      <c r="AE87" s="49">
        <f t="shared" ref="AE87:AP87" si="128">SUM(AE84:AE86)</f>
        <v>-170028</v>
      </c>
      <c r="AF87" s="49">
        <f t="shared" si="128"/>
        <v>684</v>
      </c>
      <c r="AG87" s="49">
        <f t="shared" si="128"/>
        <v>-36557.919999999998</v>
      </c>
      <c r="AH87" s="49">
        <f t="shared" si="128"/>
        <v>5262.0800000000017</v>
      </c>
      <c r="AI87" s="49">
        <f t="shared" si="128"/>
        <v>9262.0800000000017</v>
      </c>
      <c r="AJ87" s="49">
        <f t="shared" si="128"/>
        <v>9262.0800000000017</v>
      </c>
      <c r="AK87" s="49">
        <f t="shared" si="128"/>
        <v>39074.080000000002</v>
      </c>
      <c r="AL87" s="49">
        <f t="shared" si="128"/>
        <v>40056.080000000002</v>
      </c>
      <c r="AM87" s="49">
        <f t="shared" si="128"/>
        <v>49756.08</v>
      </c>
      <c r="AN87" s="49">
        <f t="shared" si="128"/>
        <v>46306.080000000002</v>
      </c>
      <c r="AO87" s="49">
        <f t="shared" si="128"/>
        <v>50136.08</v>
      </c>
      <c r="AP87" s="49">
        <f t="shared" si="128"/>
        <v>50136.08</v>
      </c>
      <c r="AQ87" s="124" t="e">
        <f>AQ70+#REF!-AQ83+AQ86</f>
        <v>#REF!</v>
      </c>
      <c r="AR87" s="141" t="e">
        <f t="shared" si="122"/>
        <v>#REF!</v>
      </c>
      <c r="AS87" s="141"/>
      <c r="AV87" s="117"/>
    </row>
    <row r="88" spans="1:48" ht="15.75" thickTop="1" x14ac:dyDescent="0.25">
      <c r="A88" s="45" t="s">
        <v>520</v>
      </c>
      <c r="C88" s="8"/>
      <c r="E88" s="8"/>
      <c r="G88" s="8"/>
      <c r="I88" s="8"/>
      <c r="J88" s="8"/>
      <c r="K88" s="8"/>
      <c r="L88" s="8"/>
      <c r="W88" s="113"/>
      <c r="Y88" s="108"/>
      <c r="AA88" s="126">
        <v>12057</v>
      </c>
      <c r="AB88" s="126">
        <v>4406</v>
      </c>
      <c r="AC88" s="126">
        <f>AB115</f>
        <v>-12119.299999999988</v>
      </c>
      <c r="AD88" s="197"/>
      <c r="AE88" s="126">
        <v>166376</v>
      </c>
      <c r="AF88" s="126">
        <f>AE115</f>
        <v>-3652</v>
      </c>
      <c r="AG88" s="126">
        <f t="shared" ref="AG88:AP88" si="129">AF115</f>
        <v>-2968</v>
      </c>
      <c r="AH88" s="126">
        <f t="shared" si="129"/>
        <v>-39525.919999999998</v>
      </c>
      <c r="AI88" s="126">
        <f t="shared" si="129"/>
        <v>-34263.839999999997</v>
      </c>
      <c r="AJ88" s="126">
        <f t="shared" si="129"/>
        <v>-25001.759999999995</v>
      </c>
      <c r="AK88" s="126">
        <f t="shared" si="129"/>
        <v>-15739.679999999993</v>
      </c>
      <c r="AL88" s="126">
        <f t="shared" si="129"/>
        <v>23334.400000000009</v>
      </c>
      <c r="AM88" s="126">
        <f t="shared" si="129"/>
        <v>63390.48000000001</v>
      </c>
      <c r="AN88" s="126">
        <f t="shared" si="129"/>
        <v>113146.56000000001</v>
      </c>
      <c r="AO88" s="126">
        <f t="shared" si="129"/>
        <v>159452.64000000001</v>
      </c>
      <c r="AP88" s="126">
        <f t="shared" si="129"/>
        <v>209588.72000000003</v>
      </c>
      <c r="AQ88" s="126"/>
      <c r="AV88" s="113"/>
    </row>
    <row r="89" spans="1:48" hidden="1" x14ac:dyDescent="0.25">
      <c r="A89" s="45" t="s">
        <v>200</v>
      </c>
      <c r="C89" s="8"/>
      <c r="E89" s="8"/>
      <c r="G89" s="8"/>
      <c r="I89" s="8"/>
      <c r="J89" s="8"/>
      <c r="K89" s="8"/>
      <c r="L89" s="8"/>
      <c r="AD89" s="187"/>
    </row>
    <row r="90" spans="1:48" hidden="1" x14ac:dyDescent="0.25">
      <c r="A90" s="45"/>
      <c r="B90" t="s">
        <v>201</v>
      </c>
      <c r="C90" s="8"/>
      <c r="E90" s="8"/>
      <c r="G90" s="8"/>
      <c r="I90" s="8"/>
      <c r="J90" s="8"/>
      <c r="K90" s="8"/>
      <c r="L90" s="8"/>
      <c r="AD90" s="187"/>
    </row>
    <row r="91" spans="1:48" hidden="1" x14ac:dyDescent="0.25">
      <c r="A91" s="45"/>
      <c r="B91" t="s">
        <v>153</v>
      </c>
      <c r="C91" s="8"/>
      <c r="E91" s="8"/>
      <c r="G91" s="8"/>
      <c r="I91" s="8"/>
      <c r="J91" s="8"/>
      <c r="K91" s="8"/>
      <c r="L91" s="8"/>
      <c r="P91" s="22"/>
      <c r="Q91" s="22"/>
      <c r="R91" s="22"/>
      <c r="S91" s="22"/>
      <c r="T91" s="22"/>
      <c r="V91" s="22"/>
      <c r="W91" s="119"/>
      <c r="X91" s="22"/>
      <c r="Y91" s="22"/>
      <c r="Z91" s="146"/>
      <c r="AA91" s="146"/>
      <c r="AB91" s="146"/>
      <c r="AC91" s="146"/>
      <c r="AD91" s="198"/>
      <c r="AE91" s="146"/>
      <c r="AF91" s="146"/>
      <c r="AG91" s="146"/>
      <c r="AH91" s="146"/>
      <c r="AI91" s="146"/>
      <c r="AJ91" s="146"/>
      <c r="AK91" s="146"/>
      <c r="AL91" s="146"/>
      <c r="AM91" s="146"/>
      <c r="AN91" s="146"/>
      <c r="AO91" s="146"/>
      <c r="AP91" s="146"/>
      <c r="AQ91" s="146"/>
      <c r="AT91" s="22"/>
      <c r="AV91" s="119"/>
    </row>
    <row r="92" spans="1:48" hidden="1" x14ac:dyDescent="0.25">
      <c r="A92" s="45"/>
      <c r="B92" t="s">
        <v>152</v>
      </c>
      <c r="C92" s="8"/>
      <c r="E92" s="8"/>
      <c r="G92" s="8"/>
      <c r="I92" s="8"/>
      <c r="J92" s="8"/>
      <c r="K92" s="8"/>
      <c r="L92" s="8"/>
      <c r="P92" s="22"/>
      <c r="Q92" s="22"/>
      <c r="R92" s="22"/>
      <c r="S92" s="22"/>
      <c r="T92" s="22"/>
      <c r="V92" s="22"/>
      <c r="W92" s="119"/>
      <c r="X92" s="22"/>
      <c r="Y92" s="22"/>
      <c r="Z92" s="146"/>
      <c r="AA92" s="146"/>
      <c r="AB92" s="146"/>
      <c r="AC92" s="146"/>
      <c r="AD92" s="198"/>
      <c r="AE92" s="146"/>
      <c r="AF92" s="146"/>
      <c r="AG92" s="146"/>
      <c r="AH92" s="146"/>
      <c r="AI92" s="146"/>
      <c r="AJ92" s="146"/>
      <c r="AK92" s="146"/>
      <c r="AL92" s="146"/>
      <c r="AM92" s="146"/>
      <c r="AN92" s="146"/>
      <c r="AO92" s="146"/>
      <c r="AP92" s="146"/>
      <c r="AQ92" s="146"/>
      <c r="AT92" s="22"/>
      <c r="AV92" s="119"/>
    </row>
    <row r="93" spans="1:48" hidden="1" x14ac:dyDescent="0.25">
      <c r="A93" s="45"/>
      <c r="B93" t="s">
        <v>150</v>
      </c>
      <c r="C93" s="8"/>
      <c r="E93" s="8"/>
      <c r="G93" s="8"/>
      <c r="I93" s="8"/>
      <c r="J93" s="8"/>
      <c r="K93" s="8"/>
      <c r="L93" s="8"/>
      <c r="P93" s="22"/>
      <c r="Q93" s="22"/>
      <c r="R93" s="22"/>
      <c r="S93" s="22"/>
      <c r="T93" s="22"/>
      <c r="V93" s="22"/>
      <c r="W93" s="119"/>
      <c r="X93" s="22"/>
      <c r="Y93" s="22"/>
      <c r="Z93" s="146"/>
      <c r="AA93" s="146"/>
      <c r="AB93" s="146"/>
      <c r="AC93" s="146"/>
      <c r="AD93" s="198"/>
      <c r="AE93" s="146"/>
      <c r="AF93" s="146"/>
      <c r="AG93" s="146"/>
      <c r="AH93" s="146"/>
      <c r="AI93" s="146"/>
      <c r="AJ93" s="146"/>
      <c r="AK93" s="146"/>
      <c r="AL93" s="146"/>
      <c r="AM93" s="146"/>
      <c r="AN93" s="146"/>
      <c r="AO93" s="146"/>
      <c r="AP93" s="146"/>
      <c r="AQ93" s="146"/>
      <c r="AT93" s="22"/>
      <c r="AV93" s="119"/>
    </row>
    <row r="94" spans="1:48" hidden="1" x14ac:dyDescent="0.25">
      <c r="A94" s="45"/>
      <c r="B94" t="s">
        <v>151</v>
      </c>
      <c r="C94" s="8"/>
      <c r="E94" s="8"/>
      <c r="G94" s="8"/>
      <c r="I94" s="8"/>
      <c r="J94" s="8"/>
      <c r="K94" s="8"/>
      <c r="L94" s="8"/>
      <c r="P94" s="22"/>
      <c r="Q94" s="22"/>
      <c r="R94" s="22"/>
      <c r="S94" s="22"/>
      <c r="T94" s="22"/>
      <c r="V94" s="22"/>
      <c r="W94" s="119"/>
      <c r="X94" s="22"/>
      <c r="Y94" s="22"/>
      <c r="Z94" s="146"/>
      <c r="AA94" s="146"/>
      <c r="AB94" s="146"/>
      <c r="AC94" s="146"/>
      <c r="AD94" s="198"/>
      <c r="AE94" s="146"/>
      <c r="AF94" s="146"/>
      <c r="AG94" s="146"/>
      <c r="AH94" s="146"/>
      <c r="AI94" s="146"/>
      <c r="AJ94" s="146"/>
      <c r="AK94" s="146"/>
      <c r="AL94" s="146"/>
      <c r="AM94" s="146"/>
      <c r="AN94" s="146"/>
      <c r="AO94" s="146"/>
      <c r="AP94" s="146"/>
      <c r="AQ94" s="146"/>
      <c r="AT94" s="22"/>
      <c r="AV94" s="119"/>
    </row>
    <row r="95" spans="1:48" hidden="1" x14ac:dyDescent="0.25">
      <c r="A95" s="45"/>
      <c r="B95" t="s">
        <v>203</v>
      </c>
      <c r="C95" s="8"/>
      <c r="E95" s="8"/>
      <c r="G95" s="8"/>
      <c r="I95" s="8"/>
      <c r="J95" s="8"/>
      <c r="K95" s="8"/>
      <c r="L95" s="8"/>
      <c r="P95" s="22"/>
      <c r="Q95" s="22"/>
      <c r="R95" s="22"/>
      <c r="S95" s="22"/>
      <c r="T95" s="22"/>
      <c r="V95" s="22"/>
      <c r="W95" s="119"/>
      <c r="X95" s="22"/>
      <c r="Y95" s="22"/>
      <c r="Z95" s="146"/>
      <c r="AA95" s="146"/>
      <c r="AB95" s="146"/>
      <c r="AC95" s="146"/>
      <c r="AD95" s="198"/>
      <c r="AE95" s="146"/>
      <c r="AF95" s="146"/>
      <c r="AG95" s="146"/>
      <c r="AH95" s="146"/>
      <c r="AI95" s="146"/>
      <c r="AJ95" s="146"/>
      <c r="AK95" s="146"/>
      <c r="AL95" s="146"/>
      <c r="AM95" s="146"/>
      <c r="AN95" s="146"/>
      <c r="AO95" s="146"/>
      <c r="AP95" s="146"/>
      <c r="AQ95" s="146"/>
      <c r="AT95" s="22"/>
      <c r="AV95" s="119"/>
    </row>
    <row r="96" spans="1:48" hidden="1" x14ac:dyDescent="0.25">
      <c r="A96" s="45"/>
      <c r="B96" t="s">
        <v>202</v>
      </c>
      <c r="C96" s="8"/>
      <c r="E96" s="8"/>
      <c r="G96" s="8"/>
      <c r="I96" s="8"/>
      <c r="J96" s="8"/>
      <c r="K96" s="8"/>
      <c r="L96" s="8"/>
      <c r="P96" s="22"/>
      <c r="Q96" s="22"/>
      <c r="R96" s="22"/>
      <c r="S96" s="22"/>
      <c r="T96" s="22"/>
      <c r="V96" s="22"/>
      <c r="W96" s="119"/>
      <c r="X96" s="22"/>
      <c r="Y96" s="22"/>
      <c r="Z96" s="146"/>
      <c r="AA96" s="146"/>
      <c r="AB96" s="146"/>
      <c r="AC96" s="146"/>
      <c r="AD96" s="198"/>
      <c r="AE96" s="146"/>
      <c r="AF96" s="146"/>
      <c r="AG96" s="146"/>
      <c r="AH96" s="146"/>
      <c r="AI96" s="146"/>
      <c r="AJ96" s="146"/>
      <c r="AK96" s="146"/>
      <c r="AL96" s="146"/>
      <c r="AM96" s="146"/>
      <c r="AN96" s="146"/>
      <c r="AO96" s="146"/>
      <c r="AP96" s="146"/>
      <c r="AQ96" s="146"/>
      <c r="AT96" s="22"/>
      <c r="AV96" s="119"/>
    </row>
    <row r="97" spans="1:48" hidden="1" x14ac:dyDescent="0.25">
      <c r="A97" s="45"/>
      <c r="B97" t="s">
        <v>153</v>
      </c>
      <c r="C97" s="8"/>
      <c r="E97" s="8"/>
      <c r="G97" s="8"/>
      <c r="I97" s="8"/>
      <c r="J97" s="8"/>
      <c r="K97" s="8"/>
      <c r="L97" s="8"/>
      <c r="P97" s="22">
        <v>0.38</v>
      </c>
      <c r="Q97" s="22">
        <v>0.38</v>
      </c>
      <c r="R97" s="22">
        <v>0.38</v>
      </c>
      <c r="S97" s="22">
        <v>0.38</v>
      </c>
      <c r="T97" s="22">
        <v>0.38</v>
      </c>
      <c r="V97" s="22"/>
      <c r="W97" s="119"/>
      <c r="X97" s="22">
        <v>0.38</v>
      </c>
      <c r="Y97" s="22">
        <v>0.38</v>
      </c>
      <c r="Z97" s="146">
        <v>0.38</v>
      </c>
      <c r="AA97" s="146"/>
      <c r="AB97" s="146"/>
      <c r="AC97" s="146"/>
      <c r="AD97" s="198"/>
      <c r="AE97" s="146"/>
      <c r="AF97" s="146"/>
      <c r="AG97" s="146"/>
      <c r="AH97" s="146"/>
      <c r="AI97" s="146"/>
      <c r="AJ97" s="146"/>
      <c r="AK97" s="146"/>
      <c r="AL97" s="146"/>
      <c r="AM97" s="146"/>
      <c r="AN97" s="146"/>
      <c r="AO97" s="146"/>
      <c r="AP97" s="146"/>
      <c r="AQ97" s="146">
        <v>0.38</v>
      </c>
      <c r="AT97" s="22"/>
      <c r="AV97" s="119"/>
    </row>
    <row r="98" spans="1:48" hidden="1" x14ac:dyDescent="0.25">
      <c r="A98" s="45"/>
      <c r="B98" t="s">
        <v>152</v>
      </c>
      <c r="C98" s="8"/>
      <c r="E98" s="8"/>
      <c r="G98" s="8"/>
      <c r="I98" s="8"/>
      <c r="J98" s="8"/>
      <c r="K98" s="8"/>
      <c r="L98" s="8"/>
      <c r="P98" s="22">
        <v>0.38</v>
      </c>
      <c r="Q98" s="22">
        <v>0.38</v>
      </c>
      <c r="R98" s="22">
        <v>0.38</v>
      </c>
      <c r="S98" s="22">
        <v>0.38</v>
      </c>
      <c r="T98" s="22">
        <v>0.38</v>
      </c>
      <c r="V98" s="22"/>
      <c r="W98" s="119"/>
      <c r="X98" s="22">
        <v>0.38</v>
      </c>
      <c r="Y98" s="22">
        <v>0.38</v>
      </c>
      <c r="Z98" s="146">
        <v>0.38</v>
      </c>
      <c r="AA98" s="146"/>
      <c r="AB98" s="146"/>
      <c r="AC98" s="146"/>
      <c r="AD98" s="198"/>
      <c r="AE98" s="146"/>
      <c r="AF98" s="146"/>
      <c r="AG98" s="146"/>
      <c r="AH98" s="146"/>
      <c r="AI98" s="146"/>
      <c r="AJ98" s="146"/>
      <c r="AK98" s="146"/>
      <c r="AL98" s="146"/>
      <c r="AM98" s="146"/>
      <c r="AN98" s="146"/>
      <c r="AO98" s="146"/>
      <c r="AP98" s="146"/>
      <c r="AQ98" s="146">
        <v>0.38</v>
      </c>
      <c r="AT98" s="22"/>
      <c r="AV98" s="119"/>
    </row>
    <row r="99" spans="1:48" hidden="1" x14ac:dyDescent="0.25">
      <c r="A99" s="45"/>
      <c r="B99" t="s">
        <v>150</v>
      </c>
      <c r="C99" s="8"/>
      <c r="E99" s="8"/>
      <c r="G99" s="8"/>
      <c r="I99" s="8"/>
      <c r="J99" s="8"/>
      <c r="K99" s="8"/>
      <c r="L99" s="8"/>
      <c r="P99" s="22">
        <v>0.49</v>
      </c>
      <c r="Q99" s="22">
        <v>0.49</v>
      </c>
      <c r="R99" s="22">
        <v>0.49</v>
      </c>
      <c r="S99" s="22">
        <v>0.49</v>
      </c>
      <c r="T99" s="22">
        <v>0.49</v>
      </c>
      <c r="V99" s="22"/>
      <c r="W99" s="119"/>
      <c r="X99" s="22">
        <v>0.49</v>
      </c>
      <c r="Y99" s="22">
        <v>0.49</v>
      </c>
      <c r="Z99" s="146">
        <v>0.49</v>
      </c>
      <c r="AA99" s="146"/>
      <c r="AB99" s="146"/>
      <c r="AC99" s="146"/>
      <c r="AD99" s="198"/>
      <c r="AE99" s="146"/>
      <c r="AF99" s="146"/>
      <c r="AG99" s="146"/>
      <c r="AH99" s="146"/>
      <c r="AI99" s="146"/>
      <c r="AJ99" s="146"/>
      <c r="AK99" s="146"/>
      <c r="AL99" s="146"/>
      <c r="AM99" s="146"/>
      <c r="AN99" s="146"/>
      <c r="AO99" s="146"/>
      <c r="AP99" s="146"/>
      <c r="AQ99" s="146">
        <v>0.49</v>
      </c>
      <c r="AT99" s="22"/>
      <c r="AV99" s="119"/>
    </row>
    <row r="100" spans="1:48" hidden="1" x14ac:dyDescent="0.25">
      <c r="A100" s="45"/>
      <c r="B100" t="s">
        <v>151</v>
      </c>
      <c r="C100" s="8"/>
      <c r="E100" s="8"/>
      <c r="G100" s="8"/>
      <c r="I100" s="8"/>
      <c r="J100" s="8"/>
      <c r="K100" s="8"/>
      <c r="L100" s="8"/>
      <c r="P100" s="22">
        <v>0.43</v>
      </c>
      <c r="Q100" s="22">
        <v>0.43</v>
      </c>
      <c r="R100" s="22">
        <v>0.43</v>
      </c>
      <c r="S100" s="22">
        <v>0.43</v>
      </c>
      <c r="T100" s="22">
        <v>0.43</v>
      </c>
      <c r="V100" s="22"/>
      <c r="W100" s="119"/>
      <c r="X100" s="22">
        <v>0.43</v>
      </c>
      <c r="Y100" s="22">
        <v>0.43</v>
      </c>
      <c r="Z100" s="146">
        <v>0.43</v>
      </c>
      <c r="AA100" s="146"/>
      <c r="AB100" s="146"/>
      <c r="AC100" s="146"/>
      <c r="AD100" s="198"/>
      <c r="AE100" s="146"/>
      <c r="AF100" s="146"/>
      <c r="AG100" s="146"/>
      <c r="AH100" s="146"/>
      <c r="AI100" s="146"/>
      <c r="AJ100" s="146"/>
      <c r="AK100" s="146"/>
      <c r="AL100" s="146"/>
      <c r="AM100" s="146"/>
      <c r="AN100" s="146"/>
      <c r="AO100" s="146"/>
      <c r="AP100" s="146"/>
      <c r="AQ100" s="146">
        <v>0.43</v>
      </c>
      <c r="AT100" s="22"/>
      <c r="AV100" s="119"/>
    </row>
    <row r="101" spans="1:48" hidden="1" x14ac:dyDescent="0.25">
      <c r="A101" s="45"/>
      <c r="B101" t="s">
        <v>246</v>
      </c>
      <c r="C101" s="8"/>
      <c r="E101" s="8"/>
      <c r="G101" s="8"/>
      <c r="I101" s="22">
        <f>I14/$M14</f>
        <v>0.25812786069174332</v>
      </c>
      <c r="J101" s="22">
        <f>J14/$M14</f>
        <v>0.18365744603845299</v>
      </c>
      <c r="K101" s="22">
        <f>K14/$M14</f>
        <v>0.23105396999069677</v>
      </c>
      <c r="L101" s="22">
        <f>L14/$M14</f>
        <v>0.32716072327910684</v>
      </c>
      <c r="P101" s="22">
        <v>0.2</v>
      </c>
      <c r="Q101" s="22">
        <v>0.22</v>
      </c>
      <c r="R101" s="22">
        <v>0.23</v>
      </c>
      <c r="S101" s="22">
        <v>0.35</v>
      </c>
      <c r="T101" s="22">
        <f>SUM(P101:S101)</f>
        <v>1</v>
      </c>
      <c r="X101" s="22">
        <v>0.2</v>
      </c>
      <c r="Y101" s="22">
        <v>0.22</v>
      </c>
      <c r="Z101" s="146">
        <v>0.23</v>
      </c>
      <c r="AA101" s="146"/>
      <c r="AB101" s="146"/>
      <c r="AC101" s="146"/>
      <c r="AD101" s="198"/>
      <c r="AE101" s="146"/>
      <c r="AF101" s="146"/>
      <c r="AG101" s="146"/>
      <c r="AH101" s="146"/>
      <c r="AI101" s="146"/>
      <c r="AJ101" s="146"/>
      <c r="AK101" s="146"/>
      <c r="AL101" s="146"/>
      <c r="AM101" s="146"/>
      <c r="AN101" s="146"/>
      <c r="AO101" s="146"/>
      <c r="AP101" s="146"/>
      <c r="AQ101" s="146">
        <f>SUM(X101:AP101)</f>
        <v>0.65</v>
      </c>
    </row>
    <row r="102" spans="1:48" hidden="1" x14ac:dyDescent="0.25">
      <c r="A102" s="45"/>
      <c r="C102" s="8"/>
      <c r="E102" s="8"/>
      <c r="G102" s="8"/>
      <c r="I102" s="8"/>
      <c r="J102" s="8"/>
      <c r="K102" s="8"/>
      <c r="L102" s="8"/>
      <c r="AD102" s="187"/>
    </row>
    <row r="103" spans="1:48" hidden="1" x14ac:dyDescent="0.25">
      <c r="A103" s="45"/>
      <c r="C103" s="8"/>
      <c r="E103" s="8"/>
      <c r="G103" s="8"/>
      <c r="I103" s="8"/>
      <c r="J103" s="8"/>
      <c r="K103" s="8"/>
      <c r="L103" s="8"/>
      <c r="AD103" s="187"/>
    </row>
    <row r="104" spans="1:48" hidden="1" x14ac:dyDescent="0.25">
      <c r="A104" s="151" t="s">
        <v>194</v>
      </c>
      <c r="B104" s="12"/>
      <c r="C104" s="13"/>
      <c r="E104" s="13"/>
      <c r="G104" s="13"/>
      <c r="I104" s="14"/>
      <c r="J104" s="8"/>
      <c r="K104" s="8"/>
      <c r="L104" s="8"/>
      <c r="AD104" s="187"/>
    </row>
    <row r="105" spans="1:48" hidden="1" x14ac:dyDescent="0.25">
      <c r="A105" s="152"/>
      <c r="C105" s="15" t="s">
        <v>195</v>
      </c>
      <c r="E105" s="15" t="s">
        <v>196</v>
      </c>
      <c r="G105" s="15" t="s">
        <v>197</v>
      </c>
      <c r="I105" s="16" t="s">
        <v>198</v>
      </c>
      <c r="J105" s="8"/>
      <c r="K105" s="8"/>
      <c r="L105" s="8"/>
      <c r="AD105" s="187"/>
    </row>
    <row r="106" spans="1:48" hidden="1" x14ac:dyDescent="0.25">
      <c r="A106" s="152"/>
      <c r="B106" t="s">
        <v>153</v>
      </c>
      <c r="C106" s="17">
        <v>4.1500000000000004</v>
      </c>
      <c r="E106" s="17">
        <v>6.22</v>
      </c>
      <c r="G106" s="17">
        <v>12</v>
      </c>
      <c r="I106" s="18">
        <v>9</v>
      </c>
      <c r="J106" s="8"/>
      <c r="K106" s="8"/>
      <c r="L106" s="8"/>
      <c r="AD106" s="187"/>
    </row>
    <row r="107" spans="1:48" hidden="1" x14ac:dyDescent="0.25">
      <c r="A107" s="152"/>
      <c r="B107" t="s">
        <v>152</v>
      </c>
      <c r="C107" s="17">
        <v>4.1500000000000004</v>
      </c>
      <c r="E107" s="17">
        <v>6.22</v>
      </c>
      <c r="G107" s="17">
        <v>12</v>
      </c>
      <c r="I107" s="18">
        <v>9</v>
      </c>
      <c r="J107" s="8"/>
      <c r="K107" s="8"/>
      <c r="L107" s="8"/>
      <c r="AD107" s="187"/>
    </row>
    <row r="108" spans="1:48" hidden="1" x14ac:dyDescent="0.25">
      <c r="A108" s="152"/>
      <c r="B108" t="s">
        <v>150</v>
      </c>
      <c r="C108" s="17">
        <v>3.15</v>
      </c>
      <c r="E108" s="17">
        <v>5.0999999999999996</v>
      </c>
      <c r="G108" s="17">
        <v>9.6</v>
      </c>
      <c r="I108" s="18">
        <v>9</v>
      </c>
      <c r="J108" s="8"/>
      <c r="K108" s="8"/>
      <c r="L108" s="8"/>
      <c r="AD108" s="187"/>
    </row>
    <row r="109" spans="1:48" hidden="1" x14ac:dyDescent="0.25">
      <c r="A109" s="152"/>
      <c r="B109" t="s">
        <v>151</v>
      </c>
      <c r="C109" s="17">
        <v>3.5</v>
      </c>
      <c r="E109" s="17">
        <v>5.0999999999999996</v>
      </c>
      <c r="G109" s="17">
        <v>10</v>
      </c>
      <c r="I109" s="18">
        <v>9</v>
      </c>
      <c r="J109" s="8"/>
      <c r="K109" s="8"/>
      <c r="L109" s="8"/>
      <c r="AD109" s="187"/>
    </row>
    <row r="110" spans="1:48" hidden="1" x14ac:dyDescent="0.25">
      <c r="A110" s="154"/>
      <c r="B110" s="19" t="s">
        <v>199</v>
      </c>
      <c r="C110" s="20">
        <v>1.58</v>
      </c>
      <c r="E110" s="20">
        <v>2</v>
      </c>
      <c r="G110" s="20">
        <v>4.08</v>
      </c>
      <c r="I110" s="21">
        <v>4.68</v>
      </c>
      <c r="J110" s="8"/>
      <c r="K110" s="8"/>
      <c r="L110" s="8"/>
      <c r="AD110" s="187"/>
    </row>
    <row r="111" spans="1:48" hidden="1" x14ac:dyDescent="0.25">
      <c r="A111" s="45"/>
      <c r="C111" s="8"/>
      <c r="E111" s="8"/>
      <c r="G111" s="8"/>
      <c r="I111" s="8"/>
      <c r="J111" s="8"/>
      <c r="K111" s="8"/>
      <c r="L111" s="8"/>
      <c r="AD111" s="187"/>
    </row>
    <row r="112" spans="1:48" hidden="1" x14ac:dyDescent="0.25">
      <c r="A112" s="45"/>
      <c r="C112" s="22"/>
      <c r="E112" s="22"/>
      <c r="G112" s="22"/>
      <c r="I112" s="22"/>
      <c r="J112" s="8"/>
      <c r="K112" s="8"/>
      <c r="L112" s="8"/>
      <c r="AD112" s="187"/>
    </row>
    <row r="113" spans="1:48" hidden="1" x14ac:dyDescent="0.25">
      <c r="A113" s="45"/>
      <c r="C113" s="8"/>
      <c r="E113" s="8"/>
      <c r="G113" s="8"/>
      <c r="I113" s="22"/>
      <c r="J113" s="8"/>
      <c r="K113" s="8"/>
      <c r="L113" s="8"/>
      <c r="AD113" s="187"/>
    </row>
    <row r="114" spans="1:48" x14ac:dyDescent="0.25">
      <c r="A114" s="45"/>
      <c r="C114" s="8"/>
      <c r="E114" s="8"/>
      <c r="G114" s="8"/>
      <c r="I114" s="8"/>
      <c r="J114" s="8"/>
      <c r="K114" s="8"/>
      <c r="L114" s="8"/>
      <c r="AD114" s="187"/>
    </row>
    <row r="115" spans="1:48" ht="15.75" thickBot="1" x14ac:dyDescent="0.3">
      <c r="A115" s="45" t="s">
        <v>521</v>
      </c>
      <c r="AA115" s="130">
        <f>AA87+AA88</f>
        <v>4405</v>
      </c>
      <c r="AB115" s="130">
        <f>AB87+AB88</f>
        <v>-12119.299999999988</v>
      </c>
      <c r="AC115" s="130">
        <f t="shared" ref="AC115:AP115" si="130">AC87+AC88</f>
        <v>166376</v>
      </c>
      <c r="AD115" s="199"/>
      <c r="AE115" s="130">
        <f t="shared" si="130"/>
        <v>-3652</v>
      </c>
      <c r="AF115" s="130">
        <f t="shared" si="130"/>
        <v>-2968</v>
      </c>
      <c r="AG115" s="130">
        <f t="shared" si="130"/>
        <v>-39525.919999999998</v>
      </c>
      <c r="AH115" s="130">
        <f t="shared" si="130"/>
        <v>-34263.839999999997</v>
      </c>
      <c r="AI115" s="130">
        <f t="shared" si="130"/>
        <v>-25001.759999999995</v>
      </c>
      <c r="AJ115" s="130">
        <f t="shared" si="130"/>
        <v>-15739.679999999993</v>
      </c>
      <c r="AK115" s="130">
        <f t="shared" si="130"/>
        <v>23334.400000000009</v>
      </c>
      <c r="AL115" s="130">
        <f t="shared" si="130"/>
        <v>63390.48000000001</v>
      </c>
      <c r="AM115" s="130">
        <f t="shared" si="130"/>
        <v>113146.56000000001</v>
      </c>
      <c r="AN115" s="130">
        <f t="shared" si="130"/>
        <v>159452.64000000001</v>
      </c>
      <c r="AO115" s="130">
        <f t="shared" si="130"/>
        <v>209588.72000000003</v>
      </c>
      <c r="AP115" s="130">
        <f t="shared" si="130"/>
        <v>259724.80000000005</v>
      </c>
    </row>
    <row r="116" spans="1:48" ht="15.75" thickTop="1" x14ac:dyDescent="0.25">
      <c r="AD116" s="187"/>
      <c r="AF116" s="140"/>
    </row>
    <row r="117" spans="1:48" s="39" customFormat="1" x14ac:dyDescent="0.25">
      <c r="A117" s="105" t="s">
        <v>522</v>
      </c>
      <c r="B117" s="105"/>
      <c r="C117" s="105"/>
      <c r="D117" s="175"/>
      <c r="E117" s="105"/>
      <c r="F117" s="175"/>
      <c r="G117" s="105"/>
      <c r="H117" s="175"/>
      <c r="I117" s="105"/>
      <c r="J117" s="105"/>
      <c r="K117" s="105"/>
      <c r="L117" s="105"/>
      <c r="M117" s="105"/>
      <c r="N117" s="175"/>
      <c r="O117" s="179"/>
      <c r="P117" s="105"/>
      <c r="Q117" s="105"/>
      <c r="R117" s="105"/>
      <c r="S117" s="105"/>
      <c r="T117" s="105"/>
      <c r="U117" s="175"/>
      <c r="V117" s="105"/>
      <c r="W117" s="180"/>
      <c r="X117" s="105"/>
      <c r="Y117" s="105"/>
      <c r="Z117" s="105"/>
      <c r="AA117" s="105"/>
      <c r="AB117" s="105"/>
      <c r="AC117" s="105"/>
      <c r="AD117" s="180"/>
      <c r="AE117" s="105"/>
      <c r="AF117" s="105"/>
      <c r="AG117" s="140"/>
      <c r="AH117" s="140"/>
      <c r="AI117" s="140"/>
      <c r="AJ117" s="140"/>
      <c r="AK117" s="140"/>
      <c r="AL117" s="140"/>
      <c r="AM117" s="140"/>
      <c r="AN117" s="140"/>
      <c r="AO117" s="140"/>
      <c r="AP117" s="140"/>
      <c r="AQ117" s="140"/>
      <c r="AR117" s="143"/>
      <c r="AS117" s="143"/>
      <c r="AV117" s="156"/>
    </row>
    <row r="118" spans="1:48" s="39" customFormat="1" x14ac:dyDescent="0.25">
      <c r="A118" s="105"/>
      <c r="B118" s="105" t="s">
        <v>523</v>
      </c>
      <c r="C118" s="105"/>
      <c r="D118" s="175"/>
      <c r="E118" s="105"/>
      <c r="F118" s="175"/>
      <c r="G118" s="105"/>
      <c r="H118" s="175"/>
      <c r="I118" s="105"/>
      <c r="J118" s="105"/>
      <c r="K118" s="105"/>
      <c r="L118" s="105"/>
      <c r="M118" s="105"/>
      <c r="N118" s="175"/>
      <c r="O118" s="179"/>
      <c r="P118" s="105"/>
      <c r="Q118" s="105"/>
      <c r="R118" s="105"/>
      <c r="S118" s="105"/>
      <c r="T118" s="105"/>
      <c r="U118" s="175"/>
      <c r="V118" s="105"/>
      <c r="W118" s="180"/>
      <c r="Y118" s="105"/>
      <c r="Z118" s="105"/>
      <c r="AA118" s="105"/>
      <c r="AB118" s="105"/>
      <c r="AC118" s="105"/>
      <c r="AD118" s="180"/>
      <c r="AE118" s="105"/>
      <c r="AF118" s="105"/>
      <c r="AG118" s="140"/>
      <c r="AH118" s="140"/>
      <c r="AI118" s="140"/>
      <c r="AJ118" s="140"/>
      <c r="AK118" s="140"/>
      <c r="AL118" s="140"/>
      <c r="AM118" s="140"/>
      <c r="AN118" s="140"/>
      <c r="AO118" s="140"/>
      <c r="AP118" s="140"/>
      <c r="AQ118" s="140"/>
      <c r="AR118" s="143"/>
      <c r="AS118" s="143"/>
      <c r="AV118" s="156"/>
    </row>
    <row r="119" spans="1:48" s="39" customFormat="1" x14ac:dyDescent="0.25">
      <c r="A119" s="105"/>
      <c r="B119" s="105" t="s">
        <v>1792</v>
      </c>
      <c r="C119" s="105"/>
      <c r="D119" s="175"/>
      <c r="E119" s="105"/>
      <c r="F119" s="175"/>
      <c r="G119" s="105"/>
      <c r="H119" s="175"/>
      <c r="I119" s="105"/>
      <c r="J119" s="105"/>
      <c r="K119" s="105"/>
      <c r="L119" s="105"/>
      <c r="M119" s="105"/>
      <c r="N119" s="175"/>
      <c r="O119" s="179"/>
      <c r="P119" s="105"/>
      <c r="Q119" s="105"/>
      <c r="R119" s="105"/>
      <c r="S119" s="105"/>
      <c r="T119" s="105"/>
      <c r="U119" s="175"/>
      <c r="V119" s="105"/>
      <c r="W119" s="180"/>
      <c r="X119" s="183">
        <v>5600</v>
      </c>
      <c r="Y119" s="105"/>
      <c r="Z119" s="176">
        <v>59170</v>
      </c>
      <c r="AA119" s="176">
        <v>47982</v>
      </c>
      <c r="AB119" s="176">
        <v>42582</v>
      </c>
      <c r="AC119" s="176">
        <v>42582</v>
      </c>
      <c r="AD119" s="194"/>
      <c r="AE119" s="176">
        <v>31782</v>
      </c>
      <c r="AF119" s="176">
        <v>31782</v>
      </c>
      <c r="AG119" s="157"/>
      <c r="AH119" s="157"/>
      <c r="AI119" s="157"/>
      <c r="AJ119" s="157"/>
      <c r="AK119" s="157"/>
      <c r="AL119" s="157"/>
      <c r="AM119" s="157"/>
      <c r="AN119" s="157"/>
      <c r="AO119" s="157"/>
      <c r="AP119" s="157"/>
      <c r="AQ119" s="140" t="s">
        <v>1781</v>
      </c>
      <c r="AR119" s="143"/>
      <c r="AS119" s="143"/>
      <c r="AV119" s="156"/>
    </row>
    <row r="120" spans="1:48" s="39" customFormat="1" x14ac:dyDescent="0.25">
      <c r="A120" s="105"/>
      <c r="B120" s="105" t="s">
        <v>524</v>
      </c>
      <c r="C120" s="105"/>
      <c r="D120" s="175"/>
      <c r="E120" s="105"/>
      <c r="F120" s="175"/>
      <c r="G120" s="105"/>
      <c r="H120" s="175"/>
      <c r="I120" s="105"/>
      <c r="J120" s="105"/>
      <c r="K120" s="105"/>
      <c r="L120" s="105"/>
      <c r="M120" s="105"/>
      <c r="N120" s="175"/>
      <c r="O120" s="179"/>
      <c r="P120" s="105"/>
      <c r="Q120" s="105"/>
      <c r="R120" s="105"/>
      <c r="S120" s="105"/>
      <c r="T120" s="105"/>
      <c r="U120" s="175"/>
      <c r="V120" s="105"/>
      <c r="W120" s="180"/>
      <c r="X120" s="183">
        <v>250</v>
      </c>
      <c r="Y120" s="105"/>
      <c r="Z120" s="176">
        <v>6337</v>
      </c>
      <c r="AA120" s="176">
        <v>3632</v>
      </c>
      <c r="AB120" s="176">
        <v>8682</v>
      </c>
      <c r="AC120" s="176">
        <v>8931</v>
      </c>
      <c r="AD120" s="194"/>
      <c r="AE120" s="176">
        <v>6561</v>
      </c>
      <c r="AF120" s="176">
        <v>9039</v>
      </c>
      <c r="AG120" s="157"/>
      <c r="AH120" s="157"/>
      <c r="AI120" s="157"/>
      <c r="AJ120" s="157"/>
      <c r="AK120" s="157"/>
      <c r="AL120" s="157"/>
      <c r="AM120" s="157"/>
      <c r="AN120" s="157"/>
      <c r="AO120" s="157"/>
      <c r="AP120" s="157"/>
      <c r="AQ120" s="140" t="s">
        <v>1782</v>
      </c>
      <c r="AR120" s="143"/>
      <c r="AS120" s="143"/>
      <c r="AV120" s="156"/>
    </row>
    <row r="121" spans="1:48" s="39" customFormat="1" x14ac:dyDescent="0.25">
      <c r="A121" s="105"/>
      <c r="B121" s="105" t="s">
        <v>525</v>
      </c>
      <c r="C121" s="105"/>
      <c r="D121" s="175"/>
      <c r="E121" s="105"/>
      <c r="F121" s="175"/>
      <c r="G121" s="105"/>
      <c r="H121" s="175"/>
      <c r="I121" s="105"/>
      <c r="J121" s="105"/>
      <c r="K121" s="105"/>
      <c r="L121" s="105"/>
      <c r="M121" s="105"/>
      <c r="N121" s="175"/>
      <c r="O121" s="179"/>
      <c r="P121" s="105"/>
      <c r="Q121" s="105"/>
      <c r="R121" s="105"/>
      <c r="S121" s="105"/>
      <c r="T121" s="105"/>
      <c r="U121" s="175"/>
      <c r="V121" s="105"/>
      <c r="W121" s="180"/>
      <c r="X121" s="183">
        <v>1750</v>
      </c>
      <c r="Y121" s="105"/>
      <c r="Z121" s="176">
        <v>64197</v>
      </c>
      <c r="AA121" s="176">
        <v>63506</v>
      </c>
      <c r="AB121" s="176">
        <v>62896</v>
      </c>
      <c r="AC121" s="176">
        <v>62220</v>
      </c>
      <c r="AD121" s="194"/>
      <c r="AE121" s="176">
        <v>61823</v>
      </c>
      <c r="AF121" s="176">
        <v>61197</v>
      </c>
      <c r="AG121" s="157"/>
      <c r="AH121" s="157"/>
      <c r="AI121" s="157"/>
      <c r="AJ121" s="157"/>
      <c r="AK121" s="157"/>
      <c r="AL121" s="157"/>
      <c r="AM121" s="157"/>
      <c r="AN121" s="157"/>
      <c r="AO121" s="157"/>
      <c r="AP121" s="157"/>
      <c r="AQ121" s="140" t="s">
        <v>1783</v>
      </c>
      <c r="AR121" s="143"/>
      <c r="AS121" s="143"/>
      <c r="AV121" s="156"/>
    </row>
    <row r="122" spans="1:48" s="39" customFormat="1" x14ac:dyDescent="0.25">
      <c r="A122" s="105"/>
      <c r="B122" s="105" t="s">
        <v>526</v>
      </c>
      <c r="C122" s="105"/>
      <c r="D122" s="175"/>
      <c r="E122" s="105"/>
      <c r="F122" s="175"/>
      <c r="G122" s="105"/>
      <c r="H122" s="175"/>
      <c r="I122" s="105"/>
      <c r="J122" s="105"/>
      <c r="K122" s="105"/>
      <c r="L122" s="105"/>
      <c r="M122" s="105"/>
      <c r="N122" s="175"/>
      <c r="O122" s="179"/>
      <c r="P122" s="105"/>
      <c r="Q122" s="105"/>
      <c r="R122" s="105"/>
      <c r="S122" s="105"/>
      <c r="T122" s="105"/>
      <c r="U122" s="175"/>
      <c r="V122" s="105"/>
      <c r="W122" s="180"/>
      <c r="X122" s="183">
        <v>140</v>
      </c>
      <c r="Y122" s="105"/>
      <c r="Z122" s="176">
        <v>12362</v>
      </c>
      <c r="AA122" s="176">
        <v>12579</v>
      </c>
      <c r="AB122" s="176">
        <v>12759.7</v>
      </c>
      <c r="AC122" s="176">
        <v>12814</v>
      </c>
      <c r="AD122" s="194"/>
      <c r="AE122" s="176">
        <v>0</v>
      </c>
      <c r="AF122" s="176">
        <v>636</v>
      </c>
      <c r="AG122" s="157"/>
      <c r="AH122" s="157"/>
      <c r="AI122" s="157"/>
      <c r="AJ122" s="157"/>
      <c r="AK122" s="157"/>
      <c r="AL122" s="157"/>
      <c r="AM122" s="157"/>
      <c r="AN122" s="157"/>
      <c r="AO122" s="157"/>
      <c r="AP122" s="157"/>
      <c r="AQ122" s="140"/>
      <c r="AR122" s="143"/>
      <c r="AS122" s="143"/>
      <c r="AV122" s="156"/>
    </row>
    <row r="123" spans="1:48" s="39" customFormat="1" x14ac:dyDescent="0.25">
      <c r="A123" s="105"/>
      <c r="B123" s="105" t="s">
        <v>1784</v>
      </c>
      <c r="C123" s="105"/>
      <c r="D123" s="175"/>
      <c r="E123" s="105"/>
      <c r="F123" s="175"/>
      <c r="G123" s="105"/>
      <c r="H123" s="175"/>
      <c r="I123" s="105"/>
      <c r="J123" s="105"/>
      <c r="K123" s="105"/>
      <c r="L123" s="105"/>
      <c r="M123" s="105"/>
      <c r="N123" s="175"/>
      <c r="O123" s="179"/>
      <c r="P123" s="105"/>
      <c r="Q123" s="105"/>
      <c r="R123" s="105"/>
      <c r="S123" s="105"/>
      <c r="T123" s="105"/>
      <c r="U123" s="175"/>
      <c r="V123" s="105"/>
      <c r="W123" s="180"/>
      <c r="X123" s="183">
        <v>0</v>
      </c>
      <c r="Y123" s="105"/>
      <c r="Z123" s="181">
        <v>32511</v>
      </c>
      <c r="AA123" s="181">
        <v>31427</v>
      </c>
      <c r="AB123" s="181">
        <v>30379</v>
      </c>
      <c r="AC123" s="181">
        <v>29283</v>
      </c>
      <c r="AD123" s="194"/>
      <c r="AE123" s="181">
        <v>28256</v>
      </c>
      <c r="AF123" s="181">
        <v>27214</v>
      </c>
      <c r="AG123" s="157"/>
      <c r="AH123" s="157"/>
      <c r="AI123" s="157"/>
      <c r="AJ123" s="157"/>
      <c r="AK123" s="157"/>
      <c r="AL123" s="157"/>
      <c r="AM123" s="157"/>
      <c r="AN123" s="157"/>
      <c r="AO123" s="157"/>
      <c r="AP123" s="157"/>
      <c r="AQ123" s="140" t="s">
        <v>1785</v>
      </c>
      <c r="AR123" s="143"/>
      <c r="AS123" s="143"/>
      <c r="AV123" s="156"/>
    </row>
    <row r="124" spans="1:48" s="39" customFormat="1" x14ac:dyDescent="0.25">
      <c r="A124" s="105"/>
      <c r="B124" s="105" t="s">
        <v>527</v>
      </c>
      <c r="C124" s="105"/>
      <c r="D124" s="175"/>
      <c r="E124" s="105"/>
      <c r="F124" s="175"/>
      <c r="G124" s="105"/>
      <c r="H124" s="175"/>
      <c r="I124" s="105"/>
      <c r="J124" s="105"/>
      <c r="K124" s="105"/>
      <c r="L124" s="105"/>
      <c r="M124" s="105"/>
      <c r="N124" s="175"/>
      <c r="O124" s="179"/>
      <c r="P124" s="105"/>
      <c r="Q124" s="105"/>
      <c r="R124" s="105"/>
      <c r="S124" s="105"/>
      <c r="T124" s="105"/>
      <c r="U124" s="175"/>
      <c r="V124" s="105"/>
      <c r="W124" s="180"/>
      <c r="X124" s="183"/>
      <c r="Y124" s="105"/>
      <c r="Z124" s="176">
        <f>SUM(Z119:Z123)</f>
        <v>174577</v>
      </c>
      <c r="AA124" s="176">
        <f>SUM(AA119:AA123)</f>
        <v>159126</v>
      </c>
      <c r="AB124" s="176">
        <f t="shared" ref="AB124:AE124" si="131">SUM(AB119:AB123)</f>
        <v>157298.70000000001</v>
      </c>
      <c r="AC124" s="176">
        <f t="shared" si="131"/>
        <v>155830</v>
      </c>
      <c r="AD124" s="194"/>
      <c r="AE124" s="176">
        <f t="shared" si="131"/>
        <v>128422</v>
      </c>
      <c r="AF124" s="176">
        <f t="shared" ref="AF124" si="132">SUM(AF119:AF123)</f>
        <v>129868</v>
      </c>
      <c r="AG124" s="157"/>
      <c r="AH124" s="157"/>
      <c r="AI124" s="157"/>
      <c r="AJ124" s="157"/>
      <c r="AK124" s="157"/>
      <c r="AL124" s="157"/>
      <c r="AM124" s="157"/>
      <c r="AN124" s="157"/>
      <c r="AO124" s="157"/>
      <c r="AP124" s="157"/>
      <c r="AQ124" s="140"/>
      <c r="AR124" s="143"/>
      <c r="AS124" s="143"/>
      <c r="AV124" s="156"/>
    </row>
    <row r="125" spans="1:48" s="39" customFormat="1" x14ac:dyDescent="0.25">
      <c r="A125" s="105"/>
      <c r="B125" s="105" t="s">
        <v>513</v>
      </c>
      <c r="C125" s="105"/>
      <c r="D125" s="175"/>
      <c r="E125" s="105"/>
      <c r="F125" s="175"/>
      <c r="G125" s="105"/>
      <c r="H125" s="175"/>
      <c r="I125" s="105"/>
      <c r="J125" s="105"/>
      <c r="K125" s="105"/>
      <c r="L125" s="105"/>
      <c r="M125" s="105"/>
      <c r="N125" s="175"/>
      <c r="O125" s="179"/>
      <c r="P125" s="105"/>
      <c r="Q125" s="105"/>
      <c r="R125" s="105"/>
      <c r="S125" s="105"/>
      <c r="T125" s="105"/>
      <c r="U125" s="175"/>
      <c r="V125" s="105"/>
      <c r="W125" s="180"/>
      <c r="X125" s="185"/>
      <c r="Y125" s="105"/>
      <c r="Z125" s="176">
        <v>60000</v>
      </c>
      <c r="AA125" s="176">
        <v>60000</v>
      </c>
      <c r="AB125" s="176">
        <v>60000</v>
      </c>
      <c r="AC125" s="176">
        <v>69440</v>
      </c>
      <c r="AD125" s="194"/>
      <c r="AE125" s="176">
        <v>69440</v>
      </c>
      <c r="AF125" s="176">
        <v>69440</v>
      </c>
      <c r="AG125" s="157"/>
      <c r="AH125" s="157"/>
      <c r="AI125" s="157"/>
      <c r="AJ125" s="157"/>
      <c r="AK125" s="157"/>
      <c r="AL125" s="157"/>
      <c r="AM125" s="157"/>
      <c r="AN125" s="157"/>
      <c r="AO125" s="157"/>
      <c r="AP125" s="157"/>
      <c r="AQ125" s="140"/>
      <c r="AR125" s="143"/>
      <c r="AS125" s="143"/>
      <c r="AV125" s="156"/>
    </row>
    <row r="126" spans="1:48" s="39" customFormat="1" x14ac:dyDescent="0.25">
      <c r="A126" s="105"/>
      <c r="B126" s="105" t="s">
        <v>1763</v>
      </c>
      <c r="C126" s="105"/>
      <c r="D126" s="175"/>
      <c r="E126" s="105"/>
      <c r="F126" s="175"/>
      <c r="G126" s="105"/>
      <c r="H126" s="175"/>
      <c r="I126" s="105"/>
      <c r="J126" s="105"/>
      <c r="K126" s="105"/>
      <c r="L126" s="105"/>
      <c r="M126" s="105"/>
      <c r="N126" s="175"/>
      <c r="O126" s="179"/>
      <c r="P126" s="105"/>
      <c r="Q126" s="105"/>
      <c r="R126" s="105"/>
      <c r="S126" s="105"/>
      <c r="T126" s="105"/>
      <c r="U126" s="175"/>
      <c r="V126" s="105"/>
      <c r="W126" s="180"/>
      <c r="X126" s="183"/>
      <c r="Y126" s="105"/>
      <c r="Z126" s="176">
        <v>23031</v>
      </c>
      <c r="AA126" s="176">
        <v>23611</v>
      </c>
      <c r="AB126" s="176">
        <v>29579</v>
      </c>
      <c r="AC126" s="176">
        <v>13635</v>
      </c>
      <c r="AD126" s="194"/>
      <c r="AE126" s="176">
        <v>-515</v>
      </c>
      <c r="AF126" s="176">
        <v>-480</v>
      </c>
      <c r="AG126" s="157"/>
      <c r="AH126" s="157"/>
      <c r="AI126" s="157"/>
      <c r="AJ126" s="157"/>
      <c r="AK126" s="157"/>
      <c r="AL126" s="157"/>
      <c r="AM126" s="157"/>
      <c r="AN126" s="157"/>
      <c r="AO126" s="157"/>
      <c r="AP126" s="157"/>
      <c r="AQ126" s="140" t="s">
        <v>1786</v>
      </c>
      <c r="AR126" s="143"/>
      <c r="AS126" s="143"/>
      <c r="AV126" s="156"/>
    </row>
    <row r="127" spans="1:48" s="39" customFormat="1" x14ac:dyDescent="0.25">
      <c r="A127" s="105"/>
      <c r="B127" s="105" t="s">
        <v>1745</v>
      </c>
      <c r="C127" s="105"/>
      <c r="D127" s="175"/>
      <c r="E127" s="105"/>
      <c r="F127" s="175"/>
      <c r="G127" s="105"/>
      <c r="H127" s="175"/>
      <c r="I127" s="105"/>
      <c r="J127" s="105"/>
      <c r="K127" s="105"/>
      <c r="L127" s="105"/>
      <c r="M127" s="105"/>
      <c r="N127" s="175"/>
      <c r="O127" s="179"/>
      <c r="P127" s="105"/>
      <c r="Q127" s="105"/>
      <c r="R127" s="105"/>
      <c r="S127" s="105"/>
      <c r="T127" s="105"/>
      <c r="U127" s="175"/>
      <c r="V127" s="105"/>
      <c r="W127" s="180"/>
      <c r="X127" s="184">
        <v>1136.6400000000001</v>
      </c>
      <c r="Y127" s="105"/>
      <c r="Z127" s="176">
        <v>23869.87</v>
      </c>
      <c r="AA127" s="176">
        <v>0</v>
      </c>
      <c r="AB127" s="176">
        <v>24579</v>
      </c>
      <c r="AC127" s="176">
        <v>19932</v>
      </c>
      <c r="AD127" s="194"/>
      <c r="AE127" s="176">
        <v>14777</v>
      </c>
      <c r="AF127" s="176">
        <v>9319</v>
      </c>
      <c r="AG127" s="157"/>
      <c r="AH127" s="157"/>
      <c r="AI127" s="157"/>
      <c r="AJ127" s="157"/>
      <c r="AK127" s="157"/>
      <c r="AL127" s="157"/>
      <c r="AM127" s="157"/>
      <c r="AN127" s="157"/>
      <c r="AO127" s="157"/>
      <c r="AP127" s="157"/>
      <c r="AQ127" s="140" t="s">
        <v>1787</v>
      </c>
      <c r="AR127" s="143"/>
      <c r="AS127" s="143"/>
      <c r="AV127" s="156"/>
    </row>
    <row r="128" spans="1:48" s="39" customFormat="1" x14ac:dyDescent="0.25">
      <c r="A128" s="105"/>
      <c r="B128" s="105" t="s">
        <v>483</v>
      </c>
      <c r="C128" s="105"/>
      <c r="D128" s="175"/>
      <c r="E128" s="105"/>
      <c r="F128" s="175"/>
      <c r="G128" s="105"/>
      <c r="H128" s="175"/>
      <c r="I128" s="105"/>
      <c r="J128" s="105"/>
      <c r="K128" s="105"/>
      <c r="L128" s="105"/>
      <c r="M128" s="105"/>
      <c r="N128" s="175"/>
      <c r="O128" s="179"/>
      <c r="P128" s="105"/>
      <c r="Q128" s="105"/>
      <c r="R128" s="105"/>
      <c r="S128" s="105"/>
      <c r="T128" s="105"/>
      <c r="U128" s="175"/>
      <c r="V128" s="105"/>
      <c r="W128" s="180"/>
      <c r="X128" s="183">
        <v>22456</v>
      </c>
      <c r="Y128" s="105"/>
      <c r="Z128" s="176">
        <v>54690</v>
      </c>
      <c r="AA128" s="176">
        <v>76489</v>
      </c>
      <c r="AB128" s="176">
        <v>54876</v>
      </c>
      <c r="AC128" s="176">
        <v>37747</v>
      </c>
      <c r="AD128" s="194"/>
      <c r="AE128" s="176">
        <v>22405</v>
      </c>
      <c r="AF128" s="176">
        <v>11738</v>
      </c>
      <c r="AG128" s="157"/>
      <c r="AH128" s="157"/>
      <c r="AI128" s="157"/>
      <c r="AJ128" s="157"/>
      <c r="AK128" s="157"/>
      <c r="AL128" s="157"/>
      <c r="AM128" s="157"/>
      <c r="AN128" s="157"/>
      <c r="AO128" s="157"/>
      <c r="AP128" s="157"/>
      <c r="AQ128" s="140" t="s">
        <v>1788</v>
      </c>
      <c r="AR128" s="143"/>
      <c r="AS128" s="143"/>
      <c r="AV128" s="156"/>
    </row>
    <row r="129" spans="1:48" s="39" customFormat="1" x14ac:dyDescent="0.25">
      <c r="A129" s="105"/>
      <c r="B129" s="105" t="s">
        <v>1796</v>
      </c>
      <c r="C129" s="105"/>
      <c r="D129" s="175"/>
      <c r="E129" s="105"/>
      <c r="F129" s="175"/>
      <c r="G129" s="105"/>
      <c r="H129" s="175"/>
      <c r="I129" s="105"/>
      <c r="J129" s="105"/>
      <c r="K129" s="105"/>
      <c r="L129" s="105"/>
      <c r="M129" s="105"/>
      <c r="N129" s="175"/>
      <c r="O129" s="179"/>
      <c r="P129" s="105"/>
      <c r="Q129" s="105"/>
      <c r="R129" s="105"/>
      <c r="S129" s="105"/>
      <c r="T129" s="105"/>
      <c r="U129" s="175"/>
      <c r="V129" s="105"/>
      <c r="W129" s="180"/>
      <c r="X129" s="183"/>
      <c r="Y129" s="105"/>
      <c r="Z129" s="176">
        <v>6111</v>
      </c>
      <c r="AA129" s="176">
        <v>6111</v>
      </c>
      <c r="AB129" s="176">
        <v>6111</v>
      </c>
      <c r="AC129" s="176"/>
      <c r="AD129" s="194"/>
      <c r="AE129" s="176"/>
      <c r="AF129" s="176"/>
      <c r="AG129" s="157"/>
      <c r="AH129" s="157"/>
      <c r="AI129" s="157"/>
      <c r="AJ129" s="157"/>
      <c r="AK129" s="157"/>
      <c r="AL129" s="157"/>
      <c r="AM129" s="157"/>
      <c r="AN129" s="157"/>
      <c r="AO129" s="157"/>
      <c r="AP129" s="157"/>
      <c r="AQ129" s="140"/>
      <c r="AR129" s="143"/>
      <c r="AS129" s="143"/>
      <c r="AV129" s="156"/>
    </row>
    <row r="130" spans="1:48" s="39" customFormat="1" x14ac:dyDescent="0.25">
      <c r="A130" s="105"/>
      <c r="B130" s="105" t="s">
        <v>514</v>
      </c>
      <c r="C130" s="105"/>
      <c r="D130" s="175"/>
      <c r="E130" s="105"/>
      <c r="F130" s="175"/>
      <c r="G130" s="105"/>
      <c r="H130" s="175"/>
      <c r="I130" s="105"/>
      <c r="J130" s="105"/>
      <c r="K130" s="105"/>
      <c r="L130" s="105"/>
      <c r="M130" s="105"/>
      <c r="N130" s="175"/>
      <c r="O130" s="179"/>
      <c r="P130" s="105"/>
      <c r="Q130" s="105"/>
      <c r="R130" s="105"/>
      <c r="S130" s="105"/>
      <c r="T130" s="105"/>
      <c r="U130" s="175"/>
      <c r="V130" s="105"/>
      <c r="W130" s="180"/>
      <c r="X130" s="183">
        <v>3813</v>
      </c>
      <c r="Y130" s="105"/>
      <c r="Z130" s="176">
        <v>70043</v>
      </c>
      <c r="AA130" s="176">
        <v>67106</v>
      </c>
      <c r="AB130" s="176">
        <v>64131</v>
      </c>
      <c r="AC130" s="176">
        <v>61120</v>
      </c>
      <c r="AD130" s="194"/>
      <c r="AE130" s="176">
        <v>58070</v>
      </c>
      <c r="AF130" s="176">
        <v>51857</v>
      </c>
      <c r="AG130" s="157"/>
      <c r="AH130" s="157"/>
      <c r="AI130" s="157"/>
      <c r="AJ130" s="157"/>
      <c r="AK130" s="157"/>
      <c r="AL130" s="157"/>
      <c r="AM130" s="157"/>
      <c r="AN130" s="157"/>
      <c r="AO130" s="157"/>
      <c r="AP130" s="157"/>
      <c r="AQ130" s="140" t="s">
        <v>1789</v>
      </c>
      <c r="AR130" s="143"/>
      <c r="AS130" s="143"/>
      <c r="AV130" s="156"/>
    </row>
    <row r="131" spans="1:48" s="39" customFormat="1" x14ac:dyDescent="0.25">
      <c r="A131" s="105"/>
      <c r="B131" s="105" t="s">
        <v>515</v>
      </c>
      <c r="C131" s="105"/>
      <c r="D131" s="175"/>
      <c r="E131" s="105"/>
      <c r="F131" s="175"/>
      <c r="G131" s="105"/>
      <c r="H131" s="175"/>
      <c r="I131" s="105"/>
      <c r="J131" s="105"/>
      <c r="K131" s="105"/>
      <c r="L131" s="105"/>
      <c r="M131" s="105"/>
      <c r="N131" s="175"/>
      <c r="O131" s="179"/>
      <c r="P131" s="105"/>
      <c r="Q131" s="105"/>
      <c r="R131" s="105"/>
      <c r="S131" s="105"/>
      <c r="T131" s="105"/>
      <c r="U131" s="175"/>
      <c r="V131" s="105"/>
      <c r="W131" s="180"/>
      <c r="X131" s="183" t="s">
        <v>531</v>
      </c>
      <c r="Y131" s="105"/>
      <c r="Z131" s="176">
        <v>29082</v>
      </c>
      <c r="AA131" s="176">
        <v>23596</v>
      </c>
      <c r="AB131" s="176">
        <v>19978.62</v>
      </c>
      <c r="AC131" s="176">
        <v>17694</v>
      </c>
      <c r="AD131" s="194"/>
      <c r="AE131" s="176">
        <v>14114</v>
      </c>
      <c r="AF131" s="176">
        <v>12141</v>
      </c>
      <c r="AG131" s="157"/>
      <c r="AH131" s="157"/>
      <c r="AI131" s="157"/>
      <c r="AJ131" s="157"/>
      <c r="AK131" s="157"/>
      <c r="AL131" s="157"/>
      <c r="AM131" s="157"/>
      <c r="AN131" s="157"/>
      <c r="AO131" s="157"/>
      <c r="AP131" s="157"/>
      <c r="AQ131" s="140" t="s">
        <v>1790</v>
      </c>
      <c r="AR131" s="143"/>
      <c r="AS131" s="143"/>
      <c r="AV131" s="156"/>
    </row>
    <row r="132" spans="1:48" s="39" customFormat="1" x14ac:dyDescent="0.25">
      <c r="A132" s="105"/>
      <c r="B132" s="105" t="s">
        <v>484</v>
      </c>
      <c r="C132" s="105"/>
      <c r="D132" s="175"/>
      <c r="E132" s="105"/>
      <c r="F132" s="175"/>
      <c r="G132" s="105"/>
      <c r="H132" s="175"/>
      <c r="I132" s="105"/>
      <c r="J132" s="105"/>
      <c r="K132" s="105"/>
      <c r="L132" s="105"/>
      <c r="M132" s="105"/>
      <c r="N132" s="175"/>
      <c r="O132" s="179"/>
      <c r="P132" s="105"/>
      <c r="Q132" s="105"/>
      <c r="R132" s="105"/>
      <c r="S132" s="105"/>
      <c r="T132" s="105"/>
      <c r="U132" s="175"/>
      <c r="V132" s="105"/>
      <c r="W132" s="180"/>
      <c r="X132" s="183">
        <v>3967</v>
      </c>
      <c r="Y132" s="105"/>
      <c r="Z132" s="176">
        <v>11585</v>
      </c>
      <c r="AA132" s="176">
        <v>7732</v>
      </c>
      <c r="AB132" s="176">
        <v>3844.04</v>
      </c>
      <c r="AC132" s="176"/>
      <c r="AD132" s="194"/>
      <c r="AE132" s="176"/>
      <c r="AF132" s="176"/>
      <c r="AG132" s="157"/>
      <c r="AH132" s="157"/>
      <c r="AI132" s="157"/>
      <c r="AJ132" s="157"/>
      <c r="AK132" s="157"/>
      <c r="AL132" s="157"/>
      <c r="AM132" s="157"/>
      <c r="AN132" s="157"/>
      <c r="AO132" s="157"/>
      <c r="AP132" s="157"/>
      <c r="AQ132" s="140"/>
      <c r="AR132" s="143"/>
      <c r="AS132" s="143"/>
      <c r="AV132" s="156"/>
    </row>
    <row r="133" spans="1:48" s="39" customFormat="1" x14ac:dyDescent="0.25">
      <c r="A133" s="105"/>
      <c r="B133" s="105" t="s">
        <v>485</v>
      </c>
      <c r="C133" s="105"/>
      <c r="D133" s="175"/>
      <c r="E133" s="105"/>
      <c r="F133" s="175"/>
      <c r="G133" s="105"/>
      <c r="H133" s="175"/>
      <c r="I133" s="105"/>
      <c r="J133" s="105"/>
      <c r="K133" s="105"/>
      <c r="L133" s="105"/>
      <c r="M133" s="105"/>
      <c r="N133" s="175"/>
      <c r="O133" s="179"/>
      <c r="P133" s="105"/>
      <c r="Q133" s="105"/>
      <c r="R133" s="105"/>
      <c r="S133" s="105"/>
      <c r="T133" s="105"/>
      <c r="U133" s="175"/>
      <c r="V133" s="105"/>
      <c r="W133" s="180"/>
      <c r="X133" s="183">
        <v>260</v>
      </c>
      <c r="Y133" s="105"/>
      <c r="Z133" s="176">
        <v>8357</v>
      </c>
      <c r="AA133" s="176">
        <v>7403</v>
      </c>
      <c r="AB133" s="176">
        <v>4845</v>
      </c>
      <c r="AC133" s="176">
        <v>2733</v>
      </c>
      <c r="AD133" s="194"/>
      <c r="AE133" s="176">
        <v>2094</v>
      </c>
      <c r="AF133" s="176">
        <v>1483</v>
      </c>
      <c r="AG133" s="157"/>
      <c r="AH133" s="157"/>
      <c r="AI133" s="157"/>
      <c r="AJ133" s="157"/>
      <c r="AK133" s="157"/>
      <c r="AL133" s="157"/>
      <c r="AM133" s="157"/>
      <c r="AN133" s="157"/>
      <c r="AO133" s="157"/>
      <c r="AP133" s="157"/>
      <c r="AQ133" s="140" t="s">
        <v>1862</v>
      </c>
      <c r="AR133" s="143"/>
      <c r="AS133" s="143"/>
      <c r="AV133" s="156"/>
    </row>
    <row r="134" spans="1:48" s="39" customFormat="1" x14ac:dyDescent="0.25">
      <c r="A134" s="105"/>
      <c r="B134" s="105" t="s">
        <v>250</v>
      </c>
      <c r="C134" s="105"/>
      <c r="D134" s="175"/>
      <c r="E134" s="105"/>
      <c r="F134" s="175"/>
      <c r="G134" s="105"/>
      <c r="H134" s="175"/>
      <c r="I134" s="105"/>
      <c r="J134" s="105"/>
      <c r="K134" s="105"/>
      <c r="L134" s="105"/>
      <c r="M134" s="105"/>
      <c r="N134" s="175"/>
      <c r="O134" s="179"/>
      <c r="P134" s="105"/>
      <c r="Q134" s="105"/>
      <c r="R134" s="105"/>
      <c r="S134" s="105"/>
      <c r="T134" s="105"/>
      <c r="U134" s="175"/>
      <c r="V134" s="105"/>
      <c r="W134" s="180"/>
      <c r="X134" s="183">
        <v>5635</v>
      </c>
      <c r="Y134" s="105"/>
      <c r="Z134" s="181">
        <v>57009</v>
      </c>
      <c r="AA134" s="181">
        <v>51302</v>
      </c>
      <c r="AB134" s="181">
        <v>48452</v>
      </c>
      <c r="AC134" s="181">
        <v>40480</v>
      </c>
      <c r="AD134" s="194"/>
      <c r="AE134" s="181">
        <v>37316</v>
      </c>
      <c r="AF134" s="181">
        <v>31205</v>
      </c>
      <c r="AG134" s="157"/>
      <c r="AH134" s="157"/>
      <c r="AI134" s="157"/>
      <c r="AJ134" s="157"/>
      <c r="AK134" s="157"/>
      <c r="AL134" s="157"/>
      <c r="AM134" s="157"/>
      <c r="AN134" s="157"/>
      <c r="AO134" s="157"/>
      <c r="AP134" s="157"/>
      <c r="AQ134" s="140" t="s">
        <v>1863</v>
      </c>
      <c r="AR134" s="143"/>
      <c r="AS134" s="143"/>
      <c r="AV134" s="156"/>
    </row>
    <row r="135" spans="1:48" s="39" customFormat="1" ht="15.75" thickBot="1" x14ac:dyDescent="0.3">
      <c r="A135" s="105"/>
      <c r="B135" s="105" t="s">
        <v>528</v>
      </c>
      <c r="C135" s="105"/>
      <c r="D135" s="175"/>
      <c r="E135" s="105"/>
      <c r="F135" s="175"/>
      <c r="G135" s="105"/>
      <c r="H135" s="175"/>
      <c r="I135" s="105"/>
      <c r="J135" s="105"/>
      <c r="K135" s="105"/>
      <c r="L135" s="105"/>
      <c r="M135" s="105"/>
      <c r="N135" s="175"/>
      <c r="O135" s="179"/>
      <c r="P135" s="105"/>
      <c r="Q135" s="105"/>
      <c r="R135" s="105"/>
      <c r="S135" s="105"/>
      <c r="T135" s="105"/>
      <c r="U135" s="175"/>
      <c r="V135" s="105"/>
      <c r="W135" s="180"/>
      <c r="X135" s="183">
        <f>SUM(X119:X134)</f>
        <v>45007.64</v>
      </c>
      <c r="Y135" s="105"/>
      <c r="Z135" s="182">
        <f>SUM(Z124:Z134)</f>
        <v>518354.87</v>
      </c>
      <c r="AA135" s="182">
        <f>SUM(AA124:AA134)</f>
        <v>482476</v>
      </c>
      <c r="AB135" s="182">
        <f>SUM(AB124:AB134)</f>
        <v>473694.36</v>
      </c>
      <c r="AC135" s="182">
        <f>SUM(AC124:AC134)</f>
        <v>418611</v>
      </c>
      <c r="AD135" s="194"/>
      <c r="AE135" s="182">
        <f>SUM(AE124:AE134)</f>
        <v>346123</v>
      </c>
      <c r="AF135" s="182">
        <f>SUM(AF124:AF134)</f>
        <v>316571</v>
      </c>
      <c r="AG135" s="157"/>
      <c r="AH135" s="157"/>
      <c r="AI135" s="157"/>
      <c r="AJ135" s="157"/>
      <c r="AK135" s="157"/>
      <c r="AL135" s="157"/>
      <c r="AM135" s="157"/>
      <c r="AN135" s="157"/>
      <c r="AO135" s="157"/>
      <c r="AP135" s="157"/>
      <c r="AQ135" s="140"/>
      <c r="AR135" s="143"/>
      <c r="AS135" s="143"/>
      <c r="AV135" s="156"/>
    </row>
    <row r="136" spans="1:48" ht="15.75" hidden="1" thickTop="1" x14ac:dyDescent="0.25">
      <c r="AA136" s="121"/>
      <c r="AB136" s="121"/>
      <c r="AC136" s="121"/>
      <c r="AD136" s="188"/>
      <c r="AE136" s="121"/>
      <c r="AF136" s="121"/>
      <c r="AG136" s="121"/>
      <c r="AH136" s="121"/>
      <c r="AI136" s="121"/>
      <c r="AJ136" s="121"/>
      <c r="AK136" s="121"/>
      <c r="AL136" s="121"/>
      <c r="AM136" s="121"/>
      <c r="AN136" s="121"/>
      <c r="AO136" s="121"/>
      <c r="AP136" s="121"/>
    </row>
    <row r="137" spans="1:48" ht="15.75" hidden="1" thickTop="1" x14ac:dyDescent="0.25">
      <c r="AA137" s="121"/>
      <c r="AB137" s="121"/>
      <c r="AC137" s="121"/>
      <c r="AD137" s="188"/>
      <c r="AE137" s="121"/>
      <c r="AF137" s="121"/>
      <c r="AG137" s="121"/>
      <c r="AH137" s="121"/>
      <c r="AI137" s="121"/>
      <c r="AJ137" s="121"/>
      <c r="AK137" s="121"/>
      <c r="AL137" s="121"/>
      <c r="AM137" s="121"/>
      <c r="AN137" s="121"/>
      <c r="AO137" s="121"/>
      <c r="AP137" s="121"/>
    </row>
    <row r="138" spans="1:48" s="39" customFormat="1" ht="15.75" hidden="1" thickTop="1" x14ac:dyDescent="0.25">
      <c r="A138" s="39" t="s">
        <v>529</v>
      </c>
      <c r="D138" s="41"/>
      <c r="F138" s="41"/>
      <c r="H138" s="41"/>
      <c r="N138" s="41"/>
      <c r="O138" s="155"/>
      <c r="U138" s="41"/>
      <c r="W138" s="156"/>
      <c r="Z138" s="140"/>
      <c r="AA138" s="157"/>
      <c r="AB138" s="157">
        <v>3</v>
      </c>
      <c r="AC138" s="157">
        <v>2</v>
      </c>
      <c r="AD138" s="193"/>
      <c r="AE138" s="157">
        <v>2</v>
      </c>
      <c r="AF138" s="157">
        <v>2</v>
      </c>
      <c r="AG138" s="157">
        <v>2</v>
      </c>
      <c r="AH138" s="157">
        <v>2</v>
      </c>
      <c r="AI138" s="157">
        <v>3</v>
      </c>
      <c r="AJ138" s="157">
        <v>2</v>
      </c>
      <c r="AK138" s="157"/>
      <c r="AL138" s="157"/>
      <c r="AM138" s="157"/>
      <c r="AN138" s="157"/>
      <c r="AO138" s="157"/>
      <c r="AP138" s="157"/>
      <c r="AQ138" s="140"/>
      <c r="AR138" s="143"/>
      <c r="AS138" s="143"/>
      <c r="AV138" s="156"/>
    </row>
    <row r="139" spans="1:48" ht="15.75" hidden="1" thickTop="1" x14ac:dyDescent="0.25">
      <c r="AA139" s="121"/>
      <c r="AB139" s="121"/>
      <c r="AC139" s="121"/>
      <c r="AD139" s="188"/>
      <c r="AE139" s="121"/>
      <c r="AF139" s="121"/>
      <c r="AG139" s="121"/>
      <c r="AH139" s="121"/>
      <c r="AI139" s="121"/>
      <c r="AJ139" s="121"/>
      <c r="AK139" s="121"/>
      <c r="AL139" s="121"/>
      <c r="AM139" s="121"/>
      <c r="AN139" s="121"/>
      <c r="AO139" s="121"/>
      <c r="AP139" s="121"/>
    </row>
    <row r="140" spans="1:48" ht="15.75" thickTop="1" x14ac:dyDescent="0.25">
      <c r="B140" s="105" t="s">
        <v>1797</v>
      </c>
      <c r="Z140" s="176">
        <v>50000</v>
      </c>
      <c r="AA140" s="176">
        <v>62500</v>
      </c>
      <c r="AB140" s="176">
        <v>68750</v>
      </c>
      <c r="AC140" s="176">
        <v>68750</v>
      </c>
      <c r="AD140" s="187"/>
      <c r="AE140" s="176">
        <v>68750</v>
      </c>
      <c r="AF140" s="176">
        <v>68750</v>
      </c>
    </row>
    <row r="142" spans="1:48" ht="17.25" x14ac:dyDescent="0.25">
      <c r="A142" s="202" t="s">
        <v>1767</v>
      </c>
      <c r="B142" t="s">
        <v>1768</v>
      </c>
    </row>
  </sheetData>
  <mergeCells count="4">
    <mergeCell ref="I3:L3"/>
    <mergeCell ref="P3:T3"/>
    <mergeCell ref="X3:AQ3"/>
    <mergeCell ref="AE2:AF2"/>
  </mergeCells>
  <phoneticPr fontId="18" type="noConversion"/>
  <pageMargins left="0.7" right="0.7" top="0.75" bottom="0.75" header="0.3" footer="0.3"/>
  <pageSetup scale="38" fitToHeight="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D7DF-6EC6-4677-8498-869833904A14}">
  <sheetPr>
    <pageSetUpPr fitToPage="1"/>
  </sheetPr>
  <dimension ref="A1:AO55"/>
  <sheetViews>
    <sheetView zoomScale="94" workbookViewId="0">
      <pane xSplit="19" ySplit="4" topLeftCell="T13"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24.7109375" customWidth="1"/>
    <col min="3" max="10" width="11.7109375" customWidth="1"/>
    <col min="11" max="11" width="2.7109375" style="161" customWidth="1"/>
    <col min="12" max="12" width="10.7109375" hidden="1" customWidth="1"/>
    <col min="13" max="13" width="6" hidden="1" customWidth="1"/>
    <col min="14" max="14" width="10.7109375" hidden="1" customWidth="1"/>
    <col min="15" max="15" width="6.140625" hidden="1" customWidth="1"/>
    <col min="16" max="16" width="10.7109375" hidden="1" customWidth="1"/>
    <col min="17" max="17" width="6.140625" hidden="1" customWidth="1"/>
    <col min="18" max="20" width="10.7109375" hidden="1" customWidth="1"/>
    <col min="21" max="21" width="6.140625" hidden="1" customWidth="1"/>
    <col min="22" max="22" width="10.7109375" hidden="1" customWidth="1"/>
    <col min="23" max="23" width="6.140625" hidden="1" customWidth="1"/>
    <col min="24" max="25" width="10.7109375" hidden="1" customWidth="1"/>
    <col min="26" max="26" width="9.140625" hidden="1" customWidth="1"/>
    <col min="27" max="27" width="12.28515625" hidden="1" customWidth="1"/>
    <col min="28" max="28" width="10" hidden="1" customWidth="1"/>
    <col min="29" max="29" width="9.140625" hidden="1" customWidth="1"/>
    <col min="30" max="30" width="9.28515625" style="104" hidden="1" customWidth="1"/>
    <col min="31" max="31" width="9.28515625" style="108" hidden="1" customWidth="1"/>
    <col min="32" max="32" width="10.7109375" style="108" hidden="1" customWidth="1"/>
    <col min="33" max="33" width="11.7109375" style="108" hidden="1" customWidth="1"/>
    <col min="34" max="34" width="43.85546875" style="108" hidden="1" customWidth="1"/>
    <col min="35" max="35" width="9.140625" style="108" customWidth="1"/>
    <col min="36" max="36" width="9.140625" style="108" hidden="1" customWidth="1"/>
    <col min="37" max="37" width="2" style="147" hidden="1" customWidth="1"/>
    <col min="38" max="39" width="10.7109375" hidden="1" customWidth="1"/>
    <col min="40" max="40" width="10.85546875" hidden="1" customWidth="1"/>
  </cols>
  <sheetData>
    <row r="1" spans="1:40" x14ac:dyDescent="0.25">
      <c r="A1" t="s">
        <v>146</v>
      </c>
    </row>
    <row r="2" spans="1:40" x14ac:dyDescent="0.25">
      <c r="A2" t="s">
        <v>260</v>
      </c>
      <c r="X2" s="11"/>
      <c r="Y2" s="12"/>
      <c r="Z2" s="12"/>
      <c r="AA2" s="12"/>
      <c r="AB2" s="54"/>
    </row>
    <row r="3" spans="1:40" x14ac:dyDescent="0.25">
      <c r="L3" s="253">
        <v>2022</v>
      </c>
      <c r="M3" s="253"/>
      <c r="N3" s="253"/>
      <c r="O3" s="253"/>
      <c r="P3" s="253"/>
      <c r="Q3" s="253"/>
      <c r="R3" s="253"/>
      <c r="S3" s="253"/>
      <c r="T3" s="253"/>
      <c r="U3" s="253"/>
      <c r="V3" s="253"/>
      <c r="W3" s="253"/>
      <c r="X3" s="261" t="s">
        <v>532</v>
      </c>
      <c r="Y3" s="253"/>
      <c r="Z3" s="253"/>
      <c r="AA3" s="253"/>
      <c r="AB3" s="262"/>
      <c r="AE3" s="108" t="s">
        <v>533</v>
      </c>
    </row>
    <row r="4" spans="1:40" s="33" customFormat="1" ht="30" x14ac:dyDescent="0.25">
      <c r="C4" s="109" t="s">
        <v>282</v>
      </c>
      <c r="D4" s="109" t="s">
        <v>283</v>
      </c>
      <c r="E4" s="109" t="s">
        <v>494</v>
      </c>
      <c r="F4" s="109" t="s">
        <v>495</v>
      </c>
      <c r="G4" s="109" t="s">
        <v>496</v>
      </c>
      <c r="H4" s="109" t="s">
        <v>497</v>
      </c>
      <c r="I4" s="109" t="s">
        <v>498</v>
      </c>
      <c r="J4" s="109" t="s">
        <v>499</v>
      </c>
      <c r="K4" s="162"/>
      <c r="L4" s="34" t="s">
        <v>187</v>
      </c>
      <c r="M4" s="34"/>
      <c r="N4" s="34" t="s">
        <v>188</v>
      </c>
      <c r="O4" s="34"/>
      <c r="P4" s="34" t="s">
        <v>189</v>
      </c>
      <c r="Q4" s="34"/>
      <c r="R4" s="34" t="s">
        <v>289</v>
      </c>
      <c r="S4" s="34" t="s">
        <v>286</v>
      </c>
      <c r="T4" s="34" t="s">
        <v>287</v>
      </c>
      <c r="U4" s="34"/>
      <c r="V4" s="34" t="s">
        <v>15</v>
      </c>
      <c r="W4" s="34"/>
      <c r="X4" s="55" t="s">
        <v>187</v>
      </c>
      <c r="Y4" s="34" t="s">
        <v>188</v>
      </c>
      <c r="Z4" s="34" t="s">
        <v>189</v>
      </c>
      <c r="AA4" s="34" t="s">
        <v>190</v>
      </c>
      <c r="AB4" s="56">
        <v>2023</v>
      </c>
      <c r="AC4" s="33" t="s">
        <v>463</v>
      </c>
      <c r="AD4" s="120" t="s">
        <v>479</v>
      </c>
      <c r="AE4" s="120" t="s">
        <v>189</v>
      </c>
      <c r="AF4" s="120" t="s">
        <v>190</v>
      </c>
      <c r="AG4" s="131" t="s">
        <v>471</v>
      </c>
      <c r="AH4" s="132" t="s">
        <v>468</v>
      </c>
      <c r="AI4" s="133"/>
      <c r="AJ4" s="133" t="s">
        <v>478</v>
      </c>
      <c r="AK4" s="148"/>
      <c r="AL4" s="33" t="s">
        <v>480</v>
      </c>
      <c r="AM4" s="33" t="s">
        <v>481</v>
      </c>
      <c r="AN4" s="33" t="s">
        <v>482</v>
      </c>
    </row>
    <row r="5" spans="1:40" ht="20.100000000000001" customHeight="1" x14ac:dyDescent="0.25">
      <c r="A5" t="s">
        <v>258</v>
      </c>
      <c r="L5" s="8"/>
      <c r="M5" s="8"/>
      <c r="N5" s="8"/>
      <c r="O5" s="8"/>
      <c r="P5" s="8"/>
      <c r="Q5" s="8"/>
      <c r="R5" s="8"/>
      <c r="S5" s="8"/>
      <c r="T5" s="8"/>
      <c r="U5" s="8"/>
      <c r="V5" s="8"/>
      <c r="W5" s="8"/>
      <c r="X5" s="57"/>
      <c r="AB5" s="58"/>
      <c r="AD5" s="108"/>
      <c r="AG5" s="134"/>
    </row>
    <row r="6" spans="1:40" ht="20.100000000000001" customHeight="1" x14ac:dyDescent="0.25">
      <c r="B6" t="s">
        <v>265</v>
      </c>
      <c r="L6" s="8">
        <v>48044</v>
      </c>
      <c r="M6" s="8"/>
      <c r="N6" s="8">
        <v>36502</v>
      </c>
      <c r="O6" s="8"/>
      <c r="P6" s="8">
        <v>16487</v>
      </c>
      <c r="Q6" s="8"/>
      <c r="R6" s="8">
        <v>32732</v>
      </c>
      <c r="S6" s="8"/>
      <c r="T6" s="8">
        <f>SUM(R6:S6)</f>
        <v>32732</v>
      </c>
      <c r="U6" s="8"/>
      <c r="V6" s="8">
        <f>L6+N6+P6+T6</f>
        <v>133765</v>
      </c>
      <c r="W6" s="8"/>
      <c r="X6" s="57">
        <f>0.2*$AB6</f>
        <v>29428.300000000003</v>
      </c>
      <c r="Y6" s="8">
        <f>0.22*$AB6</f>
        <v>32371.13</v>
      </c>
      <c r="Z6" s="8">
        <f>0.23*$AB6</f>
        <v>33842.544999999998</v>
      </c>
      <c r="AA6" s="8">
        <f>0.35*$AB6</f>
        <v>51499.524999999994</v>
      </c>
      <c r="AB6" s="59">
        <f>V6*1.1</f>
        <v>147141.5</v>
      </c>
      <c r="AC6" s="8">
        <v>45561</v>
      </c>
      <c r="AD6" s="121">
        <v>34704</v>
      </c>
      <c r="AE6" s="121">
        <v>25000</v>
      </c>
      <c r="AF6" s="121">
        <v>40000</v>
      </c>
      <c r="AG6" s="135">
        <f>SUM(AC6:AF6)</f>
        <v>145265</v>
      </c>
      <c r="AH6" s="108" t="s">
        <v>454</v>
      </c>
      <c r="AJ6" s="121">
        <v>30816</v>
      </c>
      <c r="AL6" s="8">
        <f>L6+N6</f>
        <v>84546</v>
      </c>
      <c r="AM6" s="8">
        <f>AC6+AD6</f>
        <v>80265</v>
      </c>
      <c r="AN6" s="8">
        <f>X6+Y6</f>
        <v>61799.430000000008</v>
      </c>
    </row>
    <row r="7" spans="1:40" ht="20.100000000000001" customHeight="1" x14ac:dyDescent="0.25">
      <c r="B7" t="s">
        <v>292</v>
      </c>
      <c r="L7" s="8"/>
      <c r="M7" s="8"/>
      <c r="N7" s="8"/>
      <c r="O7" s="8"/>
      <c r="P7" s="8"/>
      <c r="Q7" s="8"/>
      <c r="R7" s="8"/>
      <c r="S7" s="8"/>
      <c r="T7" s="8"/>
      <c r="U7" s="8"/>
      <c r="V7" s="8"/>
      <c r="W7" s="8"/>
      <c r="X7" s="57">
        <v>5000</v>
      </c>
      <c r="Y7" s="8">
        <v>7500</v>
      </c>
      <c r="Z7" s="8">
        <v>7500</v>
      </c>
      <c r="AA7" s="8">
        <v>10000</v>
      </c>
      <c r="AB7" s="59">
        <f t="shared" ref="AB7" si="0">SUM(X7:AA7)</f>
        <v>30000</v>
      </c>
      <c r="AC7" s="8"/>
      <c r="AD7" s="121"/>
      <c r="AE7" s="121">
        <v>2500</v>
      </c>
      <c r="AF7" s="121">
        <v>5000</v>
      </c>
      <c r="AG7" s="135">
        <f t="shared" ref="AG7:AG21" si="1">SUM(AC7:AF7)</f>
        <v>7500</v>
      </c>
      <c r="AH7" s="108" t="s">
        <v>454</v>
      </c>
      <c r="AJ7" s="121">
        <v>2500</v>
      </c>
      <c r="AL7" s="8">
        <f t="shared" ref="AL7:AL41" si="2">L7+N7</f>
        <v>0</v>
      </c>
      <c r="AM7" s="8">
        <f t="shared" ref="AM7:AM41" si="3">AC7+AD7</f>
        <v>0</v>
      </c>
      <c r="AN7" s="8">
        <f t="shared" ref="AN7:AN41" si="4">X7+Y7</f>
        <v>12500</v>
      </c>
    </row>
    <row r="8" spans="1:40" ht="20.100000000000001" customHeight="1" x14ac:dyDescent="0.25">
      <c r="B8" t="s">
        <v>266</v>
      </c>
      <c r="L8" s="8">
        <v>54013</v>
      </c>
      <c r="M8" s="8"/>
      <c r="N8" s="8">
        <v>46386</v>
      </c>
      <c r="O8" s="8"/>
      <c r="P8" s="8">
        <v>29570</v>
      </c>
      <c r="Q8" s="8"/>
      <c r="R8" s="8">
        <v>46297</v>
      </c>
      <c r="S8" s="8"/>
      <c r="T8" s="8">
        <f t="shared" ref="T8:T21" si="5">SUM(R8:S8)</f>
        <v>46297</v>
      </c>
      <c r="U8" s="8"/>
      <c r="V8" s="8">
        <f t="shared" ref="V8:V16" si="6">L8+N8+P8+T8</f>
        <v>176266</v>
      </c>
      <c r="W8" s="8"/>
      <c r="X8" s="57">
        <f>0.2*$AB8</f>
        <v>38778.520000000004</v>
      </c>
      <c r="Y8" s="8">
        <f>0.22*$AB8</f>
        <v>42656.372000000003</v>
      </c>
      <c r="Z8" s="8">
        <f>0.23*$AB8</f>
        <v>44595.298000000003</v>
      </c>
      <c r="AA8" s="8">
        <f>0.35*$AB8</f>
        <v>67862.41</v>
      </c>
      <c r="AB8" s="59">
        <f>V8*1.1</f>
        <v>193892.6</v>
      </c>
      <c r="AC8" s="8">
        <v>85717</v>
      </c>
      <c r="AD8" s="121">
        <v>60107</v>
      </c>
      <c r="AE8" s="121">
        <v>50000</v>
      </c>
      <c r="AF8" s="121">
        <v>75000</v>
      </c>
      <c r="AG8" s="135">
        <f t="shared" si="1"/>
        <v>270824</v>
      </c>
      <c r="AH8" s="108" t="s">
        <v>455</v>
      </c>
      <c r="AJ8" s="121">
        <v>62491</v>
      </c>
      <c r="AL8" s="8">
        <f t="shared" si="2"/>
        <v>100399</v>
      </c>
      <c r="AM8" s="8">
        <f t="shared" si="3"/>
        <v>145824</v>
      </c>
      <c r="AN8" s="8">
        <f t="shared" si="4"/>
        <v>81434.892000000007</v>
      </c>
    </row>
    <row r="9" spans="1:40" ht="20.100000000000001" customHeight="1" x14ac:dyDescent="0.25">
      <c r="B9" t="s">
        <v>534</v>
      </c>
      <c r="L9" s="8"/>
      <c r="M9" s="8"/>
      <c r="N9" s="8"/>
      <c r="O9" s="8"/>
      <c r="P9" s="8"/>
      <c r="Q9" s="8"/>
      <c r="R9" s="8"/>
      <c r="S9" s="8"/>
      <c r="T9" s="8"/>
      <c r="U9" s="8"/>
      <c r="V9" s="8"/>
      <c r="W9" s="8"/>
      <c r="X9" s="57"/>
      <c r="Y9" s="8">
        <v>20000</v>
      </c>
      <c r="Z9" s="8">
        <v>15000</v>
      </c>
      <c r="AA9" s="8">
        <v>20000</v>
      </c>
      <c r="AB9" s="59">
        <f>SUM(X9:AA9)</f>
        <v>55000</v>
      </c>
      <c r="AC9" s="8"/>
      <c r="AD9" s="121"/>
      <c r="AE9" s="121">
        <v>30000</v>
      </c>
      <c r="AF9" s="121">
        <v>30000</v>
      </c>
      <c r="AG9" s="135">
        <f t="shared" si="1"/>
        <v>60000</v>
      </c>
      <c r="AH9" s="108" t="s">
        <v>455</v>
      </c>
      <c r="AJ9" s="121">
        <f t="shared" ref="AJ9:AJ14" si="7">AE9</f>
        <v>30000</v>
      </c>
      <c r="AL9" s="8">
        <f t="shared" si="2"/>
        <v>0</v>
      </c>
      <c r="AM9" s="8">
        <f t="shared" si="3"/>
        <v>0</v>
      </c>
      <c r="AN9" s="8">
        <f t="shared" si="4"/>
        <v>20000</v>
      </c>
    </row>
    <row r="10" spans="1:40" ht="20.100000000000001" customHeight="1" x14ac:dyDescent="0.25">
      <c r="B10" t="s">
        <v>472</v>
      </c>
      <c r="L10" s="8"/>
      <c r="M10" s="8"/>
      <c r="N10" s="8"/>
      <c r="O10" s="8"/>
      <c r="P10" s="8"/>
      <c r="Q10" s="8"/>
      <c r="R10" s="8"/>
      <c r="S10" s="8"/>
      <c r="T10" s="8"/>
      <c r="U10" s="8"/>
      <c r="V10" s="8"/>
      <c r="W10" s="8"/>
      <c r="X10" s="57"/>
      <c r="Y10" s="8"/>
      <c r="Z10" s="8"/>
      <c r="AA10" s="8"/>
      <c r="AB10" s="59"/>
      <c r="AC10" s="8"/>
      <c r="AD10" s="121"/>
      <c r="AE10" s="121"/>
      <c r="AF10" s="121">
        <v>122000</v>
      </c>
      <c r="AG10" s="135">
        <f t="shared" si="1"/>
        <v>122000</v>
      </c>
      <c r="AJ10" s="121"/>
      <c r="AL10" s="8">
        <f t="shared" si="2"/>
        <v>0</v>
      </c>
      <c r="AM10" s="8">
        <f t="shared" si="3"/>
        <v>0</v>
      </c>
      <c r="AN10" s="8">
        <f t="shared" si="4"/>
        <v>0</v>
      </c>
    </row>
    <row r="11" spans="1:40" ht="20.100000000000001" customHeight="1" x14ac:dyDescent="0.25">
      <c r="B11" t="s">
        <v>473</v>
      </c>
      <c r="L11" s="8"/>
      <c r="M11" s="8"/>
      <c r="N11" s="8"/>
      <c r="O11" s="8"/>
      <c r="P11" s="8"/>
      <c r="Q11" s="8"/>
      <c r="R11" s="8"/>
      <c r="S11" s="8"/>
      <c r="T11" s="8"/>
      <c r="U11" s="8"/>
      <c r="V11" s="8"/>
      <c r="W11" s="8"/>
      <c r="X11" s="57"/>
      <c r="Y11" s="8"/>
      <c r="Z11" s="8"/>
      <c r="AA11" s="8"/>
      <c r="AB11" s="59"/>
      <c r="AC11" s="8"/>
      <c r="AD11" s="121"/>
      <c r="AE11" s="121"/>
      <c r="AF11" s="121">
        <v>85000</v>
      </c>
      <c r="AG11" s="135">
        <f t="shared" si="1"/>
        <v>85000</v>
      </c>
      <c r="AJ11" s="121"/>
      <c r="AL11" s="8">
        <f t="shared" si="2"/>
        <v>0</v>
      </c>
      <c r="AM11" s="8">
        <f t="shared" si="3"/>
        <v>0</v>
      </c>
      <c r="AN11" s="8">
        <f t="shared" si="4"/>
        <v>0</v>
      </c>
    </row>
    <row r="12" spans="1:40" ht="20.100000000000001" customHeight="1" x14ac:dyDescent="0.25">
      <c r="B12" t="s">
        <v>293</v>
      </c>
      <c r="L12" s="8"/>
      <c r="M12" s="8"/>
      <c r="N12" s="8"/>
      <c r="O12" s="8"/>
      <c r="P12" s="8"/>
      <c r="Q12" s="8"/>
      <c r="R12" s="8"/>
      <c r="S12" s="8"/>
      <c r="T12" s="8"/>
      <c r="U12" s="8"/>
      <c r="V12" s="8"/>
      <c r="W12" s="8"/>
      <c r="X12" s="57"/>
      <c r="Y12" s="8">
        <v>20000</v>
      </c>
      <c r="Z12" s="8">
        <v>15000</v>
      </c>
      <c r="AA12" s="8">
        <v>20000</v>
      </c>
      <c r="AB12" s="59">
        <f>SUM(X12:AA12)</f>
        <v>55000</v>
      </c>
      <c r="AC12" s="8"/>
      <c r="AD12" s="121"/>
      <c r="AE12" s="121"/>
      <c r="AF12" s="121"/>
      <c r="AG12" s="135">
        <f t="shared" si="1"/>
        <v>0</v>
      </c>
      <c r="AJ12" s="121"/>
      <c r="AL12" s="8">
        <f t="shared" si="2"/>
        <v>0</v>
      </c>
      <c r="AM12" s="8">
        <f t="shared" si="3"/>
        <v>0</v>
      </c>
      <c r="AN12" s="8">
        <f t="shared" si="4"/>
        <v>20000</v>
      </c>
    </row>
    <row r="13" spans="1:40" ht="20.100000000000001" customHeight="1" x14ac:dyDescent="0.25">
      <c r="B13" t="s">
        <v>535</v>
      </c>
      <c r="L13" s="8"/>
      <c r="M13" s="8"/>
      <c r="N13" s="8"/>
      <c r="O13" s="8"/>
      <c r="P13" s="8">
        <v>1315</v>
      </c>
      <c r="Q13" s="8"/>
      <c r="R13" s="8">
        <v>5404</v>
      </c>
      <c r="S13" s="8"/>
      <c r="T13" s="8">
        <f t="shared" si="5"/>
        <v>5404</v>
      </c>
      <c r="U13" s="8"/>
      <c r="V13" s="8">
        <f t="shared" si="6"/>
        <v>6719</v>
      </c>
      <c r="W13" s="8"/>
      <c r="X13" s="57">
        <f>0.2*$AB13</f>
        <v>1478.1800000000003</v>
      </c>
      <c r="Y13" s="8">
        <f>0.22*$AB13</f>
        <v>1625.998</v>
      </c>
      <c r="Z13" s="8">
        <f>0.23*$AB13</f>
        <v>1699.9070000000002</v>
      </c>
      <c r="AA13" s="8">
        <f>0.35*$AB13</f>
        <v>2586.8150000000001</v>
      </c>
      <c r="AB13" s="59">
        <f>V13*1.1</f>
        <v>7390.9000000000005</v>
      </c>
      <c r="AC13" s="8">
        <v>15798</v>
      </c>
      <c r="AD13" s="121">
        <v>0</v>
      </c>
      <c r="AE13" s="121">
        <v>7500</v>
      </c>
      <c r="AF13" s="121">
        <v>10000</v>
      </c>
      <c r="AG13" s="135">
        <f t="shared" si="1"/>
        <v>33298</v>
      </c>
      <c r="AJ13" s="121">
        <v>7500</v>
      </c>
      <c r="AL13" s="8">
        <f t="shared" si="2"/>
        <v>0</v>
      </c>
      <c r="AM13" s="8">
        <f t="shared" si="3"/>
        <v>15798</v>
      </c>
      <c r="AN13" s="8">
        <f t="shared" si="4"/>
        <v>3104.1780000000003</v>
      </c>
    </row>
    <row r="14" spans="1:40" ht="20.100000000000001" customHeight="1" x14ac:dyDescent="0.25">
      <c r="B14" t="s">
        <v>294</v>
      </c>
      <c r="L14" s="8"/>
      <c r="M14" s="8"/>
      <c r="N14" s="8"/>
      <c r="O14" s="8"/>
      <c r="P14" s="8"/>
      <c r="Q14" s="8"/>
      <c r="R14" s="8"/>
      <c r="S14" s="8"/>
      <c r="T14" s="8"/>
      <c r="U14" s="8"/>
      <c r="V14" s="8"/>
      <c r="W14" s="8"/>
      <c r="X14" s="57"/>
      <c r="Y14" s="8">
        <v>20000</v>
      </c>
      <c r="Z14" s="8">
        <v>25000</v>
      </c>
      <c r="AA14" s="8">
        <v>40000</v>
      </c>
      <c r="AB14" s="59">
        <f>SUM(X14:AA14)</f>
        <v>85000</v>
      </c>
      <c r="AC14" s="8"/>
      <c r="AD14" s="121">
        <v>0</v>
      </c>
      <c r="AE14" s="121">
        <f>Z14</f>
        <v>25000</v>
      </c>
      <c r="AF14" s="121">
        <f>AA14</f>
        <v>40000</v>
      </c>
      <c r="AG14" s="135">
        <f t="shared" si="1"/>
        <v>65000</v>
      </c>
      <c r="AH14" s="108" t="s">
        <v>456</v>
      </c>
      <c r="AJ14" s="121">
        <f t="shared" si="7"/>
        <v>25000</v>
      </c>
      <c r="AL14" s="8">
        <f t="shared" si="2"/>
        <v>0</v>
      </c>
      <c r="AM14" s="8">
        <f t="shared" si="3"/>
        <v>0</v>
      </c>
      <c r="AN14" s="8">
        <f t="shared" si="4"/>
        <v>20000</v>
      </c>
    </row>
    <row r="15" spans="1:40" ht="20.100000000000001" customHeight="1" x14ac:dyDescent="0.25">
      <c r="B15" t="s">
        <v>267</v>
      </c>
      <c r="L15" s="8">
        <v>13584</v>
      </c>
      <c r="M15" s="8"/>
      <c r="N15" s="8">
        <v>26729</v>
      </c>
      <c r="O15" s="8"/>
      <c r="P15" s="8">
        <v>13489</v>
      </c>
      <c r="Q15" s="8"/>
      <c r="R15" s="8">
        <v>36080</v>
      </c>
      <c r="S15" s="8"/>
      <c r="T15" s="8">
        <f t="shared" si="5"/>
        <v>36080</v>
      </c>
      <c r="U15" s="8"/>
      <c r="V15" s="8">
        <f t="shared" si="6"/>
        <v>89882</v>
      </c>
      <c r="W15" s="8"/>
      <c r="X15" s="57">
        <f>0.2*$AB15</f>
        <v>21571.68</v>
      </c>
      <c r="Y15" s="8">
        <f>0.22*$AB15</f>
        <v>23728.847999999998</v>
      </c>
      <c r="Z15" s="8">
        <f>0.23*$AB15</f>
        <v>24807.432000000001</v>
      </c>
      <c r="AA15" s="8">
        <f>0.35*$AB15</f>
        <v>37750.439999999995</v>
      </c>
      <c r="AB15" s="59">
        <f>V15*1.2</f>
        <v>107858.4</v>
      </c>
      <c r="AC15" s="8">
        <v>12261</v>
      </c>
      <c r="AD15" s="121">
        <v>0</v>
      </c>
      <c r="AE15" s="121">
        <v>15000</v>
      </c>
      <c r="AF15" s="121">
        <v>30000</v>
      </c>
      <c r="AG15" s="135">
        <f t="shared" si="1"/>
        <v>57261</v>
      </c>
      <c r="AH15" s="108" t="s">
        <v>454</v>
      </c>
      <c r="AJ15" s="121">
        <v>10000</v>
      </c>
      <c r="AL15" s="8">
        <f t="shared" si="2"/>
        <v>40313</v>
      </c>
      <c r="AM15" s="8">
        <f t="shared" si="3"/>
        <v>12261</v>
      </c>
      <c r="AN15" s="8">
        <f t="shared" si="4"/>
        <v>45300.527999999998</v>
      </c>
    </row>
    <row r="16" spans="1:40" ht="20.100000000000001" customHeight="1" x14ac:dyDescent="0.25">
      <c r="B16" t="s">
        <v>277</v>
      </c>
      <c r="L16" s="8"/>
      <c r="M16" s="8"/>
      <c r="N16" s="8"/>
      <c r="O16" s="8"/>
      <c r="P16" s="8">
        <v>15288</v>
      </c>
      <c r="Q16" s="8"/>
      <c r="R16" s="8">
        <v>15852</v>
      </c>
      <c r="S16" s="8"/>
      <c r="T16" s="8">
        <f t="shared" si="5"/>
        <v>15852</v>
      </c>
      <c r="U16" s="8"/>
      <c r="V16" s="8">
        <f t="shared" si="6"/>
        <v>31140</v>
      </c>
      <c r="W16" s="8"/>
      <c r="X16" s="57">
        <v>10000</v>
      </c>
      <c r="Y16" s="8">
        <v>15000</v>
      </c>
      <c r="Z16" s="8">
        <v>15000</v>
      </c>
      <c r="AA16" s="8">
        <v>20000</v>
      </c>
      <c r="AB16" s="59">
        <f>SUM(X16:AA16)</f>
        <v>60000</v>
      </c>
      <c r="AC16" s="8">
        <v>0</v>
      </c>
      <c r="AD16" s="121"/>
      <c r="AE16" s="121">
        <v>15000</v>
      </c>
      <c r="AF16" s="121">
        <v>30000</v>
      </c>
      <c r="AG16" s="135">
        <f t="shared" si="1"/>
        <v>45000</v>
      </c>
      <c r="AH16" s="108" t="s">
        <v>454</v>
      </c>
      <c r="AJ16" s="121"/>
      <c r="AL16" s="8">
        <f t="shared" si="2"/>
        <v>0</v>
      </c>
      <c r="AM16" s="8">
        <f t="shared" si="3"/>
        <v>0</v>
      </c>
      <c r="AN16" s="8">
        <f t="shared" si="4"/>
        <v>25000</v>
      </c>
    </row>
    <row r="17" spans="1:40" ht="20.100000000000001" customHeight="1" x14ac:dyDescent="0.25">
      <c r="B17" t="s">
        <v>469</v>
      </c>
      <c r="L17" s="8"/>
      <c r="M17" s="8"/>
      <c r="N17" s="8"/>
      <c r="O17" s="8"/>
      <c r="P17" s="8"/>
      <c r="Q17" s="8"/>
      <c r="R17" s="8"/>
      <c r="S17" s="8"/>
      <c r="T17" s="8"/>
      <c r="U17" s="8"/>
      <c r="V17" s="8"/>
      <c r="W17" s="8"/>
      <c r="X17" s="57"/>
      <c r="Y17" s="8"/>
      <c r="Z17" s="8"/>
      <c r="AA17" s="8"/>
      <c r="AB17" s="59"/>
      <c r="AC17" s="8">
        <v>5460</v>
      </c>
      <c r="AD17" s="121">
        <v>6510</v>
      </c>
      <c r="AE17" s="121">
        <v>4000</v>
      </c>
      <c r="AF17" s="121">
        <v>6000</v>
      </c>
      <c r="AG17" s="135">
        <f t="shared" si="1"/>
        <v>21970</v>
      </c>
      <c r="AJ17" s="121">
        <v>5585</v>
      </c>
      <c r="AL17" s="8">
        <f t="shared" si="2"/>
        <v>0</v>
      </c>
      <c r="AM17" s="8">
        <f t="shared" si="3"/>
        <v>11970</v>
      </c>
      <c r="AN17" s="8">
        <f t="shared" si="4"/>
        <v>0</v>
      </c>
    </row>
    <row r="18" spans="1:40" ht="20.100000000000001" customHeight="1" x14ac:dyDescent="0.25">
      <c r="B18" t="s">
        <v>474</v>
      </c>
      <c r="L18" s="8"/>
      <c r="M18" s="8"/>
      <c r="N18" s="8"/>
      <c r="O18" s="8"/>
      <c r="P18" s="8"/>
      <c r="Q18" s="8"/>
      <c r="R18" s="8"/>
      <c r="S18" s="8"/>
      <c r="T18" s="8"/>
      <c r="U18" s="8"/>
      <c r="V18" s="8"/>
      <c r="W18" s="8"/>
      <c r="X18" s="57"/>
      <c r="Y18" s="8"/>
      <c r="Z18" s="8"/>
      <c r="AA18" s="8"/>
      <c r="AB18" s="59"/>
      <c r="AC18" s="8"/>
      <c r="AD18" s="121">
        <v>3517</v>
      </c>
      <c r="AE18" s="121">
        <v>3500</v>
      </c>
      <c r="AF18" s="121">
        <v>7000</v>
      </c>
      <c r="AG18" s="135">
        <f t="shared" si="1"/>
        <v>14017</v>
      </c>
      <c r="AJ18" s="121"/>
      <c r="AL18" s="8">
        <f t="shared" si="2"/>
        <v>0</v>
      </c>
      <c r="AM18" s="8">
        <f t="shared" si="3"/>
        <v>3517</v>
      </c>
      <c r="AN18" s="8">
        <f t="shared" si="4"/>
        <v>0</v>
      </c>
    </row>
    <row r="19" spans="1:40" ht="20.100000000000001" customHeight="1" x14ac:dyDescent="0.25">
      <c r="B19" t="s">
        <v>475</v>
      </c>
      <c r="L19" s="8"/>
      <c r="M19" s="8"/>
      <c r="N19" s="8"/>
      <c r="O19" s="8"/>
      <c r="P19" s="8"/>
      <c r="Q19" s="8"/>
      <c r="R19" s="8"/>
      <c r="S19" s="8"/>
      <c r="T19" s="8"/>
      <c r="U19" s="8"/>
      <c r="V19" s="8"/>
      <c r="W19" s="8"/>
      <c r="X19" s="57"/>
      <c r="Y19" s="8"/>
      <c r="Z19" s="8"/>
      <c r="AA19" s="8"/>
      <c r="AB19" s="59"/>
      <c r="AC19" s="8"/>
      <c r="AD19" s="121">
        <v>16730</v>
      </c>
      <c r="AE19" s="121">
        <v>15000</v>
      </c>
      <c r="AF19" s="121">
        <v>15000</v>
      </c>
      <c r="AG19" s="135">
        <f t="shared" si="1"/>
        <v>46730</v>
      </c>
      <c r="AJ19" s="121"/>
      <c r="AL19" s="8">
        <f t="shared" si="2"/>
        <v>0</v>
      </c>
      <c r="AM19" s="8">
        <f t="shared" si="3"/>
        <v>16730</v>
      </c>
      <c r="AN19" s="8">
        <f t="shared" si="4"/>
        <v>0</v>
      </c>
    </row>
    <row r="20" spans="1:40" ht="20.100000000000001" customHeight="1" x14ac:dyDescent="0.25">
      <c r="B20" t="s">
        <v>476</v>
      </c>
      <c r="L20" s="8"/>
      <c r="M20" s="8"/>
      <c r="N20" s="8"/>
      <c r="O20" s="8"/>
      <c r="P20" s="8"/>
      <c r="Q20" s="8"/>
      <c r="R20" s="8"/>
      <c r="S20" s="8"/>
      <c r="T20" s="8"/>
      <c r="U20" s="8"/>
      <c r="V20" s="8"/>
      <c r="W20" s="8"/>
      <c r="X20" s="57"/>
      <c r="Y20" s="8"/>
      <c r="Z20" s="8"/>
      <c r="AA20" s="8"/>
      <c r="AB20" s="59"/>
      <c r="AC20" s="8"/>
      <c r="AD20" s="121">
        <v>3126</v>
      </c>
      <c r="AE20" s="121">
        <v>3000</v>
      </c>
      <c r="AF20" s="121">
        <v>6000</v>
      </c>
      <c r="AG20" s="135">
        <f t="shared" si="1"/>
        <v>12126</v>
      </c>
      <c r="AJ20" s="121">
        <v>2700</v>
      </c>
      <c r="AL20" s="8">
        <f t="shared" si="2"/>
        <v>0</v>
      </c>
      <c r="AM20" s="8">
        <f t="shared" si="3"/>
        <v>3126</v>
      </c>
      <c r="AN20" s="8">
        <f t="shared" si="4"/>
        <v>0</v>
      </c>
    </row>
    <row r="21" spans="1:40" ht="20.100000000000001" customHeight="1" x14ac:dyDescent="0.25">
      <c r="B21" t="s">
        <v>268</v>
      </c>
      <c r="C21" s="19"/>
      <c r="D21" s="19"/>
      <c r="E21" s="19"/>
      <c r="F21" s="19"/>
      <c r="G21" s="19"/>
      <c r="H21" s="19"/>
      <c r="I21" s="19"/>
      <c r="J21" s="19"/>
      <c r="L21" s="9"/>
      <c r="M21" s="9"/>
      <c r="N21" s="9"/>
      <c r="O21" s="9"/>
      <c r="P21" s="9"/>
      <c r="Q21" s="9"/>
      <c r="R21" s="9"/>
      <c r="S21" s="9"/>
      <c r="T21" s="8">
        <f t="shared" si="5"/>
        <v>0</v>
      </c>
      <c r="U21" s="9"/>
      <c r="V21" s="9"/>
      <c r="W21" s="9"/>
      <c r="X21" s="60"/>
      <c r="Y21" s="9"/>
      <c r="Z21" s="9"/>
      <c r="AA21" s="9"/>
      <c r="AB21" s="61"/>
      <c r="AC21" s="8">
        <v>0</v>
      </c>
      <c r="AD21" s="122"/>
      <c r="AE21" s="122"/>
      <c r="AF21" s="122"/>
      <c r="AG21" s="135">
        <f t="shared" si="1"/>
        <v>0</v>
      </c>
      <c r="AJ21" s="122"/>
      <c r="AL21" s="9">
        <f t="shared" si="2"/>
        <v>0</v>
      </c>
      <c r="AM21" s="9">
        <f t="shared" si="3"/>
        <v>0</v>
      </c>
      <c r="AN21" s="9">
        <f t="shared" si="4"/>
        <v>0</v>
      </c>
    </row>
    <row r="22" spans="1:40" ht="20.100000000000001" customHeight="1" x14ac:dyDescent="0.25">
      <c r="B22" t="s">
        <v>273</v>
      </c>
      <c r="C22" s="165">
        <f>SUM(C6:C21)</f>
        <v>0</v>
      </c>
      <c r="D22" s="165">
        <f t="shared" ref="D22:J22" si="8">SUM(D6:D21)</f>
        <v>0</v>
      </c>
      <c r="E22" s="165">
        <f t="shared" si="8"/>
        <v>0</v>
      </c>
      <c r="F22" s="165">
        <f t="shared" si="8"/>
        <v>0</v>
      </c>
      <c r="G22" s="165">
        <f t="shared" si="8"/>
        <v>0</v>
      </c>
      <c r="H22" s="165">
        <f t="shared" si="8"/>
        <v>0</v>
      </c>
      <c r="I22" s="165">
        <f t="shared" si="8"/>
        <v>0</v>
      </c>
      <c r="J22" s="165">
        <f t="shared" si="8"/>
        <v>0</v>
      </c>
      <c r="L22" s="10">
        <f>SUM(L6:L21)</f>
        <v>115641</v>
      </c>
      <c r="M22" s="35">
        <f>L22/L42</f>
        <v>0.19260541186880445</v>
      </c>
      <c r="N22" s="10">
        <f>SUM(N6:N21)</f>
        <v>109617</v>
      </c>
      <c r="O22" s="35">
        <f>N22/N42</f>
        <v>0.25660251038189452</v>
      </c>
      <c r="P22" s="10">
        <f>SUM(P6:P21)</f>
        <v>76149</v>
      </c>
      <c r="Q22" s="35">
        <f>P22/P42</f>
        <v>0.14169101092235267</v>
      </c>
      <c r="R22" s="10">
        <f>SUM(R6:R21)</f>
        <v>136365</v>
      </c>
      <c r="S22" s="10">
        <f>SUM(S6:S21)</f>
        <v>0</v>
      </c>
      <c r="T22" s="10">
        <f>SUM(T6:T21)</f>
        <v>136365</v>
      </c>
      <c r="U22" s="35">
        <f>R22/R42</f>
        <v>0.17919805293657531</v>
      </c>
      <c r="V22" s="10">
        <f>SUM(V6:V21)</f>
        <v>437772</v>
      </c>
      <c r="W22" s="35">
        <f>T22/T42</f>
        <v>0.17919805293657531</v>
      </c>
      <c r="X22" s="62">
        <f t="shared" ref="X22:AG22" si="9">SUM(X6:X21)</f>
        <v>106256.68</v>
      </c>
      <c r="Y22" s="10">
        <f t="shared" si="9"/>
        <v>182882.348</v>
      </c>
      <c r="Z22" s="10">
        <f t="shared" si="9"/>
        <v>182445.182</v>
      </c>
      <c r="AA22" s="10">
        <f t="shared" si="9"/>
        <v>269699.19</v>
      </c>
      <c r="AB22" s="63">
        <f t="shared" si="9"/>
        <v>741283.4</v>
      </c>
      <c r="AC22" s="10">
        <f t="shared" si="9"/>
        <v>164797</v>
      </c>
      <c r="AD22" s="123">
        <f t="shared" si="9"/>
        <v>124694</v>
      </c>
      <c r="AE22" s="123">
        <f t="shared" si="9"/>
        <v>195500</v>
      </c>
      <c r="AF22" s="123">
        <f t="shared" si="9"/>
        <v>501000</v>
      </c>
      <c r="AG22" s="136">
        <f t="shared" si="9"/>
        <v>985991</v>
      </c>
      <c r="AJ22" s="123">
        <f t="shared" ref="AJ22" si="10">SUM(AJ6:AJ21)</f>
        <v>176592</v>
      </c>
      <c r="AL22" s="10">
        <f>SUM(AL6:AL21)</f>
        <v>225258</v>
      </c>
      <c r="AM22" s="10">
        <f t="shared" ref="AM22:AN22" si="11">SUM(AM6:AM21)</f>
        <v>289491</v>
      </c>
      <c r="AN22" s="10">
        <f t="shared" si="11"/>
        <v>289139.02800000005</v>
      </c>
    </row>
    <row r="23" spans="1:40" ht="20.100000000000001" customHeight="1" x14ac:dyDescent="0.25">
      <c r="A23" t="s">
        <v>259</v>
      </c>
      <c r="L23" s="8"/>
      <c r="M23" s="8"/>
      <c r="N23" s="8"/>
      <c r="O23" s="8"/>
      <c r="P23" s="8"/>
      <c r="Q23" s="8"/>
      <c r="R23" s="8"/>
      <c r="S23" s="8"/>
      <c r="T23" s="8"/>
      <c r="U23" s="8"/>
      <c r="V23" s="8"/>
      <c r="W23" s="8"/>
      <c r="X23" s="57"/>
      <c r="Y23" s="8"/>
      <c r="Z23" s="8"/>
      <c r="AA23" s="8"/>
      <c r="AB23" s="59"/>
      <c r="AC23" s="8"/>
      <c r="AD23" s="121"/>
      <c r="AE23" s="121"/>
      <c r="AF23" s="121"/>
      <c r="AG23" s="135"/>
      <c r="AJ23" s="121"/>
      <c r="AL23" s="8"/>
      <c r="AM23" s="8"/>
      <c r="AN23" s="8"/>
    </row>
    <row r="24" spans="1:40" ht="20.100000000000001" customHeight="1" x14ac:dyDescent="0.25">
      <c r="B24" t="s">
        <v>269</v>
      </c>
      <c r="L24" s="8">
        <v>55130</v>
      </c>
      <c r="M24" s="8"/>
      <c r="N24" s="8">
        <v>82372</v>
      </c>
      <c r="O24" s="8"/>
      <c r="P24" s="8">
        <v>61402</v>
      </c>
      <c r="Q24" s="8"/>
      <c r="R24" s="8">
        <v>73071</v>
      </c>
      <c r="S24" s="8"/>
      <c r="T24" s="8">
        <f t="shared" ref="T24:T34" si="12">SUM(R24:S24)</f>
        <v>73071</v>
      </c>
      <c r="U24" s="8"/>
      <c r="V24" s="8">
        <f t="shared" ref="V24:V34" si="13">L24+N24+P24+T24</f>
        <v>271975</v>
      </c>
      <c r="W24" s="8"/>
      <c r="X24" s="57">
        <f>0.2*$AB24</f>
        <v>65274</v>
      </c>
      <c r="Y24" s="8">
        <f>0.22*$AB24</f>
        <v>71801.399999999994</v>
      </c>
      <c r="Z24" s="8">
        <f>0.23*$AB24</f>
        <v>75065.100000000006</v>
      </c>
      <c r="AA24" s="8">
        <f>0.35*$AB24</f>
        <v>114229.5</v>
      </c>
      <c r="AB24" s="59">
        <f>V24*1.2</f>
        <v>326370</v>
      </c>
      <c r="AC24" s="8">
        <v>32461</v>
      </c>
      <c r="AD24" s="121">
        <v>23971</v>
      </c>
      <c r="AE24" s="121">
        <v>38000</v>
      </c>
      <c r="AF24" s="121">
        <v>57000</v>
      </c>
      <c r="AG24" s="135">
        <f t="shared" ref="AG24:AG34" si="14">SUM(AC24:AF24)</f>
        <v>151432</v>
      </c>
      <c r="AH24" s="108" t="s">
        <v>457</v>
      </c>
      <c r="AJ24" s="121">
        <v>20201</v>
      </c>
      <c r="AL24" s="8">
        <f t="shared" si="2"/>
        <v>137502</v>
      </c>
      <c r="AM24" s="8">
        <f t="shared" si="3"/>
        <v>56432</v>
      </c>
      <c r="AN24" s="8">
        <f t="shared" si="4"/>
        <v>137075.4</v>
      </c>
    </row>
    <row r="25" spans="1:40" ht="20.100000000000001" customHeight="1" x14ac:dyDescent="0.25">
      <c r="B25" t="s">
        <v>261</v>
      </c>
      <c r="L25" s="8">
        <v>132950</v>
      </c>
      <c r="M25" s="8"/>
      <c r="N25" s="8">
        <v>17883</v>
      </c>
      <c r="O25" s="8"/>
      <c r="P25" s="8">
        <v>48502</v>
      </c>
      <c r="Q25" s="8"/>
      <c r="R25" s="8">
        <v>98797</v>
      </c>
      <c r="S25" s="8"/>
      <c r="T25" s="8">
        <f t="shared" si="12"/>
        <v>98797</v>
      </c>
      <c r="U25" s="8"/>
      <c r="V25" s="8">
        <f t="shared" si="13"/>
        <v>298132</v>
      </c>
      <c r="W25" s="8"/>
      <c r="X25" s="57">
        <f t="shared" ref="X25:X27" si="15">0.2*$AB25</f>
        <v>59626.400000000001</v>
      </c>
      <c r="Y25" s="8">
        <f t="shared" ref="Y25:Y27" si="16">0.22*$AB25</f>
        <v>65589.039999999994</v>
      </c>
      <c r="Z25" s="8">
        <f t="shared" ref="Z25:Z27" si="17">0.23*$AB25</f>
        <v>68570.36</v>
      </c>
      <c r="AA25" s="8">
        <f t="shared" ref="AA25:AA27" si="18">0.35*$AB25</f>
        <v>104346.2</v>
      </c>
      <c r="AB25" s="59">
        <f>V25</f>
        <v>298132</v>
      </c>
      <c r="AC25" s="8">
        <v>23173</v>
      </c>
      <c r="AD25" s="121">
        <v>2250</v>
      </c>
      <c r="AE25" s="121">
        <v>30000</v>
      </c>
      <c r="AF25" s="121">
        <v>50000</v>
      </c>
      <c r="AG25" s="135">
        <f t="shared" si="14"/>
        <v>105423</v>
      </c>
      <c r="AH25" s="108" t="s">
        <v>458</v>
      </c>
      <c r="AJ25" s="121">
        <v>22250</v>
      </c>
      <c r="AL25" s="8">
        <f t="shared" si="2"/>
        <v>150833</v>
      </c>
      <c r="AM25" s="8">
        <f t="shared" si="3"/>
        <v>25423</v>
      </c>
      <c r="AN25" s="8">
        <f t="shared" si="4"/>
        <v>125215.44</v>
      </c>
    </row>
    <row r="26" spans="1:40" ht="20.100000000000001" customHeight="1" x14ac:dyDescent="0.25">
      <c r="B26" t="s">
        <v>270</v>
      </c>
      <c r="L26" s="8">
        <v>92563</v>
      </c>
      <c r="M26" s="8"/>
      <c r="N26" s="8">
        <v>41760</v>
      </c>
      <c r="O26" s="8"/>
      <c r="P26" s="8">
        <v>80636</v>
      </c>
      <c r="Q26" s="8"/>
      <c r="R26" s="8">
        <v>36420</v>
      </c>
      <c r="S26" s="8"/>
      <c r="T26" s="8">
        <f t="shared" si="12"/>
        <v>36420</v>
      </c>
      <c r="U26" s="8"/>
      <c r="V26" s="8">
        <f t="shared" si="13"/>
        <v>251379</v>
      </c>
      <c r="W26" s="8"/>
      <c r="X26" s="57">
        <f t="shared" si="15"/>
        <v>65358.540000000008</v>
      </c>
      <c r="Y26" s="8">
        <f t="shared" si="16"/>
        <v>71894.394</v>
      </c>
      <c r="Z26" s="8">
        <f t="shared" si="17"/>
        <v>75162.321000000011</v>
      </c>
      <c r="AA26" s="8">
        <f t="shared" si="18"/>
        <v>114377.44499999999</v>
      </c>
      <c r="AB26" s="59">
        <f>V26*1.3</f>
        <v>326792.7</v>
      </c>
      <c r="AC26" s="8">
        <v>15174</v>
      </c>
      <c r="AD26" s="121">
        <v>25453</v>
      </c>
      <c r="AE26" s="121">
        <v>25000</v>
      </c>
      <c r="AF26" s="121">
        <v>35000</v>
      </c>
      <c r="AG26" s="135">
        <f t="shared" si="14"/>
        <v>100627</v>
      </c>
      <c r="AH26" s="108" t="s">
        <v>459</v>
      </c>
      <c r="AJ26" s="121">
        <v>16530</v>
      </c>
      <c r="AL26" s="8">
        <f t="shared" si="2"/>
        <v>134323</v>
      </c>
      <c r="AM26" s="8">
        <f t="shared" si="3"/>
        <v>40627</v>
      </c>
      <c r="AN26" s="8">
        <f t="shared" si="4"/>
        <v>137252.93400000001</v>
      </c>
    </row>
    <row r="27" spans="1:40" ht="20.100000000000001" customHeight="1" x14ac:dyDescent="0.25">
      <c r="B27" t="s">
        <v>272</v>
      </c>
      <c r="L27" s="8">
        <v>8568</v>
      </c>
      <c r="M27" s="8"/>
      <c r="N27" s="8"/>
      <c r="O27" s="8"/>
      <c r="P27" s="8">
        <v>21449</v>
      </c>
      <c r="Q27" s="8"/>
      <c r="R27" s="8">
        <v>21609</v>
      </c>
      <c r="S27" s="8"/>
      <c r="T27" s="8">
        <f t="shared" si="12"/>
        <v>21609</v>
      </c>
      <c r="U27" s="8"/>
      <c r="V27" s="8">
        <f t="shared" si="13"/>
        <v>51626</v>
      </c>
      <c r="W27" s="8"/>
      <c r="X27" s="57">
        <f t="shared" si="15"/>
        <v>10325.200000000001</v>
      </c>
      <c r="Y27" s="8">
        <f t="shared" si="16"/>
        <v>11357.72</v>
      </c>
      <c r="Z27" s="8">
        <f t="shared" si="17"/>
        <v>11873.980000000001</v>
      </c>
      <c r="AA27" s="8">
        <f t="shared" si="18"/>
        <v>18069.099999999999</v>
      </c>
      <c r="AB27" s="59">
        <f>V27</f>
        <v>51626</v>
      </c>
      <c r="AC27" s="8">
        <v>21627</v>
      </c>
      <c r="AD27" s="121">
        <v>6772</v>
      </c>
      <c r="AE27" s="121">
        <v>2000</v>
      </c>
      <c r="AF27" s="121">
        <v>0</v>
      </c>
      <c r="AG27" s="135">
        <f t="shared" si="14"/>
        <v>30399</v>
      </c>
      <c r="AH27" s="108" t="s">
        <v>460</v>
      </c>
      <c r="AJ27" s="121">
        <v>6772</v>
      </c>
      <c r="AL27" s="8">
        <f t="shared" si="2"/>
        <v>8568</v>
      </c>
      <c r="AM27" s="8">
        <f t="shared" si="3"/>
        <v>28399</v>
      </c>
      <c r="AN27" s="8">
        <f t="shared" si="4"/>
        <v>21682.92</v>
      </c>
    </row>
    <row r="28" spans="1:40" ht="20.100000000000001" customHeight="1" x14ac:dyDescent="0.25">
      <c r="B28" t="s">
        <v>262</v>
      </c>
      <c r="L28" s="8"/>
      <c r="M28" s="8"/>
      <c r="N28" s="8"/>
      <c r="O28" s="8"/>
      <c r="P28" s="8">
        <v>61975</v>
      </c>
      <c r="Q28" s="8"/>
      <c r="R28" s="8">
        <v>201600</v>
      </c>
      <c r="S28" s="8"/>
      <c r="T28" s="8">
        <f t="shared" si="12"/>
        <v>201600</v>
      </c>
      <c r="U28" s="8"/>
      <c r="V28" s="8">
        <f t="shared" si="13"/>
        <v>263575</v>
      </c>
      <c r="W28" s="8"/>
      <c r="X28" s="57">
        <v>110000</v>
      </c>
      <c r="Y28" s="8">
        <v>50000</v>
      </c>
      <c r="Z28" s="8">
        <v>120000</v>
      </c>
      <c r="AA28" s="8">
        <v>120000</v>
      </c>
      <c r="AB28" s="59">
        <f>SUM(X28:AA28)</f>
        <v>400000</v>
      </c>
      <c r="AC28" s="8">
        <v>117029</v>
      </c>
      <c r="AD28" s="121">
        <v>63806</v>
      </c>
      <c r="AE28" s="121">
        <v>60000</v>
      </c>
      <c r="AF28" s="121">
        <v>75000</v>
      </c>
      <c r="AG28" s="135">
        <f t="shared" si="14"/>
        <v>315835</v>
      </c>
      <c r="AH28" s="108" t="s">
        <v>461</v>
      </c>
      <c r="AJ28" s="121">
        <v>42538</v>
      </c>
      <c r="AL28" s="8">
        <f t="shared" si="2"/>
        <v>0</v>
      </c>
      <c r="AM28" s="8">
        <f t="shared" si="3"/>
        <v>180835</v>
      </c>
      <c r="AN28" s="8">
        <f t="shared" si="4"/>
        <v>160000</v>
      </c>
    </row>
    <row r="29" spans="1:40" ht="20.100000000000001" customHeight="1" x14ac:dyDescent="0.25">
      <c r="B29" t="s">
        <v>276</v>
      </c>
      <c r="L29" s="8">
        <v>7140</v>
      </c>
      <c r="M29" s="8"/>
      <c r="N29" s="8"/>
      <c r="O29" s="8"/>
      <c r="P29" s="8">
        <v>15365</v>
      </c>
      <c r="Q29" s="8"/>
      <c r="R29" s="8">
        <v>8640</v>
      </c>
      <c r="S29" s="8"/>
      <c r="T29" s="8">
        <f t="shared" si="12"/>
        <v>8640</v>
      </c>
      <c r="U29" s="8"/>
      <c r="V29" s="8">
        <f t="shared" si="13"/>
        <v>31145</v>
      </c>
      <c r="W29" s="8"/>
      <c r="X29" s="57">
        <v>7000</v>
      </c>
      <c r="Y29" s="8">
        <v>5000</v>
      </c>
      <c r="Z29" s="8">
        <v>5000</v>
      </c>
      <c r="AA29" s="8">
        <v>10000</v>
      </c>
      <c r="AB29" s="59">
        <f>SUM(X29:AA29)</f>
        <v>27000</v>
      </c>
      <c r="AC29" s="8">
        <v>14985</v>
      </c>
      <c r="AD29" s="121">
        <v>4879</v>
      </c>
      <c r="AE29" s="121">
        <v>0</v>
      </c>
      <c r="AF29" s="121">
        <v>0</v>
      </c>
      <c r="AG29" s="135">
        <f t="shared" si="14"/>
        <v>19864</v>
      </c>
      <c r="AH29" s="108" t="s">
        <v>460</v>
      </c>
      <c r="AJ29" s="121">
        <v>4879</v>
      </c>
      <c r="AL29" s="8">
        <f t="shared" si="2"/>
        <v>7140</v>
      </c>
      <c r="AM29" s="8">
        <f t="shared" si="3"/>
        <v>19864</v>
      </c>
      <c r="AN29" s="8">
        <f t="shared" si="4"/>
        <v>12000</v>
      </c>
    </row>
    <row r="30" spans="1:40" ht="20.100000000000001" customHeight="1" x14ac:dyDescent="0.25">
      <c r="B30" t="s">
        <v>263</v>
      </c>
      <c r="L30" s="8">
        <v>4161</v>
      </c>
      <c r="M30" s="8"/>
      <c r="N30" s="8">
        <v>2540</v>
      </c>
      <c r="O30" s="8"/>
      <c r="P30" s="8">
        <v>3046</v>
      </c>
      <c r="Q30" s="8"/>
      <c r="R30" s="8">
        <v>2506</v>
      </c>
      <c r="S30" s="8"/>
      <c r="T30" s="8">
        <f t="shared" si="12"/>
        <v>2506</v>
      </c>
      <c r="U30" s="8"/>
      <c r="V30" s="8">
        <f t="shared" si="13"/>
        <v>12253</v>
      </c>
      <c r="W30" s="8"/>
      <c r="X30" s="57">
        <v>2500</v>
      </c>
      <c r="Y30" s="8">
        <f>X30</f>
        <v>2500</v>
      </c>
      <c r="Z30" s="8">
        <f t="shared" ref="Z30:AA30" si="19">Y30</f>
        <v>2500</v>
      </c>
      <c r="AA30" s="8">
        <f t="shared" si="19"/>
        <v>2500</v>
      </c>
      <c r="AB30" s="59">
        <f>SUM(X30:AA30)</f>
        <v>10000</v>
      </c>
      <c r="AC30" s="8">
        <v>1257</v>
      </c>
      <c r="AD30" s="121">
        <v>2718</v>
      </c>
      <c r="AE30" s="121">
        <v>5000</v>
      </c>
      <c r="AF30" s="121">
        <v>7000</v>
      </c>
      <c r="AG30" s="135">
        <f t="shared" si="14"/>
        <v>15975</v>
      </c>
      <c r="AH30" s="108" t="s">
        <v>454</v>
      </c>
      <c r="AJ30" s="121">
        <v>2718</v>
      </c>
      <c r="AL30" s="8">
        <f t="shared" si="2"/>
        <v>6701</v>
      </c>
      <c r="AM30" s="8">
        <f t="shared" si="3"/>
        <v>3975</v>
      </c>
      <c r="AN30" s="8">
        <f t="shared" si="4"/>
        <v>5000</v>
      </c>
    </row>
    <row r="31" spans="1:40" ht="20.100000000000001" customHeight="1" x14ac:dyDescent="0.25">
      <c r="B31" t="s">
        <v>295</v>
      </c>
      <c r="L31" s="8"/>
      <c r="M31" s="8"/>
      <c r="N31" s="8"/>
      <c r="O31" s="8"/>
      <c r="P31" s="8"/>
      <c r="Q31" s="8"/>
      <c r="R31" s="8">
        <v>2236</v>
      </c>
      <c r="S31" s="8"/>
      <c r="T31" s="8">
        <f t="shared" si="12"/>
        <v>2236</v>
      </c>
      <c r="U31" s="8"/>
      <c r="V31" s="8"/>
      <c r="W31" s="8"/>
      <c r="X31" s="57">
        <v>5000</v>
      </c>
      <c r="Y31" s="8">
        <v>5000</v>
      </c>
      <c r="Z31" s="8">
        <v>10000</v>
      </c>
      <c r="AA31" s="8">
        <v>20000</v>
      </c>
      <c r="AB31" s="59">
        <f>SUM(X31:AA31)</f>
        <v>40000</v>
      </c>
      <c r="AC31" s="8"/>
      <c r="AD31" s="121">
        <v>0</v>
      </c>
      <c r="AE31" s="121">
        <v>0</v>
      </c>
      <c r="AF31" s="121">
        <v>0</v>
      </c>
      <c r="AG31" s="135">
        <f t="shared" si="14"/>
        <v>0</v>
      </c>
      <c r="AH31" s="108" t="s">
        <v>460</v>
      </c>
      <c r="AJ31" s="121">
        <v>0</v>
      </c>
      <c r="AL31" s="8">
        <f t="shared" si="2"/>
        <v>0</v>
      </c>
      <c r="AM31" s="8">
        <f t="shared" si="3"/>
        <v>0</v>
      </c>
      <c r="AN31" s="8">
        <f t="shared" si="4"/>
        <v>10000</v>
      </c>
    </row>
    <row r="32" spans="1:40" ht="20.100000000000001" customHeight="1" x14ac:dyDescent="0.25">
      <c r="B32" t="s">
        <v>452</v>
      </c>
      <c r="L32" s="8"/>
      <c r="M32" s="8"/>
      <c r="N32" s="8"/>
      <c r="O32" s="8"/>
      <c r="P32" s="8"/>
      <c r="Q32" s="8"/>
      <c r="R32" s="8"/>
      <c r="S32" s="8"/>
      <c r="T32" s="8"/>
      <c r="U32" s="8"/>
      <c r="V32" s="8"/>
      <c r="W32" s="8"/>
      <c r="X32" s="57"/>
      <c r="Y32" s="8"/>
      <c r="Z32" s="8"/>
      <c r="AA32" s="8"/>
      <c r="AB32" s="59"/>
      <c r="AC32" s="8">
        <v>23233</v>
      </c>
      <c r="AD32" s="121">
        <f t="shared" ref="AD32:AD33" si="20">Y32</f>
        <v>0</v>
      </c>
      <c r="AE32" s="121">
        <f>Z32</f>
        <v>0</v>
      </c>
      <c r="AF32" s="121">
        <f>AA32</f>
        <v>0</v>
      </c>
      <c r="AG32" s="135">
        <f t="shared" si="14"/>
        <v>23233</v>
      </c>
      <c r="AH32" s="108" t="s">
        <v>460</v>
      </c>
      <c r="AJ32" s="121">
        <f t="shared" ref="AJ32:AJ33" si="21">AE32</f>
        <v>0</v>
      </c>
      <c r="AL32" s="8">
        <f t="shared" si="2"/>
        <v>0</v>
      </c>
      <c r="AM32" s="8">
        <f t="shared" si="3"/>
        <v>23233</v>
      </c>
      <c r="AN32" s="8">
        <f t="shared" si="4"/>
        <v>0</v>
      </c>
    </row>
    <row r="33" spans="1:40" ht="20.100000000000001" customHeight="1" x14ac:dyDescent="0.25">
      <c r="B33" t="s">
        <v>453</v>
      </c>
      <c r="L33" s="8"/>
      <c r="M33" s="8"/>
      <c r="N33" s="8"/>
      <c r="O33" s="8"/>
      <c r="P33" s="8"/>
      <c r="Q33" s="8"/>
      <c r="R33" s="8"/>
      <c r="S33" s="8"/>
      <c r="T33" s="8"/>
      <c r="U33" s="8"/>
      <c r="V33" s="8"/>
      <c r="W33" s="8"/>
      <c r="X33" s="57"/>
      <c r="Y33" s="8"/>
      <c r="Z33" s="8"/>
      <c r="AA33" s="8"/>
      <c r="AB33" s="59"/>
      <c r="AC33" s="8">
        <v>11464</v>
      </c>
      <c r="AD33" s="121">
        <f t="shared" si="20"/>
        <v>0</v>
      </c>
      <c r="AE33" s="121">
        <f>Z33</f>
        <v>0</v>
      </c>
      <c r="AF33" s="121">
        <f>AA33</f>
        <v>0</v>
      </c>
      <c r="AG33" s="135">
        <f t="shared" si="14"/>
        <v>11464</v>
      </c>
      <c r="AJ33" s="121">
        <f t="shared" si="21"/>
        <v>0</v>
      </c>
      <c r="AL33" s="8">
        <f t="shared" si="2"/>
        <v>0</v>
      </c>
      <c r="AM33" s="8">
        <f t="shared" si="3"/>
        <v>11464</v>
      </c>
      <c r="AN33" s="8">
        <f t="shared" si="4"/>
        <v>0</v>
      </c>
    </row>
    <row r="34" spans="1:40" ht="20.100000000000001" customHeight="1" x14ac:dyDescent="0.25">
      <c r="B34" t="s">
        <v>264</v>
      </c>
      <c r="C34" s="19"/>
      <c r="D34" s="19"/>
      <c r="E34" s="19"/>
      <c r="F34" s="19"/>
      <c r="G34" s="19"/>
      <c r="H34" s="19"/>
      <c r="I34" s="19"/>
      <c r="J34" s="19"/>
      <c r="L34" s="9">
        <v>7504</v>
      </c>
      <c r="M34" s="9"/>
      <c r="N34" s="9">
        <v>12158</v>
      </c>
      <c r="O34" s="9"/>
      <c r="P34" s="9">
        <v>12017</v>
      </c>
      <c r="Q34" s="9"/>
      <c r="R34" s="9">
        <v>6312</v>
      </c>
      <c r="S34" s="9"/>
      <c r="T34" s="8">
        <f t="shared" si="12"/>
        <v>6312</v>
      </c>
      <c r="U34" s="9"/>
      <c r="V34" s="8">
        <f t="shared" si="13"/>
        <v>37991</v>
      </c>
      <c r="W34" s="9"/>
      <c r="X34" s="60">
        <v>7500</v>
      </c>
      <c r="Y34" s="9">
        <v>10000</v>
      </c>
      <c r="Z34" s="9">
        <v>20000</v>
      </c>
      <c r="AA34" s="9">
        <v>30000</v>
      </c>
      <c r="AB34" s="61">
        <f>SUM(X34:AA34)</f>
        <v>67500</v>
      </c>
      <c r="AC34" s="8">
        <v>16740</v>
      </c>
      <c r="AD34" s="121">
        <v>16839</v>
      </c>
      <c r="AE34" s="121">
        <v>80000</v>
      </c>
      <c r="AF34" s="121">
        <v>90000</v>
      </c>
      <c r="AG34" s="135">
        <f t="shared" si="14"/>
        <v>203579</v>
      </c>
      <c r="AH34" s="108" t="s">
        <v>462</v>
      </c>
      <c r="AJ34" s="121">
        <v>15318</v>
      </c>
      <c r="AL34" s="9">
        <f t="shared" si="2"/>
        <v>19662</v>
      </c>
      <c r="AM34" s="9">
        <f t="shared" si="3"/>
        <v>33579</v>
      </c>
      <c r="AN34" s="9">
        <f t="shared" si="4"/>
        <v>17500</v>
      </c>
    </row>
    <row r="35" spans="1:40" ht="20.100000000000001" customHeight="1" x14ac:dyDescent="0.25">
      <c r="B35" t="s">
        <v>274</v>
      </c>
      <c r="C35" s="165">
        <f>SUM(C24:C34)</f>
        <v>0</v>
      </c>
      <c r="D35" s="165">
        <f t="shared" ref="D35:J35" si="22">SUM(D24:D34)</f>
        <v>0</v>
      </c>
      <c r="E35" s="165">
        <f t="shared" si="22"/>
        <v>0</v>
      </c>
      <c r="F35" s="165">
        <f t="shared" si="22"/>
        <v>0</v>
      </c>
      <c r="G35" s="165">
        <f t="shared" si="22"/>
        <v>0</v>
      </c>
      <c r="H35" s="165">
        <f t="shared" si="22"/>
        <v>0</v>
      </c>
      <c r="I35" s="165">
        <f t="shared" si="22"/>
        <v>0</v>
      </c>
      <c r="J35" s="165">
        <f t="shared" si="22"/>
        <v>0</v>
      </c>
      <c r="L35" s="10">
        <f>SUM(L24:L34)</f>
        <v>308016</v>
      </c>
      <c r="M35" s="35">
        <f>L35/L42</f>
        <v>0.51301483506871848</v>
      </c>
      <c r="N35" s="10">
        <f t="shared" ref="N35:V35" si="23">SUM(N24:N34)</f>
        <v>156713</v>
      </c>
      <c r="O35" s="35">
        <f>N35/N42</f>
        <v>0.3668495690401839</v>
      </c>
      <c r="P35" s="10">
        <f t="shared" si="23"/>
        <v>304392</v>
      </c>
      <c r="Q35" s="35">
        <f>P35/P42</f>
        <v>0.56638445937145299</v>
      </c>
      <c r="R35" s="10">
        <f t="shared" si="23"/>
        <v>451191</v>
      </c>
      <c r="S35" s="10">
        <f>SUM(S24:S34)</f>
        <v>0</v>
      </c>
      <c r="T35" s="10">
        <f>SUM(T24:T34)</f>
        <v>451191</v>
      </c>
      <c r="U35" s="35">
        <f>R35/R42</f>
        <v>0.59291276135743298</v>
      </c>
      <c r="V35" s="10">
        <f t="shared" si="23"/>
        <v>1218076</v>
      </c>
      <c r="W35" s="35">
        <f>T35/T42</f>
        <v>0.59291276135743298</v>
      </c>
      <c r="X35" s="62">
        <f>SUM(X24:X34)</f>
        <v>332584.14</v>
      </c>
      <c r="Y35" s="10">
        <f t="shared" ref="Y35:AG35" si="24">SUM(Y24:Y34)</f>
        <v>293142.554</v>
      </c>
      <c r="Z35" s="10">
        <f t="shared" si="24"/>
        <v>388171.76100000006</v>
      </c>
      <c r="AA35" s="10">
        <f t="shared" si="24"/>
        <v>533522.245</v>
      </c>
      <c r="AB35" s="63">
        <f t="shared" si="24"/>
        <v>1547420.7</v>
      </c>
      <c r="AC35" s="10">
        <f t="shared" si="24"/>
        <v>277143</v>
      </c>
      <c r="AD35" s="123">
        <f t="shared" si="24"/>
        <v>146688</v>
      </c>
      <c r="AE35" s="123">
        <f t="shared" si="24"/>
        <v>240000</v>
      </c>
      <c r="AF35" s="123">
        <f t="shared" si="24"/>
        <v>314000</v>
      </c>
      <c r="AG35" s="136">
        <f t="shared" si="24"/>
        <v>977831</v>
      </c>
      <c r="AJ35" s="123">
        <f t="shared" ref="AJ35" si="25">SUM(AJ24:AJ34)</f>
        <v>131206</v>
      </c>
      <c r="AL35" s="10">
        <f>SUM(AL24:AL34)</f>
        <v>464729</v>
      </c>
      <c r="AM35" s="10">
        <f t="shared" ref="AM35:AN35" si="26">SUM(AM24:AM34)</f>
        <v>423831</v>
      </c>
      <c r="AN35" s="10">
        <f t="shared" si="26"/>
        <v>625726.6939999999</v>
      </c>
    </row>
    <row r="36" spans="1:40" ht="20.100000000000001" customHeight="1" x14ac:dyDescent="0.25">
      <c r="A36" t="s">
        <v>536</v>
      </c>
      <c r="L36" s="8">
        <f>L42-L22-L35-L41</f>
        <v>67876.690000000061</v>
      </c>
      <c r="M36" s="31">
        <f>L36/L42</f>
        <v>0.1130517535626739</v>
      </c>
      <c r="N36" s="8">
        <f>N42-N22-N35-N41</f>
        <v>65982</v>
      </c>
      <c r="O36" s="31">
        <f>N36/N42</f>
        <v>0.15445730899420862</v>
      </c>
      <c r="P36" s="8">
        <f>P42-P22-P35-P41</f>
        <v>55994</v>
      </c>
      <c r="Q36" s="31">
        <f>P36/P42</f>
        <v>0.10418845244962134</v>
      </c>
      <c r="R36" s="8">
        <f>R42-R22-R35-R41</f>
        <v>40887.670000000042</v>
      </c>
      <c r="S36" s="8"/>
      <c r="T36" s="8">
        <f t="shared" ref="T36:T41" si="27">SUM(R36:S36)</f>
        <v>40887.670000000042</v>
      </c>
      <c r="U36" s="31">
        <f>R36/R42</f>
        <v>5.37307289488742E-2</v>
      </c>
      <c r="V36" s="8">
        <f t="shared" ref="V36:V41" si="28">L36+N36+P36+T36</f>
        <v>230740.3600000001</v>
      </c>
      <c r="W36" s="31">
        <f>T36/T42</f>
        <v>5.37307289488742E-2</v>
      </c>
      <c r="X36" s="57">
        <f>0.2*$AB36</f>
        <v>48455.475600000027</v>
      </c>
      <c r="Y36" s="8">
        <f>0.22*$AB36</f>
        <v>53301.023160000026</v>
      </c>
      <c r="Z36" s="8">
        <f>0.23*$AB36</f>
        <v>55723.796940000029</v>
      </c>
      <c r="AA36" s="8">
        <f>0.35*$AB36</f>
        <v>84797.082300000038</v>
      </c>
      <c r="AB36" s="59">
        <f>V36*1.05</f>
        <v>242277.37800000011</v>
      </c>
      <c r="AC36" s="8">
        <v>38264</v>
      </c>
      <c r="AD36" s="121">
        <v>56618</v>
      </c>
      <c r="AE36" s="121">
        <v>65000</v>
      </c>
      <c r="AF36" s="121">
        <v>95000</v>
      </c>
      <c r="AG36" s="135">
        <f t="shared" ref="AG36:AG41" si="29">SUM(AC36:AF36)</f>
        <v>254882</v>
      </c>
      <c r="AH36" s="108" t="s">
        <v>470</v>
      </c>
      <c r="AJ36" s="121">
        <v>82023</v>
      </c>
      <c r="AL36" s="8">
        <f t="shared" si="2"/>
        <v>133858.69000000006</v>
      </c>
      <c r="AM36" s="8">
        <f t="shared" si="3"/>
        <v>94882</v>
      </c>
      <c r="AN36" s="8">
        <f t="shared" si="4"/>
        <v>101756.49876000005</v>
      </c>
    </row>
    <row r="37" spans="1:40" ht="20.100000000000001" customHeight="1" x14ac:dyDescent="0.25">
      <c r="B37" t="s">
        <v>537</v>
      </c>
      <c r="L37" s="8"/>
      <c r="M37" s="31"/>
      <c r="N37" s="8"/>
      <c r="O37" s="31"/>
      <c r="P37" s="8"/>
      <c r="Q37" s="31"/>
      <c r="R37" s="8"/>
      <c r="S37" s="8"/>
      <c r="T37" s="8"/>
      <c r="U37" s="31"/>
      <c r="V37" s="8"/>
      <c r="W37" s="31"/>
      <c r="X37" s="57"/>
      <c r="Y37" s="8"/>
      <c r="Z37" s="8"/>
      <c r="AA37" s="8"/>
      <c r="AB37" s="59"/>
      <c r="AC37" s="8"/>
      <c r="AD37" s="121"/>
      <c r="AE37" s="121"/>
      <c r="AF37" s="121"/>
      <c r="AG37" s="135"/>
      <c r="AJ37" s="121"/>
      <c r="AL37" s="8"/>
      <c r="AM37" s="8"/>
      <c r="AN37" s="8"/>
    </row>
    <row r="38" spans="1:40" ht="20.100000000000001" customHeight="1" x14ac:dyDescent="0.25">
      <c r="B38" t="s">
        <v>154</v>
      </c>
      <c r="C38" s="19"/>
      <c r="D38" s="19"/>
      <c r="E38" s="19"/>
      <c r="F38" s="19"/>
      <c r="G38" s="19"/>
      <c r="H38" s="19"/>
      <c r="I38" s="19"/>
      <c r="J38" s="19"/>
      <c r="L38" s="8"/>
      <c r="M38" s="31"/>
      <c r="N38" s="8"/>
      <c r="O38" s="31"/>
      <c r="P38" s="8"/>
      <c r="Q38" s="31"/>
      <c r="R38" s="8"/>
      <c r="S38" s="8"/>
      <c r="T38" s="8"/>
      <c r="U38" s="31"/>
      <c r="V38" s="8"/>
      <c r="W38" s="31"/>
      <c r="X38" s="57"/>
      <c r="Y38" s="8"/>
      <c r="Z38" s="8"/>
      <c r="AA38" s="8"/>
      <c r="AB38" s="59"/>
      <c r="AC38" s="8"/>
      <c r="AD38" s="121"/>
      <c r="AE38" s="121"/>
      <c r="AF38" s="121"/>
      <c r="AG38" s="135"/>
      <c r="AJ38" s="121"/>
      <c r="AL38" s="8"/>
      <c r="AM38" s="8"/>
      <c r="AN38" s="8"/>
    </row>
    <row r="39" spans="1:40" ht="20.100000000000001" customHeight="1" x14ac:dyDescent="0.25">
      <c r="C39" s="165">
        <f>SUM(C37:C38)</f>
        <v>0</v>
      </c>
      <c r="D39" s="165">
        <f t="shared" ref="D39:J39" si="30">SUM(D37:D38)</f>
        <v>0</v>
      </c>
      <c r="E39" s="165">
        <f t="shared" si="30"/>
        <v>0</v>
      </c>
      <c r="F39" s="165">
        <f t="shared" si="30"/>
        <v>0</v>
      </c>
      <c r="G39" s="165">
        <f t="shared" si="30"/>
        <v>0</v>
      </c>
      <c r="H39" s="165">
        <f t="shared" si="30"/>
        <v>0</v>
      </c>
      <c r="I39" s="165">
        <f t="shared" si="30"/>
        <v>0</v>
      </c>
      <c r="J39" s="165">
        <f t="shared" si="30"/>
        <v>0</v>
      </c>
      <c r="L39" s="8"/>
      <c r="M39" s="31"/>
      <c r="N39" s="8"/>
      <c r="O39" s="31"/>
      <c r="P39" s="8"/>
      <c r="Q39" s="31"/>
      <c r="R39" s="8"/>
      <c r="S39" s="8"/>
      <c r="T39" s="8"/>
      <c r="U39" s="31"/>
      <c r="V39" s="8"/>
      <c r="W39" s="31"/>
      <c r="X39" s="57"/>
      <c r="Y39" s="8"/>
      <c r="Z39" s="8"/>
      <c r="AA39" s="8"/>
      <c r="AB39" s="59"/>
      <c r="AC39" s="8"/>
      <c r="AD39" s="121"/>
      <c r="AE39" s="121"/>
      <c r="AF39" s="121"/>
      <c r="AG39" s="135"/>
      <c r="AJ39" s="121"/>
      <c r="AL39" s="8"/>
      <c r="AM39" s="8"/>
      <c r="AN39" s="8"/>
    </row>
    <row r="40" spans="1:40" ht="20.100000000000001" customHeight="1" x14ac:dyDescent="0.25">
      <c r="L40" s="8"/>
      <c r="M40" s="31"/>
      <c r="N40" s="8"/>
      <c r="O40" s="31"/>
      <c r="P40" s="8"/>
      <c r="Q40" s="31"/>
      <c r="R40" s="8"/>
      <c r="S40" s="8"/>
      <c r="T40" s="8"/>
      <c r="U40" s="31"/>
      <c r="V40" s="8"/>
      <c r="W40" s="31"/>
      <c r="X40" s="57"/>
      <c r="Y40" s="8"/>
      <c r="Z40" s="8"/>
      <c r="AA40" s="8"/>
      <c r="AB40" s="59"/>
      <c r="AC40" s="8"/>
      <c r="AD40" s="121"/>
      <c r="AE40" s="121"/>
      <c r="AF40" s="121"/>
      <c r="AG40" s="135"/>
      <c r="AJ40" s="121"/>
      <c r="AL40" s="8"/>
      <c r="AM40" s="8"/>
      <c r="AN40" s="8"/>
    </row>
    <row r="41" spans="1:40" ht="20.100000000000001" customHeight="1" x14ac:dyDescent="0.25">
      <c r="A41" t="s">
        <v>278</v>
      </c>
      <c r="C41" s="19"/>
      <c r="D41" s="19"/>
      <c r="E41" s="19"/>
      <c r="F41" s="19"/>
      <c r="G41" s="19"/>
      <c r="H41" s="19"/>
      <c r="I41" s="19"/>
      <c r="J41" s="19"/>
      <c r="L41" s="9">
        <f>44514+64356</f>
        <v>108870</v>
      </c>
      <c r="M41" s="38">
        <f>L41/L42</f>
        <v>0.18132799949980319</v>
      </c>
      <c r="N41" s="9">
        <f>58581+36293</f>
        <v>94874</v>
      </c>
      <c r="O41" s="38">
        <f>N41/N42</f>
        <v>0.22209061158371296</v>
      </c>
      <c r="P41" s="9">
        <f>54860+46035</f>
        <v>100895</v>
      </c>
      <c r="Q41" s="38">
        <f>P41/P42</f>
        <v>0.18773607725657296</v>
      </c>
      <c r="R41" s="9">
        <v>132530</v>
      </c>
      <c r="S41" s="9"/>
      <c r="T41" s="9">
        <f t="shared" si="27"/>
        <v>132530</v>
      </c>
      <c r="U41" s="38">
        <f>R41/R42</f>
        <v>0.1741584567571175</v>
      </c>
      <c r="V41" s="9">
        <f t="shared" si="28"/>
        <v>437169</v>
      </c>
      <c r="W41" s="38">
        <f>T41/T42</f>
        <v>0.1741584567571175</v>
      </c>
      <c r="X41" s="60">
        <f>0.2*$AB41</f>
        <v>120000</v>
      </c>
      <c r="Y41" s="9">
        <v>100000</v>
      </c>
      <c r="Z41" s="9">
        <v>154000</v>
      </c>
      <c r="AA41" s="9">
        <v>242000</v>
      </c>
      <c r="AB41" s="61">
        <v>600000</v>
      </c>
      <c r="AC41" s="60">
        <v>89837</v>
      </c>
      <c r="AD41" s="122">
        <v>78100</v>
      </c>
      <c r="AE41" s="122">
        <v>150000</v>
      </c>
      <c r="AF41" s="122">
        <v>200000</v>
      </c>
      <c r="AG41" s="137">
        <f t="shared" si="29"/>
        <v>517937</v>
      </c>
      <c r="AH41" s="108" t="s">
        <v>454</v>
      </c>
      <c r="AJ41" s="122">
        <v>81613</v>
      </c>
      <c r="AL41" s="9">
        <f t="shared" si="2"/>
        <v>203744</v>
      </c>
      <c r="AM41" s="9">
        <f t="shared" si="3"/>
        <v>167937</v>
      </c>
      <c r="AN41" s="9">
        <f t="shared" si="4"/>
        <v>220000</v>
      </c>
    </row>
    <row r="42" spans="1:40" s="45" customFormat="1" ht="20.100000000000001" customHeight="1" thickBot="1" x14ac:dyDescent="0.3">
      <c r="B42" s="45" t="s">
        <v>15</v>
      </c>
      <c r="C42" s="166">
        <f>C22+C35+C39+C41</f>
        <v>0</v>
      </c>
      <c r="D42" s="166">
        <f t="shared" ref="D42:J42" si="31">D22+D35+D39+D41</f>
        <v>0</v>
      </c>
      <c r="E42" s="166">
        <f t="shared" si="31"/>
        <v>0</v>
      </c>
      <c r="F42" s="166">
        <f t="shared" si="31"/>
        <v>0</v>
      </c>
      <c r="G42" s="166">
        <f t="shared" si="31"/>
        <v>0</v>
      </c>
      <c r="H42" s="166">
        <f t="shared" si="31"/>
        <v>0</v>
      </c>
      <c r="I42" s="166">
        <f t="shared" si="31"/>
        <v>0</v>
      </c>
      <c r="J42" s="166">
        <f t="shared" si="31"/>
        <v>0</v>
      </c>
      <c r="K42" s="163"/>
      <c r="L42" s="49">
        <f>[1]QB!Q45</f>
        <v>600403.69000000006</v>
      </c>
      <c r="M42" s="49"/>
      <c r="N42" s="49">
        <v>427186</v>
      </c>
      <c r="O42" s="49"/>
      <c r="P42" s="49">
        <v>537430</v>
      </c>
      <c r="Q42" s="49"/>
      <c r="R42" s="49">
        <f>[1]QB!T45</f>
        <v>760973.67</v>
      </c>
      <c r="S42" s="49">
        <f>S22+S35+S36+S41</f>
        <v>0</v>
      </c>
      <c r="T42" s="49">
        <f>T22+T35+T36+T41</f>
        <v>760973.67</v>
      </c>
      <c r="U42" s="53">
        <f>R42/R42</f>
        <v>1</v>
      </c>
      <c r="V42" s="49">
        <f>V22+V35+V36+V41</f>
        <v>2323757.3600000003</v>
      </c>
      <c r="W42" s="53">
        <f>T42/T42</f>
        <v>1</v>
      </c>
      <c r="X42" s="64">
        <f t="shared" ref="X42:AG42" si="32">X22+X35+X36+X41</f>
        <v>607296.29560000007</v>
      </c>
      <c r="Y42" s="49">
        <f t="shared" si="32"/>
        <v>629325.92515999998</v>
      </c>
      <c r="Z42" s="49">
        <f t="shared" si="32"/>
        <v>780340.73994000012</v>
      </c>
      <c r="AA42" s="49">
        <f t="shared" si="32"/>
        <v>1130018.5172999999</v>
      </c>
      <c r="AB42" s="65">
        <f t="shared" si="32"/>
        <v>3130981.4780000001</v>
      </c>
      <c r="AC42" s="49">
        <f t="shared" si="32"/>
        <v>570041</v>
      </c>
      <c r="AD42" s="124">
        <f t="shared" si="32"/>
        <v>406100</v>
      </c>
      <c r="AE42" s="124">
        <f t="shared" si="32"/>
        <v>650500</v>
      </c>
      <c r="AF42" s="124">
        <f t="shared" si="32"/>
        <v>1110000</v>
      </c>
      <c r="AG42" s="138">
        <f t="shared" si="32"/>
        <v>2736641</v>
      </c>
      <c r="AH42" s="139"/>
      <c r="AI42" s="139"/>
      <c r="AJ42" s="124">
        <f>AJ22+AJ35+AJ36+AJ41</f>
        <v>471434</v>
      </c>
      <c r="AK42" s="149"/>
      <c r="AL42" s="10">
        <f>AL22+AL35+AL36+AL41</f>
        <v>1027589.6900000001</v>
      </c>
      <c r="AM42" s="10">
        <f>AM22+AM35+AM36+AM41</f>
        <v>976141</v>
      </c>
      <c r="AN42" s="10">
        <f>AN22+AN35+AN36+AN41</f>
        <v>1236622.2207599999</v>
      </c>
    </row>
    <row r="43" spans="1:40" ht="20.100000000000001" customHeight="1" thickTop="1" x14ac:dyDescent="0.25">
      <c r="L43" s="8">
        <f>L22+L35+L36+L41</f>
        <v>600403.69000000006</v>
      </c>
      <c r="M43" s="8"/>
      <c r="N43" s="8">
        <f>[1]QB!R45</f>
        <v>427185.57000000007</v>
      </c>
      <c r="O43" s="8"/>
      <c r="P43" s="8">
        <f>[1]QB!S45</f>
        <v>537430.42999999993</v>
      </c>
      <c r="Q43" s="8"/>
      <c r="R43" s="8">
        <f>[1]QB!T45</f>
        <v>760973.67</v>
      </c>
      <c r="S43" s="8"/>
      <c r="T43" s="8"/>
      <c r="U43" s="31"/>
      <c r="V43" s="8"/>
      <c r="W43" s="31"/>
      <c r="X43" s="66">
        <f>X42/$AB42</f>
        <v>0.19396355419768474</v>
      </c>
      <c r="Y43" s="31">
        <f t="shared" ref="Y43:AB43" si="33">Y42/$AB42</f>
        <v>0.20099956821271237</v>
      </c>
      <c r="Z43" s="31">
        <f t="shared" si="33"/>
        <v>0.2492319885707098</v>
      </c>
      <c r="AA43" s="31">
        <f t="shared" si="33"/>
        <v>0.36091510768751978</v>
      </c>
      <c r="AB43" s="31">
        <f t="shared" si="33"/>
        <v>1</v>
      </c>
      <c r="AC43" s="125">
        <f>AC42/$AG42</f>
        <v>0.2082995175472413</v>
      </c>
      <c r="AD43" s="125">
        <f t="shared" ref="AD43:AG43" si="34">AD42/$AG42</f>
        <v>0.14839359638330346</v>
      </c>
      <c r="AE43" s="125">
        <f t="shared" si="34"/>
        <v>0.23770015869819971</v>
      </c>
      <c r="AF43" s="125">
        <f t="shared" si="34"/>
        <v>0.40560672737125547</v>
      </c>
      <c r="AG43" s="125">
        <f t="shared" si="34"/>
        <v>1</v>
      </c>
      <c r="AJ43" s="125">
        <f t="shared" ref="AJ43" si="35">AJ42/$AG42</f>
        <v>0.17226738910949591</v>
      </c>
    </row>
    <row r="44" spans="1:40" ht="20.100000000000001" customHeight="1" x14ac:dyDescent="0.25">
      <c r="L44" s="8"/>
      <c r="M44" s="8"/>
      <c r="N44" s="8"/>
      <c r="O44" s="8"/>
      <c r="P44" s="8"/>
      <c r="Q44" s="8"/>
      <c r="R44" s="8"/>
      <c r="S44" s="8"/>
      <c r="T44" s="8"/>
      <c r="U44" s="31"/>
      <c r="V44" s="8"/>
      <c r="W44" s="31"/>
      <c r="X44" s="66"/>
      <c r="Y44" s="31"/>
      <c r="Z44" s="31"/>
      <c r="AA44" s="31"/>
      <c r="AB44" s="67"/>
      <c r="AC44" s="8"/>
      <c r="AD44" s="108"/>
      <c r="AE44" s="140"/>
    </row>
    <row r="45" spans="1:40" hidden="1" x14ac:dyDescent="0.25">
      <c r="L45" s="8"/>
      <c r="M45" s="8"/>
      <c r="N45" s="8"/>
      <c r="O45" s="8"/>
      <c r="P45" s="8"/>
      <c r="Q45" s="8"/>
      <c r="R45" s="8"/>
      <c r="S45" s="8"/>
      <c r="T45" s="8"/>
      <c r="U45" s="31"/>
      <c r="V45" s="8"/>
      <c r="W45" s="31"/>
      <c r="X45" s="66"/>
      <c r="Y45" s="31"/>
      <c r="Z45" s="31"/>
      <c r="AA45" s="31"/>
      <c r="AB45" s="67"/>
      <c r="AC45" s="8"/>
    </row>
    <row r="46" spans="1:40" hidden="1" x14ac:dyDescent="0.25">
      <c r="L46" s="8"/>
      <c r="M46" s="8"/>
      <c r="N46" s="8"/>
      <c r="O46" s="8"/>
      <c r="P46" s="8"/>
      <c r="Q46" s="8"/>
      <c r="R46" s="8"/>
      <c r="S46" s="8"/>
      <c r="T46" s="8"/>
      <c r="U46" s="31"/>
      <c r="V46" s="8"/>
      <c r="W46" s="31"/>
      <c r="X46" s="66"/>
      <c r="Y46" s="31"/>
      <c r="Z46" s="31"/>
      <c r="AA46" s="31"/>
      <c r="AB46" s="67"/>
      <c r="AC46" s="8">
        <v>5611</v>
      </c>
    </row>
    <row r="47" spans="1:40" hidden="1" x14ac:dyDescent="0.25">
      <c r="L47" s="8"/>
      <c r="M47" s="8"/>
      <c r="N47" s="8"/>
      <c r="O47" s="8"/>
      <c r="P47" s="8"/>
      <c r="Q47" s="8"/>
      <c r="R47" s="8"/>
      <c r="S47" s="8"/>
      <c r="T47" s="8"/>
      <c r="U47" s="8"/>
      <c r="V47" s="8"/>
      <c r="W47" s="8"/>
      <c r="X47" s="60"/>
      <c r="Y47" s="9"/>
      <c r="Z47" s="9"/>
      <c r="AA47" s="9"/>
      <c r="AB47" s="61"/>
    </row>
    <row r="48" spans="1:40" s="39" customFormat="1" hidden="1" x14ac:dyDescent="0.25">
      <c r="B48" s="39" t="s">
        <v>271</v>
      </c>
      <c r="K48" s="164"/>
      <c r="L48" s="40">
        <v>476612</v>
      </c>
      <c r="M48" s="40"/>
      <c r="N48" s="40">
        <v>310960</v>
      </c>
      <c r="O48" s="40"/>
      <c r="P48" s="40">
        <v>426300</v>
      </c>
      <c r="Q48" s="40"/>
      <c r="R48" s="40">
        <v>623345</v>
      </c>
      <c r="S48" s="40"/>
      <c r="T48" s="40"/>
      <c r="U48" s="40"/>
      <c r="V48" s="40"/>
      <c r="W48" s="40"/>
      <c r="X48" s="8"/>
      <c r="Y48" s="8"/>
      <c r="Z48" s="8"/>
      <c r="AA48" s="8"/>
      <c r="AB48" s="8"/>
      <c r="AD48" s="105"/>
      <c r="AE48" s="140"/>
      <c r="AF48" s="140"/>
      <c r="AG48" s="140"/>
      <c r="AH48" s="140"/>
      <c r="AI48" s="140"/>
      <c r="AJ48" s="140"/>
      <c r="AK48" s="150"/>
    </row>
    <row r="49" spans="1:41" s="39" customFormat="1" hidden="1" x14ac:dyDescent="0.25">
      <c r="B49" s="39" t="s">
        <v>279</v>
      </c>
      <c r="K49" s="164"/>
      <c r="L49" s="40">
        <f>L48-L22-L35</f>
        <v>52955</v>
      </c>
      <c r="M49" s="40"/>
      <c r="N49" s="40">
        <f>N48-N22-N35</f>
        <v>44630</v>
      </c>
      <c r="O49" s="40"/>
      <c r="P49" s="40">
        <f>P48-P22-P35</f>
        <v>45759</v>
      </c>
      <c r="Q49" s="40"/>
      <c r="R49" s="40">
        <f>R48-R22-R35</f>
        <v>35789</v>
      </c>
      <c r="S49" s="40"/>
      <c r="T49" s="40"/>
      <c r="U49" s="40"/>
      <c r="V49" s="40"/>
      <c r="W49" s="40"/>
      <c r="X49" s="8"/>
      <c r="Y49" s="8"/>
      <c r="Z49" s="8"/>
      <c r="AA49" s="8"/>
      <c r="AB49" s="8"/>
      <c r="AE49" s="140"/>
      <c r="AF49" s="140"/>
      <c r="AG49" s="140"/>
      <c r="AH49" s="140"/>
      <c r="AI49" s="140"/>
      <c r="AJ49" s="140"/>
      <c r="AK49" s="150"/>
    </row>
    <row r="50" spans="1:41" hidden="1" x14ac:dyDescent="0.25">
      <c r="L50" s="8"/>
      <c r="M50" s="8"/>
      <c r="N50" s="8"/>
      <c r="O50" s="8"/>
      <c r="P50" s="8"/>
      <c r="Q50" s="8"/>
      <c r="R50" s="8"/>
      <c r="S50" s="8"/>
      <c r="T50" s="8"/>
      <c r="U50" s="8"/>
      <c r="V50" s="8"/>
      <c r="W50" s="8"/>
      <c r="X50" s="8"/>
      <c r="Y50" s="8"/>
      <c r="Z50" s="8"/>
      <c r="AA50" s="8"/>
      <c r="AB50" s="8"/>
      <c r="AD50" s="108"/>
    </row>
    <row r="51" spans="1:41" s="104" customFormat="1" hidden="1" x14ac:dyDescent="0.25">
      <c r="A51"/>
      <c r="B51"/>
      <c r="C51"/>
      <c r="D51"/>
      <c r="E51"/>
      <c r="F51"/>
      <c r="G51"/>
      <c r="H51"/>
      <c r="I51"/>
      <c r="J51"/>
      <c r="K51" s="161"/>
      <c r="L51" s="8"/>
      <c r="M51" s="8"/>
      <c r="N51" s="8"/>
      <c r="O51" s="8"/>
      <c r="P51" s="8"/>
      <c r="Q51" s="8"/>
      <c r="R51" s="8"/>
      <c r="S51" s="8"/>
      <c r="T51" s="8"/>
      <c r="U51" s="8"/>
      <c r="V51" s="8"/>
      <c r="W51" s="8"/>
      <c r="X51" s="8"/>
      <c r="Y51" s="8"/>
      <c r="Z51" s="8"/>
      <c r="AA51" s="8"/>
      <c r="AB51" s="8"/>
      <c r="AC51"/>
      <c r="AE51" s="108"/>
      <c r="AF51" s="108"/>
      <c r="AG51" s="108"/>
      <c r="AH51" s="108"/>
      <c r="AI51" s="108"/>
      <c r="AJ51" s="108"/>
      <c r="AK51" s="147"/>
      <c r="AL51"/>
      <c r="AM51"/>
      <c r="AN51"/>
      <c r="AO51"/>
    </row>
    <row r="52" spans="1:41" s="104" customFormat="1" hidden="1" x14ac:dyDescent="0.25">
      <c r="A52"/>
      <c r="B52"/>
      <c r="C52"/>
      <c r="D52"/>
      <c r="E52"/>
      <c r="F52"/>
      <c r="G52"/>
      <c r="H52"/>
      <c r="I52"/>
      <c r="J52"/>
      <c r="K52" s="161"/>
      <c r="L52"/>
      <c r="M52"/>
      <c r="N52"/>
      <c r="O52"/>
      <c r="P52"/>
      <c r="Q52"/>
      <c r="R52"/>
      <c r="S52"/>
      <c r="T52"/>
      <c r="U52"/>
      <c r="V52"/>
      <c r="W52"/>
      <c r="X52" s="8"/>
      <c r="Y52" s="8"/>
      <c r="Z52" s="8"/>
      <c r="AA52" s="8"/>
      <c r="AB52" s="8"/>
      <c r="AC52"/>
      <c r="AE52" s="108"/>
      <c r="AF52" s="108"/>
      <c r="AG52" s="108"/>
      <c r="AH52" s="108"/>
      <c r="AI52" s="108"/>
      <c r="AJ52" s="108"/>
      <c r="AK52" s="147"/>
      <c r="AL52"/>
      <c r="AM52"/>
      <c r="AN52"/>
      <c r="AO52"/>
    </row>
    <row r="53" spans="1:41" s="104" customFormat="1" hidden="1" x14ac:dyDescent="0.25">
      <c r="A53"/>
      <c r="B53"/>
      <c r="C53"/>
      <c r="D53"/>
      <c r="E53"/>
      <c r="F53"/>
      <c r="G53"/>
      <c r="H53"/>
      <c r="I53"/>
      <c r="J53"/>
      <c r="K53" s="161"/>
      <c r="L53"/>
      <c r="M53"/>
      <c r="N53"/>
      <c r="O53"/>
      <c r="P53"/>
      <c r="Q53"/>
      <c r="R53"/>
      <c r="S53"/>
      <c r="T53"/>
      <c r="U53"/>
      <c r="V53"/>
      <c r="W53"/>
      <c r="X53" s="8"/>
      <c r="Y53" s="8"/>
      <c r="Z53" s="8"/>
      <c r="AA53" s="8"/>
      <c r="AB53" s="8"/>
      <c r="AC53"/>
      <c r="AE53" s="108"/>
      <c r="AF53" s="108"/>
      <c r="AG53" s="108"/>
      <c r="AH53" s="108"/>
      <c r="AI53" s="108"/>
      <c r="AJ53" s="108"/>
      <c r="AK53" s="147"/>
      <c r="AL53"/>
      <c r="AM53"/>
      <c r="AN53"/>
      <c r="AO53"/>
    </row>
    <row r="54" spans="1:41" s="104" customFormat="1" hidden="1" x14ac:dyDescent="0.25">
      <c r="A54"/>
      <c r="B54"/>
      <c r="C54"/>
      <c r="D54"/>
      <c r="E54"/>
      <c r="F54"/>
      <c r="G54"/>
      <c r="H54"/>
      <c r="I54"/>
      <c r="J54"/>
      <c r="K54" s="161"/>
      <c r="L54"/>
      <c r="M54"/>
      <c r="N54"/>
      <c r="O54"/>
      <c r="P54"/>
      <c r="Q54"/>
      <c r="R54"/>
      <c r="S54"/>
      <c r="T54"/>
      <c r="U54"/>
      <c r="V54"/>
      <c r="W54"/>
      <c r="X54" s="8"/>
      <c r="Y54" s="8"/>
      <c r="Z54" s="8"/>
      <c r="AA54" s="8"/>
      <c r="AB54" s="8"/>
      <c r="AC54"/>
      <c r="AE54" s="108"/>
      <c r="AF54" s="108"/>
      <c r="AG54" s="108"/>
      <c r="AH54" s="108"/>
      <c r="AI54" s="108"/>
      <c r="AJ54" s="108"/>
      <c r="AK54" s="147"/>
      <c r="AL54"/>
      <c r="AM54"/>
      <c r="AN54"/>
      <c r="AO54"/>
    </row>
    <row r="55" spans="1:41" s="104" customFormat="1" hidden="1" x14ac:dyDescent="0.25">
      <c r="A55"/>
      <c r="B55"/>
      <c r="C55"/>
      <c r="D55"/>
      <c r="E55"/>
      <c r="F55"/>
      <c r="G55"/>
      <c r="H55"/>
      <c r="I55"/>
      <c r="J55"/>
      <c r="K55" s="161"/>
      <c r="L55"/>
      <c r="M55"/>
      <c r="N55"/>
      <c r="O55"/>
      <c r="P55"/>
      <c r="Q55"/>
      <c r="R55"/>
      <c r="S55"/>
      <c r="T55"/>
      <c r="U55"/>
      <c r="V55"/>
      <c r="W55"/>
      <c r="X55" s="8"/>
      <c r="Y55" s="8"/>
      <c r="Z55" s="8"/>
      <c r="AA55" s="8"/>
      <c r="AB55" s="8"/>
      <c r="AC55">
        <v>570041</v>
      </c>
      <c r="AE55" s="108"/>
      <c r="AF55" s="108"/>
      <c r="AG55" s="108"/>
      <c r="AH55" s="108"/>
      <c r="AI55" s="108"/>
      <c r="AJ55" s="108"/>
      <c r="AK55" s="147"/>
      <c r="AL55"/>
      <c r="AM55"/>
      <c r="AN55"/>
      <c r="AO55"/>
    </row>
  </sheetData>
  <mergeCells count="2">
    <mergeCell ref="L3:W3"/>
    <mergeCell ref="X3:AB3"/>
  </mergeCells>
  <pageMargins left="0.7" right="0.7" top="0.75" bottom="0.75" header="0.3" footer="0.3"/>
  <pageSetup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28B1-6FCB-4F41-AE53-6B5AE3F8772E}">
  <dimension ref="A1:Z380"/>
  <sheetViews>
    <sheetView topLeftCell="G1" workbookViewId="0">
      <pane ySplit="5" topLeftCell="A365" activePane="bottomLeft" state="frozen"/>
      <selection activeCell="AS53" sqref="AS53"/>
      <selection pane="bottomLeft" activeCell="AS53" sqref="AS53"/>
    </sheetView>
  </sheetViews>
  <sheetFormatPr defaultColWidth="8.85546875" defaultRowHeight="15" x14ac:dyDescent="0.25"/>
  <cols>
    <col min="1" max="1" width="9.85546875" customWidth="1"/>
    <col min="2" max="2" width="9.42578125" customWidth="1"/>
    <col min="3" max="3" width="11.42578125" customWidth="1"/>
    <col min="4" max="4" width="14.42578125" customWidth="1"/>
    <col min="5" max="5" width="7.7109375" customWidth="1"/>
    <col min="6" max="6" width="21.28515625" customWidth="1"/>
    <col min="7" max="7" width="45" customWidth="1"/>
    <col min="8" max="8" width="25.140625" customWidth="1"/>
    <col min="9" max="9" width="29.85546875" customWidth="1"/>
    <col min="10" max="10" width="11.140625" customWidth="1"/>
    <col min="11" max="11" width="10.140625" customWidth="1"/>
    <col min="12" max="12" width="2" style="161" customWidth="1"/>
    <col min="14" max="14" width="13.42578125" customWidth="1"/>
    <col min="15" max="16" width="11.7109375" customWidth="1"/>
    <col min="20" max="20" width="9.85546875" customWidth="1"/>
    <col min="23" max="23" width="9.42578125" bestFit="1" customWidth="1"/>
    <col min="25" max="25" width="10.140625" customWidth="1"/>
    <col min="26" max="26" width="10.42578125" bestFit="1" customWidth="1"/>
  </cols>
  <sheetData>
    <row r="1" spans="1:26" ht="18" x14ac:dyDescent="0.25">
      <c r="A1" s="263" t="s">
        <v>146</v>
      </c>
      <c r="B1" s="264"/>
      <c r="C1" s="264"/>
      <c r="D1" s="264"/>
      <c r="E1" s="264"/>
      <c r="F1" s="264"/>
      <c r="G1" s="264"/>
      <c r="H1" s="264"/>
      <c r="I1" s="264"/>
      <c r="J1" s="264"/>
      <c r="K1" s="264"/>
    </row>
    <row r="2" spans="1:26" ht="18" x14ac:dyDescent="0.25">
      <c r="A2" s="263" t="s">
        <v>548</v>
      </c>
      <c r="B2" s="264"/>
      <c r="C2" s="264"/>
      <c r="D2" s="264"/>
      <c r="E2" s="264"/>
      <c r="F2" s="264"/>
      <c r="G2" s="264"/>
      <c r="H2" s="264"/>
      <c r="I2" s="264"/>
      <c r="J2" s="264"/>
      <c r="K2" s="264"/>
    </row>
    <row r="3" spans="1:26" x14ac:dyDescent="0.25">
      <c r="A3" s="265" t="s">
        <v>549</v>
      </c>
      <c r="B3" s="264"/>
      <c r="C3" s="264"/>
      <c r="D3" s="264"/>
      <c r="E3" s="264"/>
      <c r="F3" s="264"/>
      <c r="G3" s="264"/>
      <c r="H3" s="264"/>
      <c r="I3" s="264"/>
      <c r="J3" s="264"/>
      <c r="K3" s="264"/>
    </row>
    <row r="5" spans="1:26" ht="24.75" x14ac:dyDescent="0.25">
      <c r="B5" s="37" t="s">
        <v>550</v>
      </c>
      <c r="C5" s="37" t="s">
        <v>551</v>
      </c>
      <c r="D5" s="37" t="s">
        <v>552</v>
      </c>
      <c r="E5" s="37" t="s">
        <v>553</v>
      </c>
      <c r="F5" s="37" t="s">
        <v>554</v>
      </c>
      <c r="G5" s="37" t="s">
        <v>555</v>
      </c>
      <c r="H5" s="37" t="s">
        <v>556</v>
      </c>
      <c r="I5" s="37" t="s">
        <v>557</v>
      </c>
      <c r="J5" s="37" t="s">
        <v>558</v>
      </c>
      <c r="K5" s="37" t="s">
        <v>559</v>
      </c>
      <c r="M5" s="36" t="s">
        <v>560</v>
      </c>
      <c r="N5" s="36" t="s">
        <v>561</v>
      </c>
      <c r="O5" s="36" t="s">
        <v>562</v>
      </c>
      <c r="P5" s="36" t="s">
        <v>563</v>
      </c>
      <c r="Q5" s="36" t="s">
        <v>154</v>
      </c>
      <c r="R5" s="36" t="s">
        <v>266</v>
      </c>
      <c r="S5" s="36" t="s">
        <v>265</v>
      </c>
      <c r="T5" s="36" t="s">
        <v>564</v>
      </c>
      <c r="U5" s="36" t="s">
        <v>565</v>
      </c>
      <c r="V5" s="36" t="s">
        <v>566</v>
      </c>
      <c r="W5" s="36" t="s">
        <v>567</v>
      </c>
      <c r="X5" s="36" t="s">
        <v>568</v>
      </c>
      <c r="Y5" s="36" t="s">
        <v>569</v>
      </c>
      <c r="Z5" s="36" t="s">
        <v>570</v>
      </c>
    </row>
    <row r="6" spans="1:26" ht="34.5" x14ac:dyDescent="0.25">
      <c r="A6" s="167" t="s">
        <v>571</v>
      </c>
    </row>
    <row r="7" spans="1:26" x14ac:dyDescent="0.25">
      <c r="B7" s="168" t="s">
        <v>572</v>
      </c>
      <c r="C7" s="168" t="s">
        <v>573</v>
      </c>
      <c r="D7" s="168"/>
      <c r="E7" s="168" t="s">
        <v>574</v>
      </c>
      <c r="F7" s="168" t="s">
        <v>560</v>
      </c>
      <c r="G7" s="168" t="s">
        <v>575</v>
      </c>
      <c r="H7" s="168" t="s">
        <v>576</v>
      </c>
      <c r="I7" s="168" t="s">
        <v>577</v>
      </c>
      <c r="J7" s="169">
        <v>144.74</v>
      </c>
      <c r="K7" s="169">
        <v>144.74</v>
      </c>
      <c r="M7" s="8">
        <f>J7</f>
        <v>144.74</v>
      </c>
      <c r="N7" s="8"/>
      <c r="O7" s="8"/>
      <c r="P7" s="8"/>
      <c r="Q7" s="8"/>
      <c r="R7" s="8"/>
      <c r="S7" s="8"/>
      <c r="T7" s="8"/>
      <c r="U7" s="8"/>
      <c r="V7" s="8"/>
    </row>
    <row r="8" spans="1:26" x14ac:dyDescent="0.25">
      <c r="B8" s="168" t="s">
        <v>578</v>
      </c>
      <c r="C8" s="168" t="s">
        <v>573</v>
      </c>
      <c r="D8" s="168"/>
      <c r="E8" s="168" t="s">
        <v>574</v>
      </c>
      <c r="F8" s="168" t="s">
        <v>579</v>
      </c>
      <c r="G8" s="168" t="s">
        <v>580</v>
      </c>
      <c r="H8" s="168" t="s">
        <v>576</v>
      </c>
      <c r="I8" s="168" t="s">
        <v>581</v>
      </c>
      <c r="J8" s="169">
        <v>46.93</v>
      </c>
      <c r="K8" s="169">
        <v>191.67</v>
      </c>
      <c r="M8" s="8"/>
      <c r="N8" s="8"/>
      <c r="O8" s="8"/>
      <c r="P8" s="8"/>
      <c r="Q8" s="8">
        <f>J8</f>
        <v>46.93</v>
      </c>
      <c r="R8" s="8"/>
      <c r="S8" s="8"/>
      <c r="T8" s="8"/>
      <c r="U8" s="8"/>
      <c r="V8" s="8"/>
    </row>
    <row r="9" spans="1:26" x14ac:dyDescent="0.25">
      <c r="B9" s="168" t="s">
        <v>582</v>
      </c>
      <c r="C9" s="168" t="s">
        <v>573</v>
      </c>
      <c r="D9" s="168"/>
      <c r="E9" s="168" t="s">
        <v>574</v>
      </c>
      <c r="F9" s="168" t="s">
        <v>560</v>
      </c>
      <c r="G9" s="168" t="s">
        <v>575</v>
      </c>
      <c r="H9" s="168" t="s">
        <v>576</v>
      </c>
      <c r="I9" s="168" t="s">
        <v>577</v>
      </c>
      <c r="J9" s="169">
        <v>500</v>
      </c>
      <c r="K9" s="169">
        <v>691.67</v>
      </c>
      <c r="M9" s="8">
        <f>J9</f>
        <v>500</v>
      </c>
      <c r="N9" s="8"/>
      <c r="O9" s="8"/>
      <c r="P9" s="8"/>
      <c r="Q9" s="8"/>
      <c r="R9" s="8"/>
      <c r="S9" s="8"/>
      <c r="T9" s="8"/>
      <c r="U9" s="8"/>
      <c r="V9" s="8"/>
    </row>
    <row r="10" spans="1:26" x14ac:dyDescent="0.25">
      <c r="B10" s="168" t="s">
        <v>583</v>
      </c>
      <c r="C10" s="168" t="s">
        <v>573</v>
      </c>
      <c r="D10" s="168"/>
      <c r="E10" s="168" t="s">
        <v>574</v>
      </c>
      <c r="F10" s="168"/>
      <c r="G10" s="168" t="s">
        <v>584</v>
      </c>
      <c r="H10" s="168" t="s">
        <v>576</v>
      </c>
      <c r="I10" s="168" t="s">
        <v>585</v>
      </c>
      <c r="J10" s="169">
        <v>40.01</v>
      </c>
      <c r="K10" s="169">
        <v>731.68</v>
      </c>
      <c r="M10" s="8"/>
      <c r="N10" s="8"/>
      <c r="O10" s="8"/>
      <c r="P10" s="8"/>
      <c r="Q10" s="8">
        <f>J10</f>
        <v>40.01</v>
      </c>
      <c r="R10" s="8"/>
      <c r="S10" s="8"/>
      <c r="T10" s="8"/>
      <c r="U10" s="8"/>
      <c r="V10" s="8"/>
    </row>
    <row r="11" spans="1:26" x14ac:dyDescent="0.25">
      <c r="B11" s="168" t="s">
        <v>586</v>
      </c>
      <c r="C11" s="168" t="s">
        <v>573</v>
      </c>
      <c r="D11" s="168"/>
      <c r="E11" s="168" t="s">
        <v>574</v>
      </c>
      <c r="F11" s="168" t="s">
        <v>587</v>
      </c>
      <c r="G11" s="168" t="s">
        <v>588</v>
      </c>
      <c r="H11" s="168" t="s">
        <v>576</v>
      </c>
      <c r="I11" s="168" t="s">
        <v>581</v>
      </c>
      <c r="J11" s="169">
        <v>8.98</v>
      </c>
      <c r="K11" s="169">
        <v>740.66</v>
      </c>
      <c r="M11" s="8"/>
      <c r="N11" s="8"/>
      <c r="O11" s="8"/>
      <c r="P11" s="8"/>
      <c r="Q11" s="8">
        <f>J11</f>
        <v>8.98</v>
      </c>
      <c r="R11" s="8"/>
      <c r="S11" s="8"/>
      <c r="T11" s="8"/>
      <c r="U11" s="8"/>
      <c r="V11" s="8"/>
    </row>
    <row r="12" spans="1:26" x14ac:dyDescent="0.25">
      <c r="B12" s="168" t="s">
        <v>589</v>
      </c>
      <c r="C12" s="168" t="s">
        <v>573</v>
      </c>
      <c r="D12" s="168"/>
      <c r="E12" s="168" t="s">
        <v>574</v>
      </c>
      <c r="F12" s="168" t="s">
        <v>560</v>
      </c>
      <c r="G12" s="168" t="s">
        <v>575</v>
      </c>
      <c r="H12" s="168" t="s">
        <v>576</v>
      </c>
      <c r="I12" s="168" t="s">
        <v>577</v>
      </c>
      <c r="J12" s="169">
        <v>533.02</v>
      </c>
      <c r="K12" s="169">
        <v>1273.68</v>
      </c>
      <c r="M12" s="8">
        <f>J12</f>
        <v>533.02</v>
      </c>
      <c r="N12" s="8"/>
      <c r="O12" s="8"/>
      <c r="P12" s="8"/>
      <c r="Q12" s="8"/>
      <c r="R12" s="8"/>
      <c r="S12" s="8"/>
      <c r="T12" s="8"/>
      <c r="U12" s="8"/>
      <c r="V12" s="8"/>
    </row>
    <row r="13" spans="1:26" x14ac:dyDescent="0.25">
      <c r="B13" s="168" t="s">
        <v>590</v>
      </c>
      <c r="C13" s="168" t="s">
        <v>573</v>
      </c>
      <c r="D13" s="168"/>
      <c r="E13" s="168" t="s">
        <v>574</v>
      </c>
      <c r="F13" s="168" t="s">
        <v>591</v>
      </c>
      <c r="G13" s="168" t="s">
        <v>592</v>
      </c>
      <c r="H13" s="168" t="s">
        <v>576</v>
      </c>
      <c r="I13" s="168" t="s">
        <v>581</v>
      </c>
      <c r="J13" s="169">
        <v>25.33</v>
      </c>
      <c r="K13" s="169">
        <v>1299.01</v>
      </c>
      <c r="M13" s="8"/>
      <c r="N13" s="8"/>
      <c r="O13" s="8"/>
      <c r="P13" s="8"/>
      <c r="Q13" s="8">
        <f>J13</f>
        <v>25.33</v>
      </c>
      <c r="R13" s="8"/>
      <c r="S13" s="8"/>
      <c r="T13" s="8"/>
      <c r="U13" s="8"/>
      <c r="V13" s="8"/>
    </row>
    <row r="14" spans="1:26" x14ac:dyDescent="0.25">
      <c r="B14" s="168" t="s">
        <v>593</v>
      </c>
      <c r="C14" s="168" t="s">
        <v>573</v>
      </c>
      <c r="D14" s="168"/>
      <c r="E14" s="168" t="s">
        <v>574</v>
      </c>
      <c r="F14" s="168" t="s">
        <v>560</v>
      </c>
      <c r="G14" s="168" t="s">
        <v>575</v>
      </c>
      <c r="H14" s="168" t="s">
        <v>576</v>
      </c>
      <c r="I14" s="168" t="s">
        <v>577</v>
      </c>
      <c r="J14" s="169">
        <v>500</v>
      </c>
      <c r="K14" s="169">
        <v>1799.01</v>
      </c>
      <c r="M14" s="8">
        <f>J14</f>
        <v>500</v>
      </c>
      <c r="N14" s="8"/>
      <c r="O14" s="8"/>
      <c r="P14" s="8"/>
      <c r="Q14" s="8"/>
      <c r="R14" s="8"/>
      <c r="S14" s="8"/>
      <c r="T14" s="8"/>
      <c r="U14" s="8"/>
      <c r="V14" s="8"/>
    </row>
    <row r="15" spans="1:26" x14ac:dyDescent="0.25">
      <c r="B15" s="168" t="s">
        <v>594</v>
      </c>
      <c r="C15" s="168" t="s">
        <v>573</v>
      </c>
      <c r="D15" s="168"/>
      <c r="E15" s="168" t="s">
        <v>574</v>
      </c>
      <c r="F15" s="168" t="s">
        <v>560</v>
      </c>
      <c r="G15" s="168" t="s">
        <v>575</v>
      </c>
      <c r="H15" s="168" t="s">
        <v>576</v>
      </c>
      <c r="I15" s="168" t="s">
        <v>577</v>
      </c>
      <c r="J15" s="169">
        <v>500</v>
      </c>
      <c r="K15" s="169">
        <v>2299.0100000000002</v>
      </c>
      <c r="M15" s="8">
        <f>J15</f>
        <v>500</v>
      </c>
      <c r="N15" s="8"/>
      <c r="O15" s="8"/>
      <c r="P15" s="8"/>
      <c r="Q15" s="8"/>
      <c r="R15" s="8"/>
      <c r="S15" s="8"/>
      <c r="T15" s="8"/>
      <c r="U15" s="8"/>
      <c r="V15" s="8"/>
    </row>
    <row r="16" spans="1:26" x14ac:dyDescent="0.25">
      <c r="B16" s="168" t="s">
        <v>595</v>
      </c>
      <c r="C16" s="168" t="s">
        <v>573</v>
      </c>
      <c r="D16" s="168"/>
      <c r="E16" s="168" t="s">
        <v>574</v>
      </c>
      <c r="F16" s="168" t="s">
        <v>596</v>
      </c>
      <c r="G16" s="168" t="s">
        <v>597</v>
      </c>
      <c r="H16" s="168" t="s">
        <v>576</v>
      </c>
      <c r="I16" s="168" t="s">
        <v>577</v>
      </c>
      <c r="J16" s="169">
        <v>40</v>
      </c>
      <c r="K16" s="169">
        <v>2339.0100000000002</v>
      </c>
      <c r="M16" s="8"/>
      <c r="N16" s="8"/>
      <c r="O16" s="8"/>
      <c r="P16" s="8"/>
      <c r="Q16" s="8">
        <f>J16</f>
        <v>40</v>
      </c>
      <c r="R16" s="8"/>
      <c r="S16" s="8"/>
      <c r="T16" s="8"/>
      <c r="U16" s="8"/>
      <c r="V16" s="8"/>
    </row>
    <row r="17" spans="2:22" x14ac:dyDescent="0.25">
      <c r="B17" s="168" t="s">
        <v>598</v>
      </c>
      <c r="C17" s="168" t="s">
        <v>573</v>
      </c>
      <c r="D17" s="168"/>
      <c r="E17" s="168" t="s">
        <v>574</v>
      </c>
      <c r="F17" s="168" t="s">
        <v>560</v>
      </c>
      <c r="G17" s="168" t="s">
        <v>575</v>
      </c>
      <c r="H17" s="168" t="s">
        <v>576</v>
      </c>
      <c r="I17" s="168" t="s">
        <v>577</v>
      </c>
      <c r="J17" s="169">
        <v>102.5</v>
      </c>
      <c r="K17" s="169">
        <v>2441.5100000000002</v>
      </c>
      <c r="M17" s="8">
        <f>J17</f>
        <v>102.5</v>
      </c>
      <c r="N17" s="8"/>
      <c r="O17" s="8"/>
      <c r="P17" s="8"/>
      <c r="Q17" s="8"/>
      <c r="R17" s="8"/>
      <c r="S17" s="8"/>
      <c r="T17" s="8"/>
      <c r="U17" s="8"/>
      <c r="V17" s="8"/>
    </row>
    <row r="18" spans="2:22" x14ac:dyDescent="0.25">
      <c r="B18" s="168" t="s">
        <v>599</v>
      </c>
      <c r="C18" s="168" t="s">
        <v>573</v>
      </c>
      <c r="D18" s="168"/>
      <c r="E18" s="168" t="s">
        <v>574</v>
      </c>
      <c r="F18" s="168" t="s">
        <v>596</v>
      </c>
      <c r="G18" s="168" t="s">
        <v>600</v>
      </c>
      <c r="H18" s="168" t="s">
        <v>576</v>
      </c>
      <c r="I18" s="168" t="s">
        <v>577</v>
      </c>
      <c r="J18" s="169">
        <v>36.51</v>
      </c>
      <c r="K18" s="169">
        <v>2478.02</v>
      </c>
      <c r="M18" s="8"/>
      <c r="N18" s="8"/>
      <c r="O18" s="8"/>
      <c r="P18" s="8"/>
      <c r="Q18" s="8">
        <f>J18</f>
        <v>36.51</v>
      </c>
      <c r="R18" s="8"/>
      <c r="S18" s="8"/>
      <c r="T18" s="8"/>
      <c r="U18" s="8"/>
      <c r="V18" s="8"/>
    </row>
    <row r="19" spans="2:22" ht="23.25" x14ac:dyDescent="0.25">
      <c r="B19" s="168" t="s">
        <v>601</v>
      </c>
      <c r="C19" s="168" t="s">
        <v>573</v>
      </c>
      <c r="D19" s="168"/>
      <c r="E19" s="168" t="s">
        <v>574</v>
      </c>
      <c r="F19" s="168" t="s">
        <v>579</v>
      </c>
      <c r="G19" s="168" t="s">
        <v>580</v>
      </c>
      <c r="H19" s="168" t="s">
        <v>576</v>
      </c>
      <c r="I19" s="168" t="s">
        <v>602</v>
      </c>
      <c r="J19" s="169">
        <v>24.83</v>
      </c>
      <c r="K19" s="169">
        <v>2502.85</v>
      </c>
      <c r="M19" s="8"/>
      <c r="N19" s="8"/>
      <c r="O19" s="8"/>
      <c r="P19" s="8"/>
      <c r="Q19" s="8">
        <f>J19</f>
        <v>24.83</v>
      </c>
      <c r="R19" s="8"/>
      <c r="S19" s="8"/>
      <c r="T19" s="8"/>
      <c r="U19" s="8"/>
      <c r="V19" s="8"/>
    </row>
    <row r="20" spans="2:22" x14ac:dyDescent="0.25">
      <c r="B20" s="168" t="s">
        <v>603</v>
      </c>
      <c r="C20" s="168" t="s">
        <v>573</v>
      </c>
      <c r="D20" s="168"/>
      <c r="E20" s="168" t="s">
        <v>574</v>
      </c>
      <c r="F20" s="168" t="s">
        <v>604</v>
      </c>
      <c r="G20" s="168" t="s">
        <v>605</v>
      </c>
      <c r="H20" s="168" t="s">
        <v>576</v>
      </c>
      <c r="I20" s="168" t="s">
        <v>585</v>
      </c>
      <c r="J20" s="169">
        <v>100</v>
      </c>
      <c r="K20" s="169">
        <v>2602.85</v>
      </c>
      <c r="M20" s="8"/>
      <c r="N20" s="8"/>
      <c r="O20" s="8"/>
      <c r="P20" s="8"/>
      <c r="Q20" s="8">
        <f>J20</f>
        <v>100</v>
      </c>
      <c r="R20" s="8"/>
      <c r="S20" s="8"/>
      <c r="T20" s="8"/>
      <c r="U20" s="8"/>
      <c r="V20" s="8"/>
    </row>
    <row r="21" spans="2:22" x14ac:dyDescent="0.25">
      <c r="B21" s="168" t="s">
        <v>606</v>
      </c>
      <c r="C21" s="168" t="s">
        <v>573</v>
      </c>
      <c r="D21" s="168"/>
      <c r="E21" s="168" t="s">
        <v>574</v>
      </c>
      <c r="F21" s="168" t="s">
        <v>560</v>
      </c>
      <c r="G21" s="168" t="s">
        <v>575</v>
      </c>
      <c r="H21" s="168" t="s">
        <v>576</v>
      </c>
      <c r="I21" s="168" t="s">
        <v>577</v>
      </c>
      <c r="J21" s="169">
        <v>500</v>
      </c>
      <c r="K21" s="169">
        <v>3102.85</v>
      </c>
      <c r="M21" s="8">
        <f>J21</f>
        <v>500</v>
      </c>
      <c r="N21" s="8"/>
      <c r="O21" s="8"/>
      <c r="P21" s="8"/>
      <c r="Q21" s="8"/>
      <c r="R21" s="8"/>
      <c r="S21" s="8"/>
      <c r="T21" s="8"/>
      <c r="U21" s="8"/>
      <c r="V21" s="8"/>
    </row>
    <row r="22" spans="2:22" x14ac:dyDescent="0.25">
      <c r="B22" s="168" t="s">
        <v>607</v>
      </c>
      <c r="C22" s="168" t="s">
        <v>573</v>
      </c>
      <c r="D22" s="168"/>
      <c r="E22" s="168" t="s">
        <v>574</v>
      </c>
      <c r="F22" s="168" t="s">
        <v>579</v>
      </c>
      <c r="G22" s="168" t="s">
        <v>580</v>
      </c>
      <c r="H22" s="168" t="s">
        <v>576</v>
      </c>
      <c r="I22" s="168" t="s">
        <v>581</v>
      </c>
      <c r="J22" s="169">
        <v>58.42</v>
      </c>
      <c r="K22" s="169">
        <v>3161.27</v>
      </c>
      <c r="M22" s="8"/>
      <c r="N22" s="8"/>
      <c r="O22" s="8"/>
      <c r="P22" s="8"/>
      <c r="Q22" s="8">
        <f>J22</f>
        <v>58.42</v>
      </c>
      <c r="R22" s="8"/>
      <c r="S22" s="8"/>
      <c r="T22" s="8"/>
      <c r="U22" s="8"/>
      <c r="V22" s="8"/>
    </row>
    <row r="23" spans="2:22" x14ac:dyDescent="0.25">
      <c r="B23" s="168" t="s">
        <v>608</v>
      </c>
      <c r="C23" s="168" t="s">
        <v>573</v>
      </c>
      <c r="D23" s="168"/>
      <c r="E23" s="168" t="s">
        <v>574</v>
      </c>
      <c r="F23" s="168" t="s">
        <v>560</v>
      </c>
      <c r="G23" s="168" t="s">
        <v>575</v>
      </c>
      <c r="H23" s="168" t="s">
        <v>576</v>
      </c>
      <c r="I23" s="168" t="s">
        <v>577</v>
      </c>
      <c r="J23" s="169">
        <v>347.49</v>
      </c>
      <c r="K23" s="169">
        <v>3508.76</v>
      </c>
      <c r="M23" s="8">
        <f>J23</f>
        <v>347.49</v>
      </c>
      <c r="N23" s="8"/>
      <c r="O23" s="8"/>
      <c r="P23" s="8"/>
      <c r="Q23" s="8"/>
      <c r="R23" s="8"/>
      <c r="S23" s="8"/>
      <c r="T23" s="8"/>
      <c r="U23" s="8"/>
      <c r="V23" s="8"/>
    </row>
    <row r="24" spans="2:22" x14ac:dyDescent="0.25">
      <c r="B24" s="168" t="s">
        <v>609</v>
      </c>
      <c r="C24" s="168" t="s">
        <v>573</v>
      </c>
      <c r="D24" s="168"/>
      <c r="E24" s="168" t="s">
        <v>574</v>
      </c>
      <c r="F24" s="168" t="s">
        <v>610</v>
      </c>
      <c r="G24" s="168" t="s">
        <v>611</v>
      </c>
      <c r="H24" s="168" t="s">
        <v>576</v>
      </c>
      <c r="I24" s="168" t="s">
        <v>581</v>
      </c>
      <c r="J24" s="169">
        <v>16.79</v>
      </c>
      <c r="K24" s="169">
        <v>3525.55</v>
      </c>
      <c r="M24" s="8"/>
      <c r="N24" s="8"/>
      <c r="O24" s="8"/>
      <c r="P24" s="8"/>
      <c r="Q24" s="8">
        <f>J24</f>
        <v>16.79</v>
      </c>
      <c r="R24" s="8"/>
      <c r="S24" s="8"/>
      <c r="T24" s="8"/>
      <c r="U24" s="8"/>
      <c r="V24" s="8"/>
    </row>
    <row r="25" spans="2:22" x14ac:dyDescent="0.25">
      <c r="B25" s="168" t="s">
        <v>609</v>
      </c>
      <c r="C25" s="168" t="s">
        <v>573</v>
      </c>
      <c r="D25" s="168"/>
      <c r="E25" s="168" t="s">
        <v>574</v>
      </c>
      <c r="F25" s="168" t="s">
        <v>612</v>
      </c>
      <c r="G25" s="168" t="s">
        <v>613</v>
      </c>
      <c r="H25" s="168" t="s">
        <v>576</v>
      </c>
      <c r="I25" s="168" t="s">
        <v>581</v>
      </c>
      <c r="J25" s="169">
        <v>19.38</v>
      </c>
      <c r="K25" s="169">
        <v>3544.93</v>
      </c>
      <c r="M25" s="8"/>
      <c r="N25" s="8"/>
      <c r="O25" s="8"/>
      <c r="P25" s="8"/>
      <c r="Q25" s="8">
        <f>J25</f>
        <v>19.38</v>
      </c>
      <c r="R25" s="8"/>
      <c r="S25" s="8"/>
      <c r="T25" s="8"/>
      <c r="U25" s="8"/>
      <c r="V25" s="8"/>
    </row>
    <row r="26" spans="2:22" x14ac:dyDescent="0.25">
      <c r="B26" s="168" t="s">
        <v>614</v>
      </c>
      <c r="C26" s="168" t="s">
        <v>573</v>
      </c>
      <c r="D26" s="168"/>
      <c r="E26" s="168" t="s">
        <v>574</v>
      </c>
      <c r="F26" s="168" t="s">
        <v>560</v>
      </c>
      <c r="G26" s="168" t="s">
        <v>575</v>
      </c>
      <c r="H26" s="168" t="s">
        <v>576</v>
      </c>
      <c r="I26" s="168" t="s">
        <v>577</v>
      </c>
      <c r="J26" s="169">
        <v>500</v>
      </c>
      <c r="K26" s="169">
        <v>4044.93</v>
      </c>
      <c r="M26" s="8">
        <f>J26</f>
        <v>500</v>
      </c>
      <c r="N26" s="8"/>
      <c r="O26" s="8"/>
      <c r="P26" s="8"/>
      <c r="Q26" s="8"/>
      <c r="R26" s="8"/>
      <c r="S26" s="8"/>
      <c r="T26" s="8"/>
      <c r="U26" s="8"/>
      <c r="V26" s="8"/>
    </row>
    <row r="27" spans="2:22" x14ac:dyDescent="0.25">
      <c r="B27" s="168" t="s">
        <v>615</v>
      </c>
      <c r="C27" s="168" t="s">
        <v>573</v>
      </c>
      <c r="D27" s="168"/>
      <c r="E27" s="168" t="s">
        <v>574</v>
      </c>
      <c r="F27" s="168" t="s">
        <v>560</v>
      </c>
      <c r="G27" s="168" t="s">
        <v>575</v>
      </c>
      <c r="H27" s="168" t="s">
        <v>576</v>
      </c>
      <c r="I27" s="168" t="s">
        <v>577</v>
      </c>
      <c r="J27" s="169">
        <v>255.18</v>
      </c>
      <c r="K27" s="169">
        <v>4300.1099999999997</v>
      </c>
      <c r="M27" s="8">
        <f t="shared" ref="M27:M31" si="0">J27</f>
        <v>255.18</v>
      </c>
      <c r="N27" s="8"/>
      <c r="O27" s="8"/>
      <c r="P27" s="8"/>
      <c r="Q27" s="8"/>
      <c r="R27" s="8"/>
      <c r="S27" s="8"/>
      <c r="T27" s="8"/>
      <c r="U27" s="8"/>
      <c r="V27" s="8"/>
    </row>
    <row r="28" spans="2:22" x14ac:dyDescent="0.25">
      <c r="B28" s="168" t="s">
        <v>616</v>
      </c>
      <c r="C28" s="168" t="s">
        <v>573</v>
      </c>
      <c r="D28" s="168"/>
      <c r="E28" s="168" t="s">
        <v>574</v>
      </c>
      <c r="F28" s="168" t="s">
        <v>560</v>
      </c>
      <c r="G28" s="168" t="s">
        <v>575</v>
      </c>
      <c r="H28" s="168" t="s">
        <v>576</v>
      </c>
      <c r="I28" s="168" t="s">
        <v>577</v>
      </c>
      <c r="J28" s="169">
        <v>500</v>
      </c>
      <c r="K28" s="169">
        <v>4800.1099999999997</v>
      </c>
      <c r="M28" s="8">
        <f t="shared" si="0"/>
        <v>500</v>
      </c>
      <c r="N28" s="8"/>
      <c r="O28" s="8"/>
      <c r="P28" s="8"/>
      <c r="Q28" s="8"/>
      <c r="R28" s="8"/>
      <c r="S28" s="8"/>
      <c r="T28" s="8"/>
      <c r="U28" s="8"/>
      <c r="V28" s="8"/>
    </row>
    <row r="29" spans="2:22" x14ac:dyDescent="0.25">
      <c r="B29" s="168" t="s">
        <v>617</v>
      </c>
      <c r="C29" s="168" t="s">
        <v>573</v>
      </c>
      <c r="D29" s="168"/>
      <c r="E29" s="168" t="s">
        <v>574</v>
      </c>
      <c r="F29" s="168" t="s">
        <v>560</v>
      </c>
      <c r="G29" s="168" t="s">
        <v>575</v>
      </c>
      <c r="H29" s="168" t="s">
        <v>576</v>
      </c>
      <c r="I29" s="168" t="s">
        <v>577</v>
      </c>
      <c r="J29" s="169">
        <v>500</v>
      </c>
      <c r="K29" s="169">
        <v>5300.11</v>
      </c>
      <c r="M29" s="8">
        <f t="shared" si="0"/>
        <v>500</v>
      </c>
      <c r="N29" s="8"/>
      <c r="O29" s="8"/>
      <c r="P29" s="8"/>
      <c r="Q29" s="8"/>
      <c r="R29" s="8"/>
      <c r="S29" s="8"/>
      <c r="T29" s="8"/>
      <c r="U29" s="8"/>
      <c r="V29" s="8"/>
    </row>
    <row r="30" spans="2:22" x14ac:dyDescent="0.25">
      <c r="B30" s="168" t="s">
        <v>618</v>
      </c>
      <c r="C30" s="168" t="s">
        <v>573</v>
      </c>
      <c r="D30" s="168"/>
      <c r="E30" s="168" t="s">
        <v>574</v>
      </c>
      <c r="F30" s="168" t="s">
        <v>560</v>
      </c>
      <c r="G30" s="168" t="s">
        <v>575</v>
      </c>
      <c r="H30" s="168" t="s">
        <v>576</v>
      </c>
      <c r="I30" s="168" t="s">
        <v>577</v>
      </c>
      <c r="J30" s="169">
        <v>500</v>
      </c>
      <c r="K30" s="169">
        <v>5800.11</v>
      </c>
      <c r="M30" s="8">
        <f t="shared" si="0"/>
        <v>500</v>
      </c>
      <c r="N30" s="8"/>
      <c r="O30" s="8"/>
      <c r="P30" s="8"/>
      <c r="Q30" s="8"/>
      <c r="R30" s="8"/>
      <c r="S30" s="8"/>
      <c r="T30" s="8"/>
      <c r="U30" s="8"/>
      <c r="V30" s="8"/>
    </row>
    <row r="31" spans="2:22" x14ac:dyDescent="0.25">
      <c r="B31" s="168" t="s">
        <v>619</v>
      </c>
      <c r="C31" s="168" t="s">
        <v>573</v>
      </c>
      <c r="D31" s="168"/>
      <c r="E31" s="168" t="s">
        <v>574</v>
      </c>
      <c r="F31" s="168" t="s">
        <v>560</v>
      </c>
      <c r="G31" s="168" t="s">
        <v>620</v>
      </c>
      <c r="H31" s="168" t="s">
        <v>576</v>
      </c>
      <c r="I31" s="168" t="s">
        <v>577</v>
      </c>
      <c r="J31" s="169">
        <v>500</v>
      </c>
      <c r="K31" s="169">
        <v>6300.11</v>
      </c>
      <c r="M31" s="8">
        <f t="shared" si="0"/>
        <v>500</v>
      </c>
      <c r="N31" s="8"/>
      <c r="O31" s="8"/>
      <c r="P31" s="8"/>
      <c r="Q31" s="8"/>
      <c r="R31" s="8"/>
      <c r="S31" s="8"/>
      <c r="T31" s="8"/>
      <c r="U31" s="8"/>
      <c r="V31" s="8"/>
    </row>
    <row r="32" spans="2:22" x14ac:dyDescent="0.25">
      <c r="B32" s="168" t="s">
        <v>621</v>
      </c>
      <c r="C32" s="168" t="s">
        <v>573</v>
      </c>
      <c r="D32" s="168"/>
      <c r="E32" s="168" t="s">
        <v>574</v>
      </c>
      <c r="F32" s="168" t="s">
        <v>622</v>
      </c>
      <c r="G32" s="168" t="s">
        <v>623</v>
      </c>
      <c r="H32" s="168" t="s">
        <v>576</v>
      </c>
      <c r="I32" s="168" t="s">
        <v>585</v>
      </c>
      <c r="J32" s="169">
        <v>4742.97</v>
      </c>
      <c r="K32" s="169">
        <v>11043.08</v>
      </c>
      <c r="M32" s="8"/>
      <c r="N32" s="8"/>
      <c r="O32" s="8"/>
      <c r="P32" s="8"/>
      <c r="Q32" s="8"/>
      <c r="R32" s="8">
        <f>J32</f>
        <v>4742.97</v>
      </c>
      <c r="S32" s="8"/>
      <c r="T32" s="8"/>
      <c r="U32" s="8"/>
      <c r="V32" s="8"/>
    </row>
    <row r="33" spans="2:22" x14ac:dyDescent="0.25">
      <c r="B33" s="168" t="s">
        <v>624</v>
      </c>
      <c r="C33" s="168" t="s">
        <v>573</v>
      </c>
      <c r="D33" s="168"/>
      <c r="E33" s="168" t="s">
        <v>574</v>
      </c>
      <c r="F33" s="168" t="s">
        <v>560</v>
      </c>
      <c r="G33" s="168" t="s">
        <v>620</v>
      </c>
      <c r="H33" s="168" t="s">
        <v>576</v>
      </c>
      <c r="I33" s="168" t="s">
        <v>577</v>
      </c>
      <c r="J33" s="169">
        <v>500</v>
      </c>
      <c r="K33" s="169">
        <v>11543.08</v>
      </c>
      <c r="M33" s="8">
        <f>J33</f>
        <v>500</v>
      </c>
      <c r="N33" s="8"/>
      <c r="O33" s="8"/>
      <c r="P33" s="8"/>
      <c r="Q33" s="8"/>
      <c r="R33" s="8"/>
      <c r="S33" s="8"/>
      <c r="T33" s="8"/>
      <c r="U33" s="8"/>
      <c r="V33" s="8"/>
    </row>
    <row r="34" spans="2:22" x14ac:dyDescent="0.25">
      <c r="B34" s="168" t="s">
        <v>625</v>
      </c>
      <c r="C34" s="168" t="s">
        <v>573</v>
      </c>
      <c r="D34" s="168"/>
      <c r="E34" s="168" t="s">
        <v>574</v>
      </c>
      <c r="F34" s="168" t="s">
        <v>560</v>
      </c>
      <c r="G34" s="168" t="s">
        <v>620</v>
      </c>
      <c r="H34" s="168" t="s">
        <v>576</v>
      </c>
      <c r="I34" s="168" t="s">
        <v>577</v>
      </c>
      <c r="J34" s="169">
        <v>462.65</v>
      </c>
      <c r="K34" s="169">
        <v>12005.73</v>
      </c>
      <c r="M34" s="8">
        <f t="shared" ref="M34:M37" si="1">J34</f>
        <v>462.65</v>
      </c>
      <c r="N34" s="8"/>
      <c r="O34" s="8"/>
      <c r="P34" s="8"/>
      <c r="Q34" s="8"/>
      <c r="R34" s="8"/>
      <c r="S34" s="8"/>
      <c r="T34" s="8"/>
      <c r="U34" s="8"/>
      <c r="V34" s="8"/>
    </row>
    <row r="35" spans="2:22" x14ac:dyDescent="0.25">
      <c r="B35" s="168" t="s">
        <v>626</v>
      </c>
      <c r="C35" s="168" t="s">
        <v>573</v>
      </c>
      <c r="D35" s="168"/>
      <c r="E35" s="168" t="s">
        <v>574</v>
      </c>
      <c r="F35" s="168" t="s">
        <v>560</v>
      </c>
      <c r="G35" s="168" t="s">
        <v>620</v>
      </c>
      <c r="H35" s="168" t="s">
        <v>576</v>
      </c>
      <c r="I35" s="168" t="s">
        <v>577</v>
      </c>
      <c r="J35" s="169">
        <v>500</v>
      </c>
      <c r="K35" s="169">
        <v>12505.73</v>
      </c>
      <c r="M35" s="8">
        <f t="shared" si="1"/>
        <v>500</v>
      </c>
      <c r="N35" s="8"/>
      <c r="O35" s="8"/>
      <c r="P35" s="8"/>
      <c r="Q35" s="8"/>
      <c r="R35" s="8"/>
      <c r="S35" s="8"/>
      <c r="T35" s="8"/>
      <c r="U35" s="8"/>
      <c r="V35" s="8"/>
    </row>
    <row r="36" spans="2:22" x14ac:dyDescent="0.25">
      <c r="B36" s="168" t="s">
        <v>627</v>
      </c>
      <c r="C36" s="168" t="s">
        <v>573</v>
      </c>
      <c r="D36" s="168"/>
      <c r="E36" s="168" t="s">
        <v>574</v>
      </c>
      <c r="F36" s="168" t="s">
        <v>560</v>
      </c>
      <c r="G36" s="168" t="s">
        <v>620</v>
      </c>
      <c r="H36" s="168" t="s">
        <v>576</v>
      </c>
      <c r="I36" s="168" t="s">
        <v>577</v>
      </c>
      <c r="J36" s="169">
        <v>500</v>
      </c>
      <c r="K36" s="169">
        <v>13005.73</v>
      </c>
      <c r="M36" s="8">
        <f t="shared" si="1"/>
        <v>500</v>
      </c>
      <c r="N36" s="8"/>
      <c r="O36" s="8"/>
      <c r="P36" s="8"/>
      <c r="Q36" s="8"/>
      <c r="R36" s="8"/>
      <c r="S36" s="8"/>
      <c r="T36" s="8"/>
      <c r="U36" s="8"/>
      <c r="V36" s="8"/>
    </row>
    <row r="37" spans="2:22" x14ac:dyDescent="0.25">
      <c r="B37" s="168" t="s">
        <v>628</v>
      </c>
      <c r="C37" s="168" t="s">
        <v>573</v>
      </c>
      <c r="D37" s="168"/>
      <c r="E37" s="168" t="s">
        <v>574</v>
      </c>
      <c r="F37" s="168" t="s">
        <v>560</v>
      </c>
      <c r="G37" s="168" t="s">
        <v>620</v>
      </c>
      <c r="H37" s="168" t="s">
        <v>576</v>
      </c>
      <c r="I37" s="168" t="s">
        <v>577</v>
      </c>
      <c r="J37" s="169">
        <v>500</v>
      </c>
      <c r="K37" s="169">
        <v>13505.73</v>
      </c>
      <c r="M37" s="8">
        <f t="shared" si="1"/>
        <v>500</v>
      </c>
      <c r="N37" s="8"/>
      <c r="O37" s="8"/>
      <c r="P37" s="8"/>
      <c r="Q37" s="8"/>
      <c r="R37" s="8"/>
      <c r="S37" s="8"/>
      <c r="T37" s="8"/>
      <c r="U37" s="8"/>
      <c r="V37" s="8"/>
    </row>
    <row r="38" spans="2:22" x14ac:dyDescent="0.25">
      <c r="B38" s="168" t="s">
        <v>629</v>
      </c>
      <c r="C38" s="168" t="s">
        <v>573</v>
      </c>
      <c r="D38" s="168"/>
      <c r="E38" s="168" t="s">
        <v>574</v>
      </c>
      <c r="F38" s="168" t="s">
        <v>622</v>
      </c>
      <c r="G38" s="168" t="s">
        <v>630</v>
      </c>
      <c r="H38" s="168" t="s">
        <v>576</v>
      </c>
      <c r="I38" s="168" t="s">
        <v>585</v>
      </c>
      <c r="J38" s="169">
        <v>2272.29</v>
      </c>
      <c r="K38" s="169">
        <v>15778.02</v>
      </c>
      <c r="M38" s="8"/>
      <c r="N38" s="8"/>
      <c r="O38" s="8"/>
      <c r="P38" s="8"/>
      <c r="Q38" s="8"/>
      <c r="R38" s="8">
        <f>J38</f>
        <v>2272.29</v>
      </c>
      <c r="S38" s="8"/>
      <c r="T38" s="8"/>
      <c r="U38" s="8"/>
      <c r="V38" s="8"/>
    </row>
    <row r="39" spans="2:22" x14ac:dyDescent="0.25">
      <c r="B39" s="168" t="s">
        <v>631</v>
      </c>
      <c r="C39" s="168" t="s">
        <v>573</v>
      </c>
      <c r="D39" s="168"/>
      <c r="E39" s="168" t="s">
        <v>574</v>
      </c>
      <c r="F39" s="168" t="s">
        <v>560</v>
      </c>
      <c r="G39" s="168" t="s">
        <v>632</v>
      </c>
      <c r="H39" s="168" t="s">
        <v>576</v>
      </c>
      <c r="I39" s="168" t="s">
        <v>585</v>
      </c>
      <c r="J39" s="169">
        <v>16.309999999999999</v>
      </c>
      <c r="K39" s="169">
        <v>15794.33</v>
      </c>
      <c r="M39" s="8">
        <f>J39</f>
        <v>16.309999999999999</v>
      </c>
      <c r="N39" s="8"/>
      <c r="O39" s="8"/>
      <c r="P39" s="8"/>
      <c r="Q39" s="8"/>
      <c r="R39" s="8"/>
      <c r="S39" s="8"/>
      <c r="T39" s="8"/>
      <c r="U39" s="8"/>
      <c r="V39" s="8"/>
    </row>
    <row r="40" spans="2:22" x14ac:dyDescent="0.25">
      <c r="B40" s="168" t="s">
        <v>631</v>
      </c>
      <c r="C40" s="168" t="s">
        <v>573</v>
      </c>
      <c r="D40" s="168"/>
      <c r="E40" s="168" t="s">
        <v>574</v>
      </c>
      <c r="F40" s="168" t="s">
        <v>560</v>
      </c>
      <c r="G40" s="168" t="s">
        <v>632</v>
      </c>
      <c r="H40" s="168" t="s">
        <v>576</v>
      </c>
      <c r="I40" s="168" t="s">
        <v>585</v>
      </c>
      <c r="J40" s="169">
        <v>698.51</v>
      </c>
      <c r="K40" s="169">
        <v>16492.84</v>
      </c>
      <c r="M40" s="8">
        <f t="shared" ref="M40:M42" si="2">J40</f>
        <v>698.51</v>
      </c>
      <c r="N40" s="8"/>
      <c r="O40" s="8"/>
      <c r="P40" s="8"/>
      <c r="Q40" s="8"/>
      <c r="R40" s="8"/>
      <c r="S40" s="8"/>
      <c r="T40" s="8"/>
      <c r="U40" s="8"/>
      <c r="V40" s="8"/>
    </row>
    <row r="41" spans="2:22" x14ac:dyDescent="0.25">
      <c r="B41" s="168" t="s">
        <v>633</v>
      </c>
      <c r="C41" s="168" t="s">
        <v>573</v>
      </c>
      <c r="D41" s="168"/>
      <c r="E41" s="168" t="s">
        <v>574</v>
      </c>
      <c r="F41" s="168" t="s">
        <v>560</v>
      </c>
      <c r="G41" s="168" t="s">
        <v>634</v>
      </c>
      <c r="H41" s="168" t="s">
        <v>576</v>
      </c>
      <c r="I41" s="168" t="s">
        <v>585</v>
      </c>
      <c r="J41" s="169">
        <v>500</v>
      </c>
      <c r="K41" s="169">
        <v>16992.84</v>
      </c>
      <c r="M41" s="8">
        <f t="shared" si="2"/>
        <v>500</v>
      </c>
      <c r="N41" s="8"/>
      <c r="O41" s="8"/>
      <c r="P41" s="8"/>
      <c r="Q41" s="8"/>
      <c r="R41" s="8"/>
      <c r="S41" s="8"/>
      <c r="T41" s="8"/>
      <c r="U41" s="8"/>
      <c r="V41" s="8"/>
    </row>
    <row r="42" spans="2:22" x14ac:dyDescent="0.25">
      <c r="B42" s="168" t="s">
        <v>635</v>
      </c>
      <c r="C42" s="168" t="s">
        <v>573</v>
      </c>
      <c r="D42" s="168"/>
      <c r="E42" s="168" t="s">
        <v>574</v>
      </c>
      <c r="F42" s="168" t="s">
        <v>560</v>
      </c>
      <c r="G42" s="168" t="s">
        <v>636</v>
      </c>
      <c r="H42" s="168" t="s">
        <v>576</v>
      </c>
      <c r="I42" s="168" t="s">
        <v>585</v>
      </c>
      <c r="J42" s="169">
        <v>288.12</v>
      </c>
      <c r="K42" s="169">
        <v>17280.96</v>
      </c>
      <c r="M42" s="8">
        <f t="shared" si="2"/>
        <v>288.12</v>
      </c>
      <c r="N42" s="8"/>
      <c r="O42" s="8"/>
      <c r="P42" s="8"/>
      <c r="Q42" s="8"/>
      <c r="R42" s="8"/>
      <c r="S42" s="8"/>
      <c r="T42" s="8"/>
      <c r="U42" s="8"/>
      <c r="V42" s="8"/>
    </row>
    <row r="43" spans="2:22" x14ac:dyDescent="0.25">
      <c r="B43" s="168" t="s">
        <v>637</v>
      </c>
      <c r="C43" s="168" t="s">
        <v>638</v>
      </c>
      <c r="D43" s="168">
        <v>9181</v>
      </c>
      <c r="E43" s="168" t="s">
        <v>574</v>
      </c>
      <c r="F43" s="168" t="s">
        <v>622</v>
      </c>
      <c r="G43" s="168" t="s">
        <v>639</v>
      </c>
      <c r="H43" s="168" t="s">
        <v>576</v>
      </c>
      <c r="I43" s="168" t="s">
        <v>640</v>
      </c>
      <c r="J43" s="169">
        <v>1088.08</v>
      </c>
      <c r="K43" s="169">
        <v>18369.04</v>
      </c>
      <c r="M43" s="8"/>
      <c r="N43" s="8"/>
      <c r="O43" s="8"/>
      <c r="P43" s="8"/>
      <c r="Q43" s="8"/>
      <c r="R43" s="8">
        <f>J43</f>
        <v>1088.08</v>
      </c>
      <c r="S43" s="8"/>
      <c r="T43" s="8"/>
      <c r="U43" s="8"/>
      <c r="V43" s="8"/>
    </row>
    <row r="44" spans="2:22" ht="23.25" x14ac:dyDescent="0.25">
      <c r="B44" s="168" t="s">
        <v>637</v>
      </c>
      <c r="C44" s="168" t="s">
        <v>573</v>
      </c>
      <c r="D44" s="168"/>
      <c r="E44" s="168" t="s">
        <v>574</v>
      </c>
      <c r="F44" s="168" t="s">
        <v>265</v>
      </c>
      <c r="G44" s="168" t="s">
        <v>641</v>
      </c>
      <c r="H44" s="168" t="s">
        <v>576</v>
      </c>
      <c r="I44" s="168" t="s">
        <v>585</v>
      </c>
      <c r="J44" s="169">
        <v>480</v>
      </c>
      <c r="K44" s="169">
        <v>18849.04</v>
      </c>
      <c r="M44" s="8"/>
      <c r="N44" s="8"/>
      <c r="O44" s="8"/>
      <c r="P44" s="8"/>
      <c r="Q44" s="8"/>
      <c r="R44" s="8"/>
      <c r="S44" s="8">
        <f>J44</f>
        <v>480</v>
      </c>
      <c r="T44" s="8"/>
      <c r="U44" s="8"/>
      <c r="V44" s="8"/>
    </row>
    <row r="45" spans="2:22" x14ac:dyDescent="0.25">
      <c r="B45" s="168" t="s">
        <v>637</v>
      </c>
      <c r="C45" s="168" t="s">
        <v>573</v>
      </c>
      <c r="D45" s="168"/>
      <c r="E45" s="168" t="s">
        <v>574</v>
      </c>
      <c r="F45" s="168" t="s">
        <v>560</v>
      </c>
      <c r="G45" s="168" t="s">
        <v>642</v>
      </c>
      <c r="H45" s="168" t="s">
        <v>576</v>
      </c>
      <c r="I45" s="168" t="s">
        <v>585</v>
      </c>
      <c r="J45" s="169">
        <v>500</v>
      </c>
      <c r="K45" s="169">
        <v>19349.04</v>
      </c>
      <c r="M45" s="8">
        <f>J45</f>
        <v>500</v>
      </c>
      <c r="N45" s="8"/>
      <c r="O45" s="8"/>
      <c r="P45" s="8"/>
      <c r="Q45" s="8"/>
      <c r="R45" s="8"/>
      <c r="S45" s="8"/>
      <c r="T45" s="8"/>
      <c r="U45" s="8"/>
      <c r="V45" s="8"/>
    </row>
    <row r="46" spans="2:22" ht="23.25" x14ac:dyDescent="0.25">
      <c r="B46" s="168" t="s">
        <v>643</v>
      </c>
      <c r="C46" s="168" t="s">
        <v>644</v>
      </c>
      <c r="D46" s="168" t="s">
        <v>645</v>
      </c>
      <c r="E46" s="168" t="s">
        <v>574</v>
      </c>
      <c r="F46" s="168" t="s">
        <v>646</v>
      </c>
      <c r="G46" s="168" t="s">
        <v>647</v>
      </c>
      <c r="H46" s="168" t="s">
        <v>576</v>
      </c>
      <c r="I46" s="168" t="s">
        <v>648</v>
      </c>
      <c r="J46" s="169">
        <v>950.24</v>
      </c>
      <c r="K46" s="169">
        <v>20299.28</v>
      </c>
      <c r="M46" s="8"/>
      <c r="N46" s="8"/>
      <c r="O46" s="8"/>
      <c r="P46" s="8"/>
      <c r="Q46" s="8"/>
      <c r="R46" s="8"/>
      <c r="S46" s="8"/>
      <c r="T46" s="8">
        <f>J46</f>
        <v>950.24</v>
      </c>
      <c r="U46" s="8"/>
      <c r="V46" s="8"/>
    </row>
    <row r="47" spans="2:22" ht="23.25" x14ac:dyDescent="0.25">
      <c r="B47" s="168" t="s">
        <v>643</v>
      </c>
      <c r="C47" s="168" t="s">
        <v>644</v>
      </c>
      <c r="D47" s="168" t="s">
        <v>645</v>
      </c>
      <c r="E47" s="168" t="s">
        <v>574</v>
      </c>
      <c r="F47" s="168" t="s">
        <v>646</v>
      </c>
      <c r="G47" s="168" t="s">
        <v>649</v>
      </c>
      <c r="H47" s="168" t="s">
        <v>576</v>
      </c>
      <c r="I47" s="168" t="s">
        <v>648</v>
      </c>
      <c r="J47" s="169">
        <v>122.98</v>
      </c>
      <c r="K47" s="169">
        <v>20422.259999999998</v>
      </c>
      <c r="M47" s="8"/>
      <c r="N47" s="8"/>
      <c r="O47" s="8"/>
      <c r="P47" s="8"/>
      <c r="Q47" s="8"/>
      <c r="R47" s="8"/>
      <c r="S47" s="8"/>
      <c r="T47" s="8">
        <f>J47</f>
        <v>122.98</v>
      </c>
      <c r="U47" s="8"/>
      <c r="V47" s="8"/>
    </row>
    <row r="48" spans="2:22" ht="90.75" x14ac:dyDescent="0.25">
      <c r="B48" s="168" t="s">
        <v>643</v>
      </c>
      <c r="C48" s="168" t="s">
        <v>644</v>
      </c>
      <c r="D48" s="168" t="s">
        <v>645</v>
      </c>
      <c r="E48" s="168" t="s">
        <v>574</v>
      </c>
      <c r="F48" s="168" t="s">
        <v>646</v>
      </c>
      <c r="G48" s="168" t="s">
        <v>650</v>
      </c>
      <c r="H48" s="168" t="s">
        <v>576</v>
      </c>
      <c r="I48" s="168" t="s">
        <v>648</v>
      </c>
      <c r="J48" s="169">
        <v>1194</v>
      </c>
      <c r="K48" s="169">
        <v>21616.26</v>
      </c>
      <c r="M48" s="8"/>
      <c r="N48" s="8"/>
      <c r="O48" s="8"/>
      <c r="P48" s="8"/>
      <c r="Q48" s="8"/>
      <c r="R48" s="8"/>
      <c r="S48" s="8"/>
      <c r="T48" s="8">
        <f>J48</f>
        <v>1194</v>
      </c>
      <c r="U48" s="8"/>
      <c r="V48" s="8"/>
    </row>
    <row r="49" spans="2:22" x14ac:dyDescent="0.25">
      <c r="B49" s="168" t="s">
        <v>643</v>
      </c>
      <c r="C49" s="168" t="s">
        <v>573</v>
      </c>
      <c r="D49" s="168"/>
      <c r="E49" s="168" t="s">
        <v>574</v>
      </c>
      <c r="F49" s="168" t="s">
        <v>560</v>
      </c>
      <c r="G49" s="168" t="s">
        <v>651</v>
      </c>
      <c r="H49" s="168" t="s">
        <v>576</v>
      </c>
      <c r="I49" s="168" t="s">
        <v>585</v>
      </c>
      <c r="J49" s="169">
        <v>500</v>
      </c>
      <c r="K49" s="169">
        <v>22116.26</v>
      </c>
      <c r="M49" s="8">
        <f>J49</f>
        <v>500</v>
      </c>
      <c r="N49" s="8"/>
      <c r="O49" s="8"/>
      <c r="P49" s="8"/>
      <c r="Q49" s="8"/>
      <c r="R49" s="8"/>
      <c r="S49" s="8"/>
      <c r="T49" s="8"/>
      <c r="U49" s="8"/>
      <c r="V49" s="8"/>
    </row>
    <row r="50" spans="2:22" x14ac:dyDescent="0.25">
      <c r="B50" s="168" t="s">
        <v>652</v>
      </c>
      <c r="C50" s="168" t="s">
        <v>573</v>
      </c>
      <c r="D50" s="168"/>
      <c r="E50" s="168" t="s">
        <v>574</v>
      </c>
      <c r="F50" s="168" t="s">
        <v>560</v>
      </c>
      <c r="G50" s="168" t="s">
        <v>653</v>
      </c>
      <c r="H50" s="168" t="s">
        <v>576</v>
      </c>
      <c r="I50" s="168" t="s">
        <v>585</v>
      </c>
      <c r="J50" s="169">
        <v>500</v>
      </c>
      <c r="K50" s="169">
        <v>22616.26</v>
      </c>
      <c r="M50" s="8">
        <f t="shared" ref="M50:M51" si="3">J50</f>
        <v>500</v>
      </c>
      <c r="N50" s="8"/>
      <c r="O50" s="8"/>
      <c r="P50" s="8"/>
      <c r="Q50" s="8"/>
      <c r="R50" s="8"/>
      <c r="S50" s="8"/>
      <c r="T50" s="8"/>
      <c r="U50" s="8"/>
      <c r="V50" s="8"/>
    </row>
    <row r="51" spans="2:22" x14ac:dyDescent="0.25">
      <c r="B51" s="168" t="s">
        <v>654</v>
      </c>
      <c r="C51" s="168" t="s">
        <v>573</v>
      </c>
      <c r="D51" s="168"/>
      <c r="E51" s="168" t="s">
        <v>574</v>
      </c>
      <c r="F51" s="168" t="s">
        <v>560</v>
      </c>
      <c r="G51" s="168" t="s">
        <v>655</v>
      </c>
      <c r="H51" s="168" t="s">
        <v>576</v>
      </c>
      <c r="I51" s="168" t="s">
        <v>585</v>
      </c>
      <c r="J51" s="169">
        <v>500</v>
      </c>
      <c r="K51" s="169">
        <v>23116.26</v>
      </c>
      <c r="M51" s="8">
        <f t="shared" si="3"/>
        <v>500</v>
      </c>
      <c r="N51" s="8"/>
      <c r="O51" s="8"/>
      <c r="P51" s="8"/>
      <c r="Q51" s="8"/>
      <c r="R51" s="8"/>
      <c r="S51" s="8"/>
      <c r="T51" s="8"/>
      <c r="U51" s="8"/>
      <c r="V51" s="8"/>
    </row>
    <row r="52" spans="2:22" ht="23.25" x14ac:dyDescent="0.25">
      <c r="B52" s="168" t="s">
        <v>656</v>
      </c>
      <c r="C52" s="168" t="s">
        <v>638</v>
      </c>
      <c r="D52" s="168">
        <v>9216</v>
      </c>
      <c r="E52" s="168" t="s">
        <v>574</v>
      </c>
      <c r="F52" s="168" t="s">
        <v>622</v>
      </c>
      <c r="G52" s="168" t="s">
        <v>657</v>
      </c>
      <c r="H52" s="168" t="s">
        <v>576</v>
      </c>
      <c r="I52" s="168" t="s">
        <v>640</v>
      </c>
      <c r="J52" s="169">
        <v>11.92</v>
      </c>
      <c r="K52" s="169">
        <v>23128.18</v>
      </c>
      <c r="M52" s="8"/>
      <c r="N52" s="8"/>
      <c r="O52" s="8"/>
      <c r="P52" s="8"/>
      <c r="Q52" s="8"/>
      <c r="R52" s="8">
        <f>J52</f>
        <v>11.92</v>
      </c>
      <c r="S52" s="8"/>
      <c r="T52" s="8"/>
      <c r="U52" s="8"/>
      <c r="V52" s="8"/>
    </row>
    <row r="53" spans="2:22" x14ac:dyDescent="0.25">
      <c r="B53" s="168" t="s">
        <v>658</v>
      </c>
      <c r="C53" s="168" t="s">
        <v>573</v>
      </c>
      <c r="D53" s="168"/>
      <c r="E53" s="168" t="s">
        <v>574</v>
      </c>
      <c r="F53" s="168" t="s">
        <v>560</v>
      </c>
      <c r="G53" s="168" t="s">
        <v>659</v>
      </c>
      <c r="H53" s="168" t="s">
        <v>576</v>
      </c>
      <c r="I53" s="168" t="s">
        <v>585</v>
      </c>
      <c r="J53" s="169">
        <v>500</v>
      </c>
      <c r="K53" s="169">
        <v>23628.18</v>
      </c>
      <c r="M53" s="8">
        <f>J53</f>
        <v>500</v>
      </c>
      <c r="N53" s="8"/>
      <c r="O53" s="8"/>
      <c r="P53" s="8"/>
      <c r="Q53" s="8"/>
      <c r="R53" s="8"/>
      <c r="S53" s="8"/>
      <c r="T53" s="8"/>
      <c r="U53" s="8"/>
      <c r="V53" s="8"/>
    </row>
    <row r="54" spans="2:22" x14ac:dyDescent="0.25">
      <c r="B54" s="168" t="s">
        <v>660</v>
      </c>
      <c r="C54" s="168" t="s">
        <v>573</v>
      </c>
      <c r="D54" s="168"/>
      <c r="E54" s="168" t="s">
        <v>574</v>
      </c>
      <c r="F54" s="168" t="s">
        <v>560</v>
      </c>
      <c r="G54" s="168" t="s">
        <v>661</v>
      </c>
      <c r="H54" s="168" t="s">
        <v>576</v>
      </c>
      <c r="I54" s="168" t="s">
        <v>585</v>
      </c>
      <c r="J54" s="169">
        <v>500</v>
      </c>
      <c r="K54" s="169">
        <v>24128.18</v>
      </c>
      <c r="M54" s="8">
        <f>J54</f>
        <v>500</v>
      </c>
      <c r="N54" s="8"/>
      <c r="O54" s="8"/>
      <c r="P54" s="8"/>
      <c r="Q54" s="8"/>
      <c r="R54" s="8"/>
      <c r="S54" s="8"/>
      <c r="T54" s="8"/>
      <c r="U54" s="8"/>
      <c r="V54" s="8"/>
    </row>
    <row r="55" spans="2:22" ht="45.75" x14ac:dyDescent="0.25">
      <c r="B55" s="168" t="s">
        <v>662</v>
      </c>
      <c r="C55" s="168" t="s">
        <v>573</v>
      </c>
      <c r="D55" s="168"/>
      <c r="E55" s="168" t="s">
        <v>574</v>
      </c>
      <c r="F55" s="168"/>
      <c r="G55" s="168" t="s">
        <v>663</v>
      </c>
      <c r="H55" s="168" t="s">
        <v>576</v>
      </c>
      <c r="I55" s="168" t="s">
        <v>585</v>
      </c>
      <c r="J55" s="169">
        <v>1280</v>
      </c>
      <c r="K55" s="169">
        <v>25408.18</v>
      </c>
      <c r="M55" s="8"/>
      <c r="N55" s="8"/>
      <c r="O55" s="8"/>
      <c r="P55" s="8"/>
      <c r="Q55" s="8">
        <f>J55</f>
        <v>1280</v>
      </c>
      <c r="R55" s="8"/>
      <c r="S55" s="8"/>
      <c r="T55" s="8"/>
      <c r="U55" s="8"/>
      <c r="V55" s="8"/>
    </row>
    <row r="56" spans="2:22" x14ac:dyDescent="0.25">
      <c r="B56" s="168" t="s">
        <v>664</v>
      </c>
      <c r="C56" s="168" t="s">
        <v>638</v>
      </c>
      <c r="D56" s="168" t="s">
        <v>665</v>
      </c>
      <c r="E56" s="168" t="s">
        <v>574</v>
      </c>
      <c r="F56" s="168" t="s">
        <v>622</v>
      </c>
      <c r="G56" s="168" t="s">
        <v>666</v>
      </c>
      <c r="H56" s="168" t="s">
        <v>576</v>
      </c>
      <c r="I56" s="168" t="s">
        <v>640</v>
      </c>
      <c r="J56" s="169">
        <v>7020</v>
      </c>
      <c r="K56" s="169">
        <v>32428.18</v>
      </c>
      <c r="M56" s="8"/>
      <c r="N56" s="8"/>
      <c r="O56" s="8"/>
      <c r="P56" s="8"/>
      <c r="Q56" s="8"/>
      <c r="R56" s="8">
        <f>J56</f>
        <v>7020</v>
      </c>
      <c r="S56" s="8"/>
      <c r="T56" s="8"/>
      <c r="U56" s="8"/>
      <c r="V56" s="8"/>
    </row>
    <row r="57" spans="2:22" x14ac:dyDescent="0.25">
      <c r="B57" s="168" t="s">
        <v>664</v>
      </c>
      <c r="C57" s="168" t="s">
        <v>573</v>
      </c>
      <c r="D57" s="168"/>
      <c r="E57" s="168" t="s">
        <v>574</v>
      </c>
      <c r="F57" s="168" t="s">
        <v>560</v>
      </c>
      <c r="G57" s="168" t="s">
        <v>667</v>
      </c>
      <c r="H57" s="168" t="s">
        <v>576</v>
      </c>
      <c r="I57" s="168" t="s">
        <v>585</v>
      </c>
      <c r="J57" s="169">
        <v>120.57</v>
      </c>
      <c r="K57" s="169">
        <v>32548.75</v>
      </c>
      <c r="M57" s="8">
        <f>J57</f>
        <v>120.57</v>
      </c>
      <c r="N57" s="8"/>
      <c r="O57" s="8"/>
      <c r="P57" s="8"/>
      <c r="Q57" s="8"/>
      <c r="R57" s="8"/>
      <c r="S57" s="8"/>
      <c r="T57" s="8"/>
      <c r="U57" s="8"/>
      <c r="V57" s="8"/>
    </row>
    <row r="58" spans="2:22" x14ac:dyDescent="0.25">
      <c r="B58" s="168" t="s">
        <v>668</v>
      </c>
      <c r="C58" s="168" t="s">
        <v>638</v>
      </c>
      <c r="D58" s="168" t="s">
        <v>669</v>
      </c>
      <c r="E58" s="168" t="s">
        <v>574</v>
      </c>
      <c r="F58" s="168" t="s">
        <v>622</v>
      </c>
      <c r="G58" s="168" t="s">
        <v>670</v>
      </c>
      <c r="H58" s="168" t="s">
        <v>576</v>
      </c>
      <c r="I58" s="168" t="s">
        <v>640</v>
      </c>
      <c r="J58" s="169">
        <v>396.8</v>
      </c>
      <c r="K58" s="169">
        <v>32945.550000000003</v>
      </c>
      <c r="M58" s="8"/>
      <c r="N58" s="8"/>
      <c r="O58" s="8"/>
      <c r="P58" s="8"/>
      <c r="Q58" s="8"/>
      <c r="R58" s="8">
        <f>J58</f>
        <v>396.8</v>
      </c>
      <c r="S58" s="8"/>
      <c r="T58" s="8"/>
      <c r="U58" s="8"/>
      <c r="V58" s="8"/>
    </row>
    <row r="59" spans="2:22" x14ac:dyDescent="0.25">
      <c r="B59" s="168" t="s">
        <v>668</v>
      </c>
      <c r="C59" s="168" t="s">
        <v>573</v>
      </c>
      <c r="D59" s="168"/>
      <c r="E59" s="168" t="s">
        <v>574</v>
      </c>
      <c r="F59" s="168" t="s">
        <v>671</v>
      </c>
      <c r="G59" s="168" t="s">
        <v>672</v>
      </c>
      <c r="H59" s="168" t="s">
        <v>576</v>
      </c>
      <c r="I59" s="168" t="s">
        <v>585</v>
      </c>
      <c r="J59" s="169">
        <v>427.5</v>
      </c>
      <c r="K59" s="169">
        <v>33373.050000000003</v>
      </c>
      <c r="M59" s="8"/>
      <c r="N59" s="8"/>
      <c r="O59" s="8"/>
      <c r="P59" s="8"/>
      <c r="Q59" s="8">
        <f>J59</f>
        <v>427.5</v>
      </c>
      <c r="R59" s="8"/>
      <c r="S59" s="8"/>
      <c r="T59" s="8"/>
      <c r="U59" s="8"/>
      <c r="V59" s="8"/>
    </row>
    <row r="60" spans="2:22" x14ac:dyDescent="0.25">
      <c r="B60" s="168" t="s">
        <v>673</v>
      </c>
      <c r="C60" s="168" t="s">
        <v>573</v>
      </c>
      <c r="D60" s="168"/>
      <c r="E60" s="168" t="s">
        <v>574</v>
      </c>
      <c r="F60" s="168" t="s">
        <v>560</v>
      </c>
      <c r="G60" s="168" t="s">
        <v>674</v>
      </c>
      <c r="H60" s="168" t="s">
        <v>576</v>
      </c>
      <c r="I60" s="168" t="s">
        <v>585</v>
      </c>
      <c r="J60" s="169">
        <v>500</v>
      </c>
      <c r="K60" s="169">
        <v>33873.050000000003</v>
      </c>
      <c r="M60" s="8">
        <f>J60</f>
        <v>500</v>
      </c>
      <c r="N60" s="8"/>
      <c r="O60" s="8"/>
      <c r="P60" s="8"/>
      <c r="Q60" s="8"/>
      <c r="R60" s="8"/>
      <c r="S60" s="8"/>
      <c r="T60" s="8"/>
      <c r="U60" s="8"/>
      <c r="V60" s="8"/>
    </row>
    <row r="61" spans="2:22" x14ac:dyDescent="0.25">
      <c r="B61" s="168" t="s">
        <v>675</v>
      </c>
      <c r="C61" s="168" t="s">
        <v>676</v>
      </c>
      <c r="D61" s="168" t="s">
        <v>677</v>
      </c>
      <c r="E61" s="168" t="s">
        <v>574</v>
      </c>
      <c r="F61" s="168"/>
      <c r="G61" s="168" t="s">
        <v>678</v>
      </c>
      <c r="H61" s="168" t="s">
        <v>576</v>
      </c>
      <c r="I61" s="170" t="s">
        <v>679</v>
      </c>
      <c r="J61" s="169">
        <v>-7020</v>
      </c>
      <c r="K61" s="169">
        <v>26853.05</v>
      </c>
      <c r="M61" s="8"/>
      <c r="N61" s="8"/>
      <c r="O61" s="8"/>
      <c r="P61" s="8"/>
      <c r="Q61" s="8"/>
      <c r="R61" s="8">
        <f>J61</f>
        <v>-7020</v>
      </c>
      <c r="S61" s="8"/>
      <c r="T61" s="8"/>
      <c r="U61" s="8"/>
      <c r="V61" s="8"/>
    </row>
    <row r="62" spans="2:22" ht="23.25" x14ac:dyDescent="0.25">
      <c r="B62" s="168" t="s">
        <v>680</v>
      </c>
      <c r="C62" s="168" t="s">
        <v>681</v>
      </c>
      <c r="D62" s="168"/>
      <c r="E62" s="168" t="s">
        <v>574</v>
      </c>
      <c r="F62" s="168" t="s">
        <v>560</v>
      </c>
      <c r="G62" s="168" t="s">
        <v>682</v>
      </c>
      <c r="H62" s="168" t="s">
        <v>576</v>
      </c>
      <c r="I62" s="168" t="s">
        <v>585</v>
      </c>
      <c r="J62" s="169">
        <v>-120.57</v>
      </c>
      <c r="K62" s="169">
        <v>26732.48</v>
      </c>
      <c r="M62" s="8">
        <f>J62</f>
        <v>-120.57</v>
      </c>
      <c r="N62" s="8"/>
      <c r="O62" s="8"/>
      <c r="P62" s="8"/>
      <c r="Q62" s="8"/>
      <c r="R62" s="8"/>
      <c r="S62" s="8"/>
      <c r="T62" s="8"/>
      <c r="U62" s="8"/>
      <c r="V62" s="8"/>
    </row>
    <row r="63" spans="2:22" ht="23.25" x14ac:dyDescent="0.25">
      <c r="B63" s="168" t="s">
        <v>680</v>
      </c>
      <c r="C63" s="168" t="s">
        <v>681</v>
      </c>
      <c r="D63" s="168"/>
      <c r="E63" s="168" t="s">
        <v>574</v>
      </c>
      <c r="F63" s="168" t="s">
        <v>560</v>
      </c>
      <c r="G63" s="168" t="s">
        <v>682</v>
      </c>
      <c r="H63" s="168" t="s">
        <v>576</v>
      </c>
      <c r="I63" s="168" t="s">
        <v>585</v>
      </c>
      <c r="J63" s="169">
        <v>-16.309999999999999</v>
      </c>
      <c r="K63" s="169">
        <v>26716.17</v>
      </c>
      <c r="M63" s="8">
        <f t="shared" ref="M63:M73" si="4">J63</f>
        <v>-16.309999999999999</v>
      </c>
      <c r="N63" s="8"/>
      <c r="O63" s="8"/>
      <c r="P63" s="8"/>
      <c r="Q63" s="8"/>
      <c r="R63" s="8"/>
      <c r="S63" s="8"/>
      <c r="T63" s="8"/>
      <c r="U63" s="8"/>
      <c r="V63" s="8"/>
    </row>
    <row r="64" spans="2:22" ht="23.25" x14ac:dyDescent="0.25">
      <c r="B64" s="168" t="s">
        <v>680</v>
      </c>
      <c r="C64" s="168" t="s">
        <v>681</v>
      </c>
      <c r="D64" s="168"/>
      <c r="E64" s="168" t="s">
        <v>574</v>
      </c>
      <c r="F64" s="168" t="s">
        <v>560</v>
      </c>
      <c r="G64" s="168" t="s">
        <v>682</v>
      </c>
      <c r="H64" s="168" t="s">
        <v>576</v>
      </c>
      <c r="I64" s="168" t="s">
        <v>585</v>
      </c>
      <c r="J64" s="169">
        <v>-698.51</v>
      </c>
      <c r="K64" s="169">
        <v>26017.66</v>
      </c>
      <c r="M64" s="8">
        <f t="shared" si="4"/>
        <v>-698.51</v>
      </c>
      <c r="N64" s="8"/>
      <c r="O64" s="8"/>
      <c r="P64" s="8"/>
      <c r="Q64" s="8"/>
      <c r="R64" s="8"/>
      <c r="S64" s="8"/>
      <c r="T64" s="8"/>
      <c r="U64" s="8"/>
      <c r="V64" s="8"/>
    </row>
    <row r="65" spans="2:22" ht="23.25" x14ac:dyDescent="0.25">
      <c r="B65" s="168" t="s">
        <v>680</v>
      </c>
      <c r="C65" s="168" t="s">
        <v>681</v>
      </c>
      <c r="D65" s="168"/>
      <c r="E65" s="168" t="s">
        <v>574</v>
      </c>
      <c r="F65" s="168" t="s">
        <v>560</v>
      </c>
      <c r="G65" s="168" t="s">
        <v>682</v>
      </c>
      <c r="H65" s="168" t="s">
        <v>576</v>
      </c>
      <c r="I65" s="168" t="s">
        <v>585</v>
      </c>
      <c r="J65" s="169">
        <v>-500</v>
      </c>
      <c r="K65" s="169">
        <v>25517.66</v>
      </c>
      <c r="M65" s="8">
        <f t="shared" si="4"/>
        <v>-500</v>
      </c>
      <c r="N65" s="8"/>
      <c r="O65" s="8"/>
      <c r="P65" s="8"/>
      <c r="Q65" s="8"/>
      <c r="R65" s="8"/>
      <c r="S65" s="8"/>
      <c r="T65" s="8"/>
      <c r="U65" s="8"/>
      <c r="V65" s="8"/>
    </row>
    <row r="66" spans="2:22" ht="23.25" x14ac:dyDescent="0.25">
      <c r="B66" s="168" t="s">
        <v>680</v>
      </c>
      <c r="C66" s="168" t="s">
        <v>681</v>
      </c>
      <c r="D66" s="168"/>
      <c r="E66" s="168" t="s">
        <v>574</v>
      </c>
      <c r="F66" s="168" t="s">
        <v>560</v>
      </c>
      <c r="G66" s="168" t="s">
        <v>682</v>
      </c>
      <c r="H66" s="168" t="s">
        <v>576</v>
      </c>
      <c r="I66" s="168" t="s">
        <v>585</v>
      </c>
      <c r="J66" s="169">
        <v>-500</v>
      </c>
      <c r="K66" s="169">
        <v>25017.66</v>
      </c>
      <c r="M66" s="8">
        <f t="shared" si="4"/>
        <v>-500</v>
      </c>
      <c r="N66" s="8"/>
      <c r="O66" s="8"/>
      <c r="P66" s="8"/>
      <c r="Q66" s="8"/>
      <c r="R66" s="8"/>
      <c r="S66" s="8"/>
      <c r="T66" s="8"/>
      <c r="U66" s="8"/>
      <c r="V66" s="8"/>
    </row>
    <row r="67" spans="2:22" ht="23.25" x14ac:dyDescent="0.25">
      <c r="B67" s="168" t="s">
        <v>680</v>
      </c>
      <c r="C67" s="168" t="s">
        <v>681</v>
      </c>
      <c r="D67" s="168"/>
      <c r="E67" s="168" t="s">
        <v>574</v>
      </c>
      <c r="F67" s="168" t="s">
        <v>560</v>
      </c>
      <c r="G67" s="168" t="s">
        <v>682</v>
      </c>
      <c r="H67" s="168" t="s">
        <v>576</v>
      </c>
      <c r="I67" s="168" t="s">
        <v>585</v>
      </c>
      <c r="J67" s="169">
        <v>-500</v>
      </c>
      <c r="K67" s="169">
        <v>24517.66</v>
      </c>
      <c r="M67" s="8">
        <f t="shared" si="4"/>
        <v>-500</v>
      </c>
      <c r="N67" s="8"/>
      <c r="O67" s="8"/>
      <c r="P67" s="8"/>
      <c r="Q67" s="8"/>
      <c r="R67" s="8"/>
      <c r="S67" s="8"/>
      <c r="T67" s="8"/>
      <c r="U67" s="8"/>
      <c r="V67" s="8"/>
    </row>
    <row r="68" spans="2:22" ht="23.25" x14ac:dyDescent="0.25">
      <c r="B68" s="168" t="s">
        <v>680</v>
      </c>
      <c r="C68" s="168" t="s">
        <v>681</v>
      </c>
      <c r="D68" s="168"/>
      <c r="E68" s="168" t="s">
        <v>574</v>
      </c>
      <c r="F68" s="168" t="s">
        <v>560</v>
      </c>
      <c r="G68" s="168" t="s">
        <v>682</v>
      </c>
      <c r="H68" s="168" t="s">
        <v>576</v>
      </c>
      <c r="I68" s="168" t="s">
        <v>585</v>
      </c>
      <c r="J68" s="169">
        <v>-500</v>
      </c>
      <c r="K68" s="169">
        <v>24017.66</v>
      </c>
      <c r="M68" s="8">
        <f t="shared" si="4"/>
        <v>-500</v>
      </c>
      <c r="N68" s="8"/>
      <c r="O68" s="8"/>
      <c r="P68" s="8"/>
      <c r="Q68" s="8"/>
      <c r="R68" s="8"/>
      <c r="S68" s="8"/>
      <c r="T68" s="8"/>
      <c r="U68" s="8"/>
      <c r="V68" s="8"/>
    </row>
    <row r="69" spans="2:22" ht="23.25" x14ac:dyDescent="0.25">
      <c r="B69" s="168" t="s">
        <v>680</v>
      </c>
      <c r="C69" s="168" t="s">
        <v>681</v>
      </c>
      <c r="D69" s="168"/>
      <c r="E69" s="168" t="s">
        <v>574</v>
      </c>
      <c r="F69" s="168" t="s">
        <v>560</v>
      </c>
      <c r="G69" s="168" t="s">
        <v>682</v>
      </c>
      <c r="H69" s="168" t="s">
        <v>576</v>
      </c>
      <c r="I69" s="168" t="s">
        <v>585</v>
      </c>
      <c r="J69" s="169">
        <v>-500</v>
      </c>
      <c r="K69" s="169">
        <v>23517.66</v>
      </c>
      <c r="M69" s="8">
        <f t="shared" si="4"/>
        <v>-500</v>
      </c>
      <c r="N69" s="8"/>
      <c r="O69" s="8"/>
      <c r="P69" s="8"/>
      <c r="Q69" s="8"/>
      <c r="R69" s="8"/>
      <c r="S69" s="8"/>
      <c r="T69" s="8"/>
      <c r="U69" s="8"/>
      <c r="V69" s="8"/>
    </row>
    <row r="70" spans="2:22" ht="23.25" x14ac:dyDescent="0.25">
      <c r="B70" s="168" t="s">
        <v>680</v>
      </c>
      <c r="C70" s="168" t="s">
        <v>681</v>
      </c>
      <c r="D70" s="168"/>
      <c r="E70" s="168" t="s">
        <v>574</v>
      </c>
      <c r="F70" s="168" t="s">
        <v>560</v>
      </c>
      <c r="G70" s="168" t="s">
        <v>682</v>
      </c>
      <c r="H70" s="168" t="s">
        <v>576</v>
      </c>
      <c r="I70" s="168" t="s">
        <v>585</v>
      </c>
      <c r="J70" s="169">
        <v>-500</v>
      </c>
      <c r="K70" s="169">
        <v>23017.66</v>
      </c>
      <c r="M70" s="8">
        <f t="shared" si="4"/>
        <v>-500</v>
      </c>
      <c r="N70" s="8"/>
      <c r="O70" s="8"/>
      <c r="P70" s="8"/>
      <c r="Q70" s="8"/>
      <c r="R70" s="8"/>
      <c r="S70" s="8"/>
      <c r="T70" s="8"/>
      <c r="U70" s="8"/>
      <c r="V70" s="8"/>
    </row>
    <row r="71" spans="2:22" ht="23.25" x14ac:dyDescent="0.25">
      <c r="B71" s="168" t="s">
        <v>680</v>
      </c>
      <c r="C71" s="168" t="s">
        <v>681</v>
      </c>
      <c r="D71" s="168"/>
      <c r="E71" s="168" t="s">
        <v>574</v>
      </c>
      <c r="F71" s="168" t="s">
        <v>560</v>
      </c>
      <c r="G71" s="168" t="s">
        <v>682</v>
      </c>
      <c r="H71" s="168" t="s">
        <v>576</v>
      </c>
      <c r="I71" s="168" t="s">
        <v>585</v>
      </c>
      <c r="J71" s="169">
        <v>-500</v>
      </c>
      <c r="K71" s="169">
        <v>22517.66</v>
      </c>
      <c r="M71" s="8">
        <f t="shared" si="4"/>
        <v>-500</v>
      </c>
      <c r="N71" s="8"/>
      <c r="O71" s="8"/>
      <c r="P71" s="8"/>
      <c r="Q71" s="8"/>
      <c r="R71" s="8"/>
      <c r="S71" s="8"/>
      <c r="T71" s="8"/>
      <c r="U71" s="8"/>
      <c r="V71" s="8"/>
    </row>
    <row r="72" spans="2:22" ht="23.25" x14ac:dyDescent="0.25">
      <c r="B72" s="168" t="s">
        <v>680</v>
      </c>
      <c r="C72" s="168" t="s">
        <v>681</v>
      </c>
      <c r="D72" s="168"/>
      <c r="E72" s="168" t="s">
        <v>574</v>
      </c>
      <c r="F72" s="168" t="s">
        <v>560</v>
      </c>
      <c r="G72" s="168" t="s">
        <v>682</v>
      </c>
      <c r="H72" s="168" t="s">
        <v>576</v>
      </c>
      <c r="I72" s="168" t="s">
        <v>585</v>
      </c>
      <c r="J72" s="169">
        <v>-288.12</v>
      </c>
      <c r="K72" s="169">
        <v>22229.54</v>
      </c>
      <c r="M72" s="8">
        <f t="shared" si="4"/>
        <v>-288.12</v>
      </c>
      <c r="N72" s="8"/>
      <c r="O72" s="8"/>
      <c r="P72" s="8"/>
      <c r="Q72" s="8"/>
      <c r="R72" s="8"/>
      <c r="S72" s="8"/>
      <c r="T72" s="8"/>
      <c r="U72" s="8"/>
      <c r="V72" s="8"/>
    </row>
    <row r="73" spans="2:22" ht="45.75" x14ac:dyDescent="0.25">
      <c r="B73" s="168" t="s">
        <v>683</v>
      </c>
      <c r="C73" s="168" t="s">
        <v>681</v>
      </c>
      <c r="D73" s="168"/>
      <c r="E73" s="168" t="s">
        <v>574</v>
      </c>
      <c r="F73" s="168" t="s">
        <v>560</v>
      </c>
      <c r="G73" s="168" t="s">
        <v>684</v>
      </c>
      <c r="H73" s="168" t="s">
        <v>576</v>
      </c>
      <c r="I73" s="168" t="s">
        <v>585</v>
      </c>
      <c r="J73" s="169">
        <v>-0.23</v>
      </c>
      <c r="K73" s="169">
        <v>22229.31</v>
      </c>
      <c r="M73" s="8">
        <f t="shared" si="4"/>
        <v>-0.23</v>
      </c>
      <c r="N73" s="8"/>
      <c r="O73" s="8"/>
      <c r="P73" s="8"/>
      <c r="Q73" s="8"/>
      <c r="R73" s="8"/>
      <c r="S73" s="8"/>
      <c r="T73" s="8"/>
      <c r="U73" s="8"/>
      <c r="V73" s="8"/>
    </row>
    <row r="74" spans="2:22" x14ac:dyDescent="0.25">
      <c r="B74" s="168" t="s">
        <v>685</v>
      </c>
      <c r="C74" s="168" t="s">
        <v>573</v>
      </c>
      <c r="D74" s="168"/>
      <c r="E74" s="168" t="s">
        <v>574</v>
      </c>
      <c r="F74" s="168" t="s">
        <v>671</v>
      </c>
      <c r="G74" s="168" t="s">
        <v>686</v>
      </c>
      <c r="H74" s="168" t="s">
        <v>576</v>
      </c>
      <c r="I74" s="168" t="s">
        <v>585</v>
      </c>
      <c r="J74" s="169">
        <v>153.9</v>
      </c>
      <c r="K74" s="169">
        <v>22383.21</v>
      </c>
      <c r="M74" s="8"/>
      <c r="N74" s="8"/>
      <c r="O74" s="8"/>
      <c r="P74" s="8"/>
      <c r="Q74" s="8">
        <f>J74</f>
        <v>153.9</v>
      </c>
      <c r="R74" s="8"/>
      <c r="S74" s="8"/>
      <c r="T74" s="8"/>
      <c r="U74" s="8"/>
      <c r="V74" s="8"/>
    </row>
    <row r="75" spans="2:22" x14ac:dyDescent="0.25">
      <c r="B75" s="168" t="s">
        <v>687</v>
      </c>
      <c r="C75" s="168" t="s">
        <v>638</v>
      </c>
      <c r="D75" s="168">
        <v>9358</v>
      </c>
      <c r="E75" s="168" t="s">
        <v>574</v>
      </c>
      <c r="F75" s="168" t="s">
        <v>622</v>
      </c>
      <c r="G75" s="168" t="s">
        <v>688</v>
      </c>
      <c r="H75" s="168" t="s">
        <v>576</v>
      </c>
      <c r="I75" s="168" t="s">
        <v>640</v>
      </c>
      <c r="J75" s="169">
        <v>100</v>
      </c>
      <c r="K75" s="169">
        <v>22483.21</v>
      </c>
      <c r="M75" s="8"/>
      <c r="N75" s="8"/>
      <c r="O75" s="8"/>
      <c r="P75" s="8"/>
      <c r="Q75" s="8"/>
      <c r="R75" s="8">
        <f>J75</f>
        <v>100</v>
      </c>
      <c r="S75" s="8"/>
      <c r="T75" s="8"/>
      <c r="U75" s="8"/>
      <c r="V75" s="8"/>
    </row>
    <row r="76" spans="2:22" x14ac:dyDescent="0.25">
      <c r="B76" s="168" t="s">
        <v>689</v>
      </c>
      <c r="C76" s="168" t="s">
        <v>573</v>
      </c>
      <c r="D76" s="168"/>
      <c r="E76" s="168" t="s">
        <v>574</v>
      </c>
      <c r="F76" s="168" t="s">
        <v>671</v>
      </c>
      <c r="G76" s="168" t="s">
        <v>690</v>
      </c>
      <c r="H76" s="168" t="s">
        <v>576</v>
      </c>
      <c r="I76" s="168" t="s">
        <v>585</v>
      </c>
      <c r="J76" s="169">
        <v>319.68</v>
      </c>
      <c r="K76" s="169">
        <v>22802.89</v>
      </c>
      <c r="M76" s="8"/>
      <c r="N76" s="8"/>
      <c r="O76" s="8"/>
      <c r="P76" s="8"/>
      <c r="Q76" s="8">
        <f>J76</f>
        <v>319.68</v>
      </c>
      <c r="R76" s="8"/>
      <c r="S76" s="8"/>
      <c r="T76" s="8"/>
      <c r="U76" s="8"/>
      <c r="V76" s="8"/>
    </row>
    <row r="77" spans="2:22" x14ac:dyDescent="0.25">
      <c r="B77" s="168" t="s">
        <v>691</v>
      </c>
      <c r="C77" s="168" t="s">
        <v>638</v>
      </c>
      <c r="D77" s="168" t="s">
        <v>692</v>
      </c>
      <c r="E77" s="168" t="s">
        <v>574</v>
      </c>
      <c r="F77" s="168" t="s">
        <v>622</v>
      </c>
      <c r="G77" s="168" t="s">
        <v>693</v>
      </c>
      <c r="H77" s="168" t="s">
        <v>576</v>
      </c>
      <c r="I77" s="168" t="s">
        <v>640</v>
      </c>
      <c r="J77" s="169">
        <v>135</v>
      </c>
      <c r="K77" s="169">
        <v>22937.89</v>
      </c>
      <c r="M77" s="8"/>
      <c r="N77" s="8"/>
      <c r="O77" s="8"/>
      <c r="P77" s="8"/>
      <c r="Q77" s="8"/>
      <c r="R77" s="8">
        <f>J77</f>
        <v>135</v>
      </c>
      <c r="S77" s="8"/>
      <c r="T77" s="8"/>
      <c r="U77" s="8"/>
      <c r="V77" s="8"/>
    </row>
    <row r="78" spans="2:22" x14ac:dyDescent="0.25">
      <c r="B78" s="168" t="s">
        <v>691</v>
      </c>
      <c r="C78" s="168" t="s">
        <v>638</v>
      </c>
      <c r="D78" s="168" t="s">
        <v>694</v>
      </c>
      <c r="E78" s="168" t="s">
        <v>574</v>
      </c>
      <c r="F78" s="168" t="s">
        <v>622</v>
      </c>
      <c r="G78" s="168" t="s">
        <v>695</v>
      </c>
      <c r="H78" s="168" t="s">
        <v>576</v>
      </c>
      <c r="I78" s="168" t="s">
        <v>640</v>
      </c>
      <c r="J78" s="169">
        <v>471.2</v>
      </c>
      <c r="K78" s="169">
        <v>23409.09</v>
      </c>
      <c r="M78" s="8"/>
      <c r="N78" s="8"/>
      <c r="O78" s="8"/>
      <c r="P78" s="8"/>
      <c r="Q78" s="8"/>
      <c r="R78" s="8">
        <f t="shared" ref="R78:R79" si="5">J78</f>
        <v>471.2</v>
      </c>
      <c r="S78" s="8"/>
      <c r="T78" s="8"/>
      <c r="U78" s="8"/>
      <c r="V78" s="8"/>
    </row>
    <row r="79" spans="2:22" x14ac:dyDescent="0.25">
      <c r="B79" s="168" t="s">
        <v>691</v>
      </c>
      <c r="C79" s="168" t="s">
        <v>638</v>
      </c>
      <c r="D79" s="168" t="s">
        <v>694</v>
      </c>
      <c r="E79" s="168" t="s">
        <v>574</v>
      </c>
      <c r="F79" s="168" t="s">
        <v>622</v>
      </c>
      <c r="G79" s="168">
        <v>904435</v>
      </c>
      <c r="H79" s="168" t="s">
        <v>576</v>
      </c>
      <c r="I79" s="168" t="s">
        <v>640</v>
      </c>
      <c r="J79" s="169">
        <v>471.2</v>
      </c>
      <c r="K79" s="169">
        <v>23880.29</v>
      </c>
      <c r="M79" s="8"/>
      <c r="N79" s="8"/>
      <c r="O79" s="8"/>
      <c r="P79" s="8"/>
      <c r="Q79" s="8"/>
      <c r="R79" s="8">
        <f t="shared" si="5"/>
        <v>471.2</v>
      </c>
      <c r="S79" s="8"/>
      <c r="T79" s="8"/>
      <c r="U79" s="8"/>
      <c r="V79" s="8"/>
    </row>
    <row r="80" spans="2:22" x14ac:dyDescent="0.25">
      <c r="B80" s="168" t="s">
        <v>696</v>
      </c>
      <c r="C80" s="168" t="s">
        <v>697</v>
      </c>
      <c r="D80" s="168">
        <v>9402</v>
      </c>
      <c r="E80" s="168" t="s">
        <v>574</v>
      </c>
      <c r="F80" s="168" t="s">
        <v>698</v>
      </c>
      <c r="G80" s="168" t="s">
        <v>699</v>
      </c>
      <c r="H80" s="168" t="s">
        <v>576</v>
      </c>
      <c r="I80" s="168" t="s">
        <v>640</v>
      </c>
      <c r="J80" s="169">
        <v>432</v>
      </c>
      <c r="K80" s="169">
        <v>24312.29</v>
      </c>
      <c r="M80" s="8"/>
      <c r="N80" s="8"/>
      <c r="O80" s="8"/>
      <c r="P80" s="8"/>
      <c r="Q80" s="8">
        <f>J80</f>
        <v>432</v>
      </c>
      <c r="R80" s="8"/>
      <c r="S80" s="8"/>
      <c r="T80" s="8"/>
      <c r="U80" s="8"/>
      <c r="V80" s="8"/>
    </row>
    <row r="81" spans="1:22" ht="23.25" x14ac:dyDescent="0.25">
      <c r="B81" s="168" t="s">
        <v>700</v>
      </c>
      <c r="C81" s="168" t="s">
        <v>644</v>
      </c>
      <c r="D81" s="168" t="s">
        <v>701</v>
      </c>
      <c r="E81" s="168" t="s">
        <v>574</v>
      </c>
      <c r="F81" s="168" t="s">
        <v>702</v>
      </c>
      <c r="G81" s="168" t="s">
        <v>703</v>
      </c>
      <c r="H81" s="168" t="s">
        <v>576</v>
      </c>
      <c r="I81" s="168" t="s">
        <v>648</v>
      </c>
      <c r="J81" s="169">
        <v>300</v>
      </c>
      <c r="K81" s="169">
        <v>24612.29</v>
      </c>
      <c r="M81" s="8"/>
      <c r="N81" s="8"/>
      <c r="O81" s="8"/>
      <c r="P81" s="8"/>
      <c r="Q81" s="8">
        <f t="shared" ref="Q81:Q82" si="6">J81</f>
        <v>300</v>
      </c>
      <c r="R81" s="8"/>
      <c r="S81" s="8"/>
      <c r="T81" s="8"/>
      <c r="U81" s="8"/>
      <c r="V81" s="8"/>
    </row>
    <row r="82" spans="1:22" ht="23.25" x14ac:dyDescent="0.25">
      <c r="B82" s="168" t="s">
        <v>700</v>
      </c>
      <c r="C82" s="168" t="s">
        <v>644</v>
      </c>
      <c r="D82" s="168" t="s">
        <v>704</v>
      </c>
      <c r="E82" s="168" t="s">
        <v>574</v>
      </c>
      <c r="F82" s="168" t="s">
        <v>702</v>
      </c>
      <c r="G82" s="168" t="s">
        <v>703</v>
      </c>
      <c r="H82" s="168" t="s">
        <v>576</v>
      </c>
      <c r="I82" s="168" t="s">
        <v>648</v>
      </c>
      <c r="J82" s="169">
        <v>350</v>
      </c>
      <c r="K82" s="169">
        <v>24962.29</v>
      </c>
      <c r="M82" s="8"/>
      <c r="N82" s="8"/>
      <c r="O82" s="8"/>
      <c r="P82" s="8"/>
      <c r="Q82" s="8">
        <f t="shared" si="6"/>
        <v>350</v>
      </c>
      <c r="R82" s="8"/>
      <c r="S82" s="8"/>
      <c r="T82" s="8"/>
      <c r="U82" s="8"/>
      <c r="V82" s="8"/>
    </row>
    <row r="83" spans="1:22" ht="45.75" x14ac:dyDescent="0.25">
      <c r="A83" s="167" t="s">
        <v>705</v>
      </c>
      <c r="J83" s="171">
        <v>24962.29</v>
      </c>
      <c r="M83" s="8"/>
      <c r="N83" s="8"/>
      <c r="O83" s="8"/>
      <c r="P83" s="8"/>
      <c r="Q83" s="8"/>
      <c r="R83" s="8"/>
      <c r="S83" s="8"/>
      <c r="T83" s="8"/>
      <c r="U83" s="8"/>
      <c r="V83" s="8"/>
    </row>
    <row r="84" spans="1:22" ht="34.5" x14ac:dyDescent="0.25">
      <c r="A84" s="167" t="s">
        <v>706</v>
      </c>
      <c r="M84" s="8"/>
      <c r="N84" s="8"/>
      <c r="O84" s="8"/>
      <c r="P84" s="8"/>
      <c r="Q84" s="8"/>
      <c r="R84" s="8"/>
      <c r="S84" s="8"/>
      <c r="T84" s="8"/>
      <c r="U84" s="8"/>
      <c r="V84" s="8"/>
    </row>
    <row r="85" spans="1:22" ht="34.5" x14ac:dyDescent="0.25">
      <c r="B85" s="168" t="s">
        <v>707</v>
      </c>
      <c r="C85" s="168" t="s">
        <v>573</v>
      </c>
      <c r="D85" s="168"/>
      <c r="E85" s="168" t="s">
        <v>574</v>
      </c>
      <c r="F85" s="168" t="s">
        <v>708</v>
      </c>
      <c r="G85" s="168" t="s">
        <v>709</v>
      </c>
      <c r="H85" s="168" t="s">
        <v>710</v>
      </c>
      <c r="I85" s="168" t="s">
        <v>577</v>
      </c>
      <c r="J85" s="169">
        <v>439.23</v>
      </c>
      <c r="K85" s="169">
        <v>439.23</v>
      </c>
      <c r="M85" s="8"/>
      <c r="N85" s="8"/>
      <c r="O85" s="8"/>
      <c r="P85" s="8"/>
      <c r="Q85" s="8">
        <f>J85</f>
        <v>439.23</v>
      </c>
      <c r="R85" s="8"/>
      <c r="S85" s="8"/>
      <c r="T85" s="8"/>
      <c r="U85" s="8"/>
      <c r="V85" s="8"/>
    </row>
    <row r="86" spans="1:22" ht="34.5" x14ac:dyDescent="0.25">
      <c r="B86" s="168" t="s">
        <v>711</v>
      </c>
      <c r="C86" s="168" t="s">
        <v>573</v>
      </c>
      <c r="D86" s="168"/>
      <c r="E86" s="168" t="s">
        <v>574</v>
      </c>
      <c r="F86" s="168" t="s">
        <v>712</v>
      </c>
      <c r="G86" s="168" t="s">
        <v>713</v>
      </c>
      <c r="H86" s="168" t="s">
        <v>710</v>
      </c>
      <c r="I86" s="168" t="s">
        <v>602</v>
      </c>
      <c r="J86" s="169">
        <v>897.95</v>
      </c>
      <c r="K86" s="169">
        <v>1337.18</v>
      </c>
      <c r="M86" s="8"/>
      <c r="N86" s="8"/>
      <c r="O86" s="8"/>
      <c r="P86" s="8"/>
      <c r="Q86" s="8">
        <f t="shared" ref="Q86:Q89" si="7">J86</f>
        <v>897.95</v>
      </c>
      <c r="R86" s="8"/>
      <c r="S86" s="8"/>
      <c r="T86" s="8"/>
      <c r="U86" s="8"/>
      <c r="V86" s="8"/>
    </row>
    <row r="87" spans="1:22" ht="34.5" x14ac:dyDescent="0.25">
      <c r="B87" s="168" t="s">
        <v>714</v>
      </c>
      <c r="C87" s="168" t="s">
        <v>573</v>
      </c>
      <c r="D87" s="168"/>
      <c r="E87" s="168" t="s">
        <v>574</v>
      </c>
      <c r="F87" s="168" t="s">
        <v>712</v>
      </c>
      <c r="G87" s="168" t="s">
        <v>715</v>
      </c>
      <c r="H87" s="168" t="s">
        <v>710</v>
      </c>
      <c r="I87" s="168" t="s">
        <v>577</v>
      </c>
      <c r="J87" s="169">
        <v>474.4</v>
      </c>
      <c r="K87" s="169">
        <v>1811.58</v>
      </c>
      <c r="M87" s="8"/>
      <c r="N87" s="8"/>
      <c r="O87" s="8"/>
      <c r="P87" s="8"/>
      <c r="Q87" s="8">
        <f t="shared" si="7"/>
        <v>474.4</v>
      </c>
      <c r="R87" s="8"/>
      <c r="S87" s="8"/>
      <c r="T87" s="8"/>
      <c r="U87" s="8"/>
      <c r="V87" s="8"/>
    </row>
    <row r="88" spans="1:22" ht="34.5" x14ac:dyDescent="0.25">
      <c r="B88" s="168" t="s">
        <v>625</v>
      </c>
      <c r="C88" s="168" t="s">
        <v>716</v>
      </c>
      <c r="D88" s="168">
        <v>1035</v>
      </c>
      <c r="E88" s="168" t="s">
        <v>574</v>
      </c>
      <c r="F88" s="168" t="s">
        <v>717</v>
      </c>
      <c r="G88" s="168" t="s">
        <v>718</v>
      </c>
      <c r="H88" s="168" t="s">
        <v>710</v>
      </c>
      <c r="I88" s="168" t="s">
        <v>585</v>
      </c>
      <c r="J88" s="169">
        <v>80</v>
      </c>
      <c r="K88" s="169">
        <v>1891.58</v>
      </c>
      <c r="M88" s="8"/>
      <c r="N88" s="8"/>
      <c r="O88" s="8"/>
      <c r="P88" s="8"/>
      <c r="Q88" s="8">
        <f t="shared" si="7"/>
        <v>80</v>
      </c>
      <c r="R88" s="8"/>
      <c r="S88" s="8"/>
      <c r="T88" s="8"/>
      <c r="U88" s="8"/>
      <c r="V88" s="8"/>
    </row>
    <row r="89" spans="1:22" ht="34.5" x14ac:dyDescent="0.25">
      <c r="B89" s="168" t="s">
        <v>626</v>
      </c>
      <c r="C89" s="168" t="s">
        <v>573</v>
      </c>
      <c r="D89" s="168"/>
      <c r="E89" s="168" t="s">
        <v>574</v>
      </c>
      <c r="F89" s="168" t="s">
        <v>712</v>
      </c>
      <c r="G89" s="168" t="s">
        <v>715</v>
      </c>
      <c r="H89" s="168" t="s">
        <v>710</v>
      </c>
      <c r="I89" s="168" t="s">
        <v>577</v>
      </c>
      <c r="J89" s="169">
        <v>389.33</v>
      </c>
      <c r="K89" s="169">
        <v>2280.91</v>
      </c>
      <c r="M89" s="8"/>
      <c r="N89" s="8"/>
      <c r="O89" s="8"/>
      <c r="P89" s="8"/>
      <c r="Q89" s="8">
        <f t="shared" si="7"/>
        <v>389.33</v>
      </c>
      <c r="R89" s="8"/>
      <c r="S89" s="8"/>
      <c r="T89" s="8"/>
      <c r="U89" s="8"/>
      <c r="V89" s="8"/>
    </row>
    <row r="90" spans="1:22" ht="45.75" x14ac:dyDescent="0.25">
      <c r="A90" s="167" t="s">
        <v>719</v>
      </c>
      <c r="J90" s="171">
        <v>2280.91</v>
      </c>
      <c r="M90" s="8"/>
      <c r="N90" s="8"/>
      <c r="O90" s="8"/>
      <c r="P90" s="8"/>
      <c r="Q90" s="8"/>
      <c r="R90" s="8"/>
      <c r="S90" s="8"/>
      <c r="T90" s="8"/>
      <c r="U90" s="8"/>
      <c r="V90" s="8"/>
    </row>
    <row r="91" spans="1:22" ht="34.5" x14ac:dyDescent="0.25">
      <c r="A91" s="167" t="s">
        <v>720</v>
      </c>
      <c r="M91" s="8"/>
      <c r="N91" s="8"/>
      <c r="O91" s="8"/>
      <c r="P91" s="8"/>
      <c r="R91" s="8"/>
      <c r="S91" s="8"/>
      <c r="T91" s="8"/>
      <c r="U91" s="8"/>
      <c r="V91" s="8"/>
    </row>
    <row r="92" spans="1:22" ht="34.5" x14ac:dyDescent="0.25">
      <c r="B92" s="168" t="s">
        <v>721</v>
      </c>
      <c r="C92" s="168" t="s">
        <v>573</v>
      </c>
      <c r="D92" s="168"/>
      <c r="E92" s="168" t="s">
        <v>574</v>
      </c>
      <c r="F92" s="168" t="s">
        <v>722</v>
      </c>
      <c r="G92" s="168" t="s">
        <v>723</v>
      </c>
      <c r="H92" s="168" t="s">
        <v>724</v>
      </c>
      <c r="I92" s="168" t="s">
        <v>577</v>
      </c>
      <c r="J92" s="169">
        <v>30.72</v>
      </c>
      <c r="K92" s="169">
        <v>30.72</v>
      </c>
      <c r="M92" s="8"/>
      <c r="N92" s="8"/>
      <c r="O92" s="8"/>
      <c r="P92" s="8"/>
      <c r="Q92" s="8">
        <f>J92</f>
        <v>30.72</v>
      </c>
      <c r="R92" s="8"/>
      <c r="S92" s="8"/>
      <c r="T92" s="8"/>
      <c r="U92" s="8"/>
      <c r="V92" s="8"/>
    </row>
    <row r="93" spans="1:22" ht="34.5" x14ac:dyDescent="0.25">
      <c r="B93" s="168" t="s">
        <v>583</v>
      </c>
      <c r="C93" s="168" t="s">
        <v>573</v>
      </c>
      <c r="D93" s="168"/>
      <c r="E93" s="168" t="s">
        <v>574</v>
      </c>
      <c r="F93" s="168"/>
      <c r="G93" s="168" t="s">
        <v>725</v>
      </c>
      <c r="H93" s="168" t="s">
        <v>724</v>
      </c>
      <c r="I93" s="168" t="s">
        <v>585</v>
      </c>
      <c r="J93" s="169">
        <v>20.23</v>
      </c>
      <c r="K93" s="169">
        <v>50.95</v>
      </c>
      <c r="M93" s="8"/>
      <c r="N93" s="8"/>
      <c r="O93" s="8"/>
      <c r="P93" s="8"/>
      <c r="Q93" s="8">
        <f t="shared" ref="Q93:Q105" si="8">J93</f>
        <v>20.23</v>
      </c>
      <c r="R93" s="8"/>
      <c r="S93" s="8"/>
      <c r="T93" s="8"/>
      <c r="U93" s="8"/>
      <c r="V93" s="8"/>
    </row>
    <row r="94" spans="1:22" ht="34.5" x14ac:dyDescent="0.25">
      <c r="B94" s="168" t="s">
        <v>583</v>
      </c>
      <c r="C94" s="168" t="s">
        <v>573</v>
      </c>
      <c r="D94" s="168"/>
      <c r="E94" s="168" t="s">
        <v>574</v>
      </c>
      <c r="F94" s="168"/>
      <c r="G94" s="168" t="s">
        <v>726</v>
      </c>
      <c r="H94" s="168" t="s">
        <v>724</v>
      </c>
      <c r="I94" s="168" t="s">
        <v>585</v>
      </c>
      <c r="J94" s="169">
        <v>25.36</v>
      </c>
      <c r="K94" s="169">
        <v>76.31</v>
      </c>
      <c r="M94" s="8"/>
      <c r="N94" s="8"/>
      <c r="O94" s="8"/>
      <c r="P94" s="8"/>
      <c r="Q94" s="8">
        <f t="shared" si="8"/>
        <v>25.36</v>
      </c>
      <c r="R94" s="8"/>
      <c r="S94" s="8"/>
      <c r="T94" s="8"/>
      <c r="U94" s="8"/>
      <c r="V94" s="8"/>
    </row>
    <row r="95" spans="1:22" ht="34.5" x14ac:dyDescent="0.25">
      <c r="B95" s="168" t="s">
        <v>583</v>
      </c>
      <c r="C95" s="168" t="s">
        <v>573</v>
      </c>
      <c r="D95" s="168"/>
      <c r="E95" s="168" t="s">
        <v>574</v>
      </c>
      <c r="F95" s="168"/>
      <c r="G95" s="168" t="s">
        <v>727</v>
      </c>
      <c r="H95" s="168" t="s">
        <v>724</v>
      </c>
      <c r="I95" s="168" t="s">
        <v>585</v>
      </c>
      <c r="J95" s="169">
        <v>122.01</v>
      </c>
      <c r="K95" s="169">
        <v>198.32</v>
      </c>
      <c r="M95" s="8"/>
      <c r="N95" s="8"/>
      <c r="O95" s="8"/>
      <c r="P95" s="8"/>
      <c r="Q95" s="8">
        <f t="shared" si="8"/>
        <v>122.01</v>
      </c>
      <c r="R95" s="8"/>
      <c r="S95" s="8"/>
      <c r="T95" s="8"/>
      <c r="U95" s="8"/>
      <c r="V95" s="8"/>
    </row>
    <row r="96" spans="1:22" ht="34.5" x14ac:dyDescent="0.25">
      <c r="B96" s="168" t="s">
        <v>728</v>
      </c>
      <c r="C96" s="168" t="s">
        <v>573</v>
      </c>
      <c r="D96" s="168"/>
      <c r="E96" s="168" t="s">
        <v>574</v>
      </c>
      <c r="F96" s="168" t="s">
        <v>722</v>
      </c>
      <c r="G96" s="168" t="s">
        <v>723</v>
      </c>
      <c r="H96" s="168" t="s">
        <v>724</v>
      </c>
      <c r="I96" s="168" t="s">
        <v>577</v>
      </c>
      <c r="J96" s="169">
        <v>95.37</v>
      </c>
      <c r="K96" s="169">
        <v>293.69</v>
      </c>
      <c r="M96" s="8"/>
      <c r="N96" s="8"/>
      <c r="O96" s="8"/>
      <c r="P96" s="8"/>
      <c r="Q96" s="8">
        <f t="shared" si="8"/>
        <v>95.37</v>
      </c>
      <c r="R96" s="8"/>
      <c r="S96" s="8"/>
      <c r="T96" s="8"/>
      <c r="U96" s="8"/>
      <c r="V96" s="8"/>
    </row>
    <row r="97" spans="1:23" ht="34.5" x14ac:dyDescent="0.25">
      <c r="B97" s="168" t="s">
        <v>729</v>
      </c>
      <c r="C97" s="168" t="s">
        <v>573</v>
      </c>
      <c r="D97" s="168"/>
      <c r="E97" s="168" t="s">
        <v>574</v>
      </c>
      <c r="F97" s="168" t="s">
        <v>722</v>
      </c>
      <c r="G97" s="168" t="s">
        <v>730</v>
      </c>
      <c r="H97" s="168" t="s">
        <v>724</v>
      </c>
      <c r="I97" s="168" t="s">
        <v>577</v>
      </c>
      <c r="J97" s="169">
        <v>37.32</v>
      </c>
      <c r="K97" s="169">
        <v>331.01</v>
      </c>
      <c r="M97" s="8"/>
      <c r="N97" s="8"/>
      <c r="O97" s="8"/>
      <c r="P97" s="8"/>
      <c r="Q97" s="8">
        <f t="shared" si="8"/>
        <v>37.32</v>
      </c>
      <c r="R97" s="8"/>
      <c r="S97" s="8"/>
      <c r="T97" s="8"/>
      <c r="U97" s="8"/>
      <c r="V97" s="8"/>
    </row>
    <row r="98" spans="1:23" ht="34.5" x14ac:dyDescent="0.25">
      <c r="B98" s="168" t="s">
        <v>731</v>
      </c>
      <c r="C98" s="168" t="s">
        <v>573</v>
      </c>
      <c r="D98" s="168"/>
      <c r="E98" s="168" t="s">
        <v>574</v>
      </c>
      <c r="F98" s="168" t="s">
        <v>722</v>
      </c>
      <c r="G98" s="168" t="s">
        <v>732</v>
      </c>
      <c r="H98" s="168" t="s">
        <v>724</v>
      </c>
      <c r="I98" s="168" t="s">
        <v>581</v>
      </c>
      <c r="J98" s="169">
        <v>2.4900000000000002</v>
      </c>
      <c r="K98" s="169">
        <v>333.5</v>
      </c>
      <c r="M98" s="8"/>
      <c r="N98" s="8"/>
      <c r="O98" s="8"/>
      <c r="P98" s="8"/>
      <c r="Q98" s="8">
        <f t="shared" si="8"/>
        <v>2.4900000000000002</v>
      </c>
      <c r="R98" s="8"/>
      <c r="S98" s="8"/>
      <c r="T98" s="8"/>
      <c r="U98" s="8"/>
      <c r="V98" s="8"/>
    </row>
    <row r="99" spans="1:23" ht="34.5" x14ac:dyDescent="0.25">
      <c r="B99" s="168" t="s">
        <v>733</v>
      </c>
      <c r="C99" s="168" t="s">
        <v>573</v>
      </c>
      <c r="D99" s="168"/>
      <c r="E99" s="168" t="s">
        <v>574</v>
      </c>
      <c r="F99" s="168" t="s">
        <v>734</v>
      </c>
      <c r="G99" s="168" t="s">
        <v>735</v>
      </c>
      <c r="H99" s="168" t="s">
        <v>724</v>
      </c>
      <c r="I99" s="168" t="s">
        <v>577</v>
      </c>
      <c r="J99" s="169">
        <v>45.54</v>
      </c>
      <c r="K99" s="169">
        <v>379.04</v>
      </c>
      <c r="M99" s="8"/>
      <c r="N99" s="8"/>
      <c r="O99" s="8"/>
      <c r="P99" s="8"/>
      <c r="Q99" s="8">
        <f t="shared" si="8"/>
        <v>45.54</v>
      </c>
      <c r="R99" s="8"/>
      <c r="S99" s="8"/>
      <c r="T99" s="8"/>
      <c r="U99" s="8"/>
      <c r="V99" s="8"/>
    </row>
    <row r="100" spans="1:23" ht="34.5" x14ac:dyDescent="0.25">
      <c r="B100" s="168" t="s">
        <v>603</v>
      </c>
      <c r="C100" s="168" t="s">
        <v>573</v>
      </c>
      <c r="D100" s="168"/>
      <c r="E100" s="168" t="s">
        <v>574</v>
      </c>
      <c r="F100" s="168" t="s">
        <v>722</v>
      </c>
      <c r="G100" s="168" t="s">
        <v>736</v>
      </c>
      <c r="H100" s="168" t="s">
        <v>724</v>
      </c>
      <c r="I100" s="168" t="s">
        <v>602</v>
      </c>
      <c r="J100" s="169">
        <v>24.84</v>
      </c>
      <c r="K100" s="169">
        <v>403.88</v>
      </c>
      <c r="M100" s="8"/>
      <c r="N100" s="8"/>
      <c r="O100" s="8"/>
      <c r="P100" s="8"/>
      <c r="Q100" s="8">
        <f t="shared" si="8"/>
        <v>24.84</v>
      </c>
      <c r="R100" s="8"/>
      <c r="S100" s="8"/>
      <c r="T100" s="8"/>
      <c r="U100" s="8"/>
      <c r="V100" s="8"/>
    </row>
    <row r="101" spans="1:23" ht="68.25" x14ac:dyDescent="0.25">
      <c r="B101" s="168" t="s">
        <v>737</v>
      </c>
      <c r="C101" s="168" t="s">
        <v>573</v>
      </c>
      <c r="D101" s="168"/>
      <c r="E101" s="168" t="s">
        <v>574</v>
      </c>
      <c r="F101" s="168" t="s">
        <v>250</v>
      </c>
      <c r="G101" s="168" t="s">
        <v>738</v>
      </c>
      <c r="H101" s="168" t="s">
        <v>724</v>
      </c>
      <c r="I101" s="168" t="s">
        <v>739</v>
      </c>
      <c r="J101" s="169">
        <v>17.850000000000001</v>
      </c>
      <c r="K101" s="169">
        <v>421.73</v>
      </c>
      <c r="M101" s="8"/>
      <c r="N101" s="8"/>
      <c r="O101" s="8"/>
      <c r="P101" s="8"/>
      <c r="Q101" s="8">
        <f t="shared" si="8"/>
        <v>17.850000000000001</v>
      </c>
      <c r="R101" s="8"/>
      <c r="S101" s="8"/>
      <c r="T101" s="8"/>
      <c r="U101" s="8"/>
      <c r="V101" s="8"/>
    </row>
    <row r="102" spans="1:23" ht="34.5" x14ac:dyDescent="0.25">
      <c r="B102" s="168" t="s">
        <v>740</v>
      </c>
      <c r="C102" s="168" t="s">
        <v>573</v>
      </c>
      <c r="D102" s="168"/>
      <c r="E102" s="168" t="s">
        <v>574</v>
      </c>
      <c r="F102" s="168" t="s">
        <v>722</v>
      </c>
      <c r="G102" s="168" t="s">
        <v>723</v>
      </c>
      <c r="H102" s="168" t="s">
        <v>724</v>
      </c>
      <c r="I102" s="168" t="s">
        <v>577</v>
      </c>
      <c r="J102" s="169">
        <v>3.99</v>
      </c>
      <c r="K102" s="169">
        <v>425.72</v>
      </c>
      <c r="M102" s="8"/>
      <c r="N102" s="8"/>
      <c r="O102" s="8"/>
      <c r="P102" s="8"/>
      <c r="Q102" s="8">
        <f t="shared" si="8"/>
        <v>3.99</v>
      </c>
      <c r="R102" s="8"/>
      <c r="S102" s="8"/>
      <c r="T102" s="8"/>
      <c r="U102" s="8"/>
      <c r="V102" s="8"/>
    </row>
    <row r="103" spans="1:23" ht="34.5" x14ac:dyDescent="0.25">
      <c r="B103" s="168" t="s">
        <v>616</v>
      </c>
      <c r="C103" s="168" t="s">
        <v>573</v>
      </c>
      <c r="D103" s="168"/>
      <c r="E103" s="168" t="s">
        <v>574</v>
      </c>
      <c r="F103" s="168" t="s">
        <v>734</v>
      </c>
      <c r="G103" s="168" t="s">
        <v>741</v>
      </c>
      <c r="H103" s="168" t="s">
        <v>724</v>
      </c>
      <c r="I103" s="168" t="s">
        <v>742</v>
      </c>
      <c r="J103" s="169">
        <v>85.13</v>
      </c>
      <c r="K103" s="169">
        <v>510.85</v>
      </c>
      <c r="M103" s="8"/>
      <c r="N103" s="8"/>
      <c r="O103" s="8"/>
      <c r="P103" s="8"/>
      <c r="Q103" s="8">
        <f t="shared" si="8"/>
        <v>85.13</v>
      </c>
      <c r="R103" s="8"/>
      <c r="S103" s="8"/>
      <c r="T103" s="8"/>
      <c r="U103" s="8"/>
      <c r="V103" s="8"/>
    </row>
    <row r="104" spans="1:23" ht="34.5" x14ac:dyDescent="0.25">
      <c r="B104" s="168" t="s">
        <v>616</v>
      </c>
      <c r="C104" s="168" t="s">
        <v>573</v>
      </c>
      <c r="D104" s="168"/>
      <c r="E104" s="168" t="s">
        <v>574</v>
      </c>
      <c r="F104" s="168" t="s">
        <v>734</v>
      </c>
      <c r="G104" s="168" t="s">
        <v>743</v>
      </c>
      <c r="H104" s="168" t="s">
        <v>724</v>
      </c>
      <c r="I104" s="168" t="s">
        <v>742</v>
      </c>
      <c r="J104" s="169">
        <v>25.51</v>
      </c>
      <c r="K104" s="169">
        <v>536.36</v>
      </c>
      <c r="M104" s="8"/>
      <c r="N104" s="8"/>
      <c r="O104" s="8"/>
      <c r="P104" s="8"/>
      <c r="Q104" s="8">
        <f t="shared" si="8"/>
        <v>25.51</v>
      </c>
      <c r="R104" s="8"/>
      <c r="S104" s="8"/>
      <c r="T104" s="8"/>
      <c r="U104" s="8"/>
      <c r="V104" s="8"/>
    </row>
    <row r="105" spans="1:23" ht="34.5" x14ac:dyDescent="0.25">
      <c r="B105" s="168" t="s">
        <v>652</v>
      </c>
      <c r="C105" s="168" t="s">
        <v>573</v>
      </c>
      <c r="D105" s="168"/>
      <c r="E105" s="168" t="s">
        <v>574</v>
      </c>
      <c r="F105" s="168" t="s">
        <v>250</v>
      </c>
      <c r="G105" s="168" t="s">
        <v>744</v>
      </c>
      <c r="H105" s="168" t="s">
        <v>724</v>
      </c>
      <c r="I105" s="168" t="s">
        <v>739</v>
      </c>
      <c r="J105" s="169">
        <v>10.38</v>
      </c>
      <c r="K105" s="169">
        <v>546.74</v>
      </c>
      <c r="M105" s="8"/>
      <c r="N105" s="8"/>
      <c r="O105" s="8"/>
      <c r="P105" s="8"/>
      <c r="Q105" s="8">
        <f t="shared" si="8"/>
        <v>10.38</v>
      </c>
      <c r="R105" s="8"/>
      <c r="S105" s="8"/>
      <c r="T105" s="8"/>
      <c r="U105" s="8"/>
      <c r="V105" s="8"/>
    </row>
    <row r="106" spans="1:23" ht="45.75" x14ac:dyDescent="0.25">
      <c r="A106" s="167" t="s">
        <v>745</v>
      </c>
      <c r="J106" s="171">
        <v>546.74</v>
      </c>
      <c r="M106" s="8"/>
      <c r="N106" s="8"/>
      <c r="O106" s="8"/>
      <c r="P106" s="8"/>
      <c r="Q106" s="8"/>
      <c r="R106" s="8"/>
      <c r="S106" s="8"/>
      <c r="T106" s="8"/>
      <c r="U106" s="8"/>
      <c r="V106" s="8"/>
    </row>
    <row r="107" spans="1:23" ht="34.5" x14ac:dyDescent="0.25">
      <c r="A107" s="167" t="s">
        <v>746</v>
      </c>
      <c r="M107" s="8"/>
      <c r="N107" s="8"/>
      <c r="O107" s="8"/>
      <c r="P107" s="8"/>
      <c r="Q107" s="8"/>
      <c r="R107" s="8"/>
      <c r="S107" s="8"/>
      <c r="T107" s="8"/>
      <c r="U107" s="8"/>
      <c r="V107" s="8"/>
    </row>
    <row r="108" spans="1:23" ht="23.25" x14ac:dyDescent="0.25">
      <c r="B108" s="168" t="s">
        <v>747</v>
      </c>
      <c r="C108" s="168" t="s">
        <v>573</v>
      </c>
      <c r="D108" s="168"/>
      <c r="E108" s="168" t="s">
        <v>574</v>
      </c>
      <c r="F108" s="168" t="s">
        <v>748</v>
      </c>
      <c r="G108" s="168" t="s">
        <v>748</v>
      </c>
      <c r="H108" s="168" t="s">
        <v>749</v>
      </c>
      <c r="I108" s="168" t="s">
        <v>577</v>
      </c>
      <c r="J108" s="169">
        <v>449.01</v>
      </c>
      <c r="K108" s="169">
        <v>449.01</v>
      </c>
      <c r="M108" s="8"/>
      <c r="N108" s="8"/>
      <c r="O108" s="8"/>
      <c r="P108" s="8"/>
      <c r="Q108" s="8"/>
      <c r="R108" s="8"/>
      <c r="S108" s="8"/>
      <c r="T108" s="8"/>
      <c r="U108" s="8"/>
      <c r="V108" s="8">
        <f>J108</f>
        <v>449.01</v>
      </c>
    </row>
    <row r="109" spans="1:23" ht="23.25" x14ac:dyDescent="0.25">
      <c r="B109" s="168" t="s">
        <v>750</v>
      </c>
      <c r="C109" s="168" t="s">
        <v>573</v>
      </c>
      <c r="D109" s="168"/>
      <c r="E109" s="168" t="s">
        <v>574</v>
      </c>
      <c r="F109" s="168" t="s">
        <v>751</v>
      </c>
      <c r="G109" s="168" t="s">
        <v>751</v>
      </c>
      <c r="H109" s="168" t="s">
        <v>749</v>
      </c>
      <c r="I109" s="168" t="s">
        <v>577</v>
      </c>
      <c r="J109" s="169">
        <v>394.42</v>
      </c>
      <c r="K109" s="169">
        <v>843.43</v>
      </c>
      <c r="M109" s="8"/>
      <c r="N109" s="8"/>
      <c r="O109" s="8"/>
      <c r="P109" s="8"/>
      <c r="Q109" s="8"/>
      <c r="R109" s="8"/>
      <c r="S109" s="8"/>
      <c r="T109" s="8"/>
      <c r="U109" s="8">
        <f>J109</f>
        <v>394.42</v>
      </c>
      <c r="V109" s="8"/>
    </row>
    <row r="110" spans="1:23" ht="23.25" x14ac:dyDescent="0.25">
      <c r="B110" s="168" t="s">
        <v>750</v>
      </c>
      <c r="C110" s="168" t="s">
        <v>573</v>
      </c>
      <c r="D110" s="168"/>
      <c r="E110" s="168" t="s">
        <v>574</v>
      </c>
      <c r="F110" s="168" t="s">
        <v>752</v>
      </c>
      <c r="G110" s="168" t="s">
        <v>752</v>
      </c>
      <c r="H110" s="168" t="s">
        <v>749</v>
      </c>
      <c r="I110" s="168" t="s">
        <v>577</v>
      </c>
      <c r="J110" s="169">
        <v>257.2</v>
      </c>
      <c r="K110" s="169">
        <v>1100.6300000000001</v>
      </c>
      <c r="M110" s="8"/>
      <c r="N110" s="8"/>
      <c r="O110" s="8"/>
      <c r="P110" s="8"/>
      <c r="Q110" s="8">
        <f>J110</f>
        <v>257.2</v>
      </c>
      <c r="R110" s="8"/>
      <c r="S110" s="8"/>
      <c r="T110" s="8"/>
      <c r="U110" s="8"/>
      <c r="V110" s="8"/>
    </row>
    <row r="111" spans="1:23" ht="23.25" x14ac:dyDescent="0.25">
      <c r="B111" s="168" t="s">
        <v>753</v>
      </c>
      <c r="C111" s="168" t="s">
        <v>573</v>
      </c>
      <c r="D111" s="168"/>
      <c r="E111" s="168" t="s">
        <v>574</v>
      </c>
      <c r="F111" s="168" t="s">
        <v>754</v>
      </c>
      <c r="G111" s="168" t="s">
        <v>755</v>
      </c>
      <c r="H111" s="168" t="s">
        <v>749</v>
      </c>
      <c r="I111" s="168" t="s">
        <v>577</v>
      </c>
      <c r="J111" s="169">
        <v>116.74</v>
      </c>
      <c r="K111" s="169">
        <v>1217.3699999999999</v>
      </c>
      <c r="M111" s="8"/>
      <c r="N111" s="8"/>
      <c r="O111" s="8"/>
      <c r="P111" s="8"/>
      <c r="Q111" s="8"/>
      <c r="R111" s="8"/>
      <c r="S111" s="8"/>
      <c r="T111" s="8"/>
      <c r="U111" s="8"/>
      <c r="V111" s="8"/>
      <c r="W111" s="172">
        <f>J111</f>
        <v>116.74</v>
      </c>
    </row>
    <row r="112" spans="1:23" ht="23.25" x14ac:dyDescent="0.25">
      <c r="B112" s="168" t="s">
        <v>583</v>
      </c>
      <c r="C112" s="168" t="s">
        <v>573</v>
      </c>
      <c r="D112" s="168"/>
      <c r="E112" s="168" t="s">
        <v>574</v>
      </c>
      <c r="F112" s="168"/>
      <c r="G112" s="168" t="s">
        <v>756</v>
      </c>
      <c r="H112" s="168" t="s">
        <v>749</v>
      </c>
      <c r="I112" s="168" t="s">
        <v>585</v>
      </c>
      <c r="J112" s="169">
        <v>73.3</v>
      </c>
      <c r="K112" s="169">
        <v>1290.67</v>
      </c>
      <c r="M112" s="8"/>
      <c r="N112" s="8"/>
      <c r="O112" s="8"/>
      <c r="P112" s="8"/>
      <c r="Q112" s="8">
        <f>J112</f>
        <v>73.3</v>
      </c>
      <c r="R112" s="8"/>
      <c r="S112" s="8"/>
      <c r="T112" s="8"/>
      <c r="U112" s="8"/>
      <c r="V112" s="8"/>
    </row>
    <row r="113" spans="2:25" ht="23.25" x14ac:dyDescent="0.25">
      <c r="B113" s="168" t="s">
        <v>757</v>
      </c>
      <c r="C113" s="168" t="s">
        <v>573</v>
      </c>
      <c r="D113" s="168"/>
      <c r="E113" s="168" t="s">
        <v>574</v>
      </c>
      <c r="F113" s="168" t="s">
        <v>568</v>
      </c>
      <c r="G113" s="168" t="s">
        <v>758</v>
      </c>
      <c r="H113" s="168" t="s">
        <v>749</v>
      </c>
      <c r="I113" s="168" t="s">
        <v>577</v>
      </c>
      <c r="J113" s="169">
        <v>40.840000000000003</v>
      </c>
      <c r="K113" s="169">
        <v>1331.51</v>
      </c>
      <c r="M113" s="8"/>
      <c r="N113" s="8"/>
      <c r="O113" s="8"/>
      <c r="P113" s="8"/>
      <c r="Q113" s="8"/>
      <c r="R113" s="8"/>
      <c r="S113" s="8"/>
      <c r="T113" s="8"/>
      <c r="U113" s="8"/>
      <c r="V113" s="8"/>
      <c r="X113" s="172">
        <f>J113</f>
        <v>40.840000000000003</v>
      </c>
    </row>
    <row r="114" spans="2:25" ht="23.25" x14ac:dyDescent="0.25">
      <c r="B114" s="168" t="s">
        <v>589</v>
      </c>
      <c r="C114" s="168" t="s">
        <v>573</v>
      </c>
      <c r="D114" s="168"/>
      <c r="E114" s="168" t="s">
        <v>574</v>
      </c>
      <c r="F114" s="168" t="s">
        <v>754</v>
      </c>
      <c r="G114" s="168" t="s">
        <v>755</v>
      </c>
      <c r="H114" s="168" t="s">
        <v>749</v>
      </c>
      <c r="I114" s="168" t="s">
        <v>577</v>
      </c>
      <c r="J114" s="169">
        <v>2756.74</v>
      </c>
      <c r="K114" s="169">
        <v>4088.25</v>
      </c>
      <c r="M114" s="8"/>
      <c r="N114" s="8"/>
      <c r="O114" s="8"/>
      <c r="P114" s="8"/>
      <c r="Q114" s="8"/>
      <c r="R114" s="8"/>
      <c r="S114" s="8"/>
      <c r="T114" s="8"/>
      <c r="U114" s="8"/>
      <c r="V114" s="8"/>
      <c r="W114" s="172">
        <f>J114</f>
        <v>2756.74</v>
      </c>
    </row>
    <row r="115" spans="2:25" ht="23.25" x14ac:dyDescent="0.25">
      <c r="B115" s="168" t="s">
        <v>759</v>
      </c>
      <c r="C115" s="168" t="s">
        <v>573</v>
      </c>
      <c r="D115" s="168"/>
      <c r="E115" s="168" t="s">
        <v>574</v>
      </c>
      <c r="F115" s="168" t="s">
        <v>751</v>
      </c>
      <c r="G115" s="168" t="s">
        <v>751</v>
      </c>
      <c r="H115" s="168" t="s">
        <v>749</v>
      </c>
      <c r="I115" s="168" t="s">
        <v>577</v>
      </c>
      <c r="J115" s="169">
        <v>394.42</v>
      </c>
      <c r="K115" s="169">
        <v>4482.67</v>
      </c>
      <c r="M115" s="8"/>
      <c r="N115" s="8"/>
      <c r="O115" s="8"/>
      <c r="P115" s="8"/>
      <c r="Q115" s="8"/>
      <c r="R115" s="8"/>
      <c r="S115" s="8"/>
      <c r="T115" s="8"/>
      <c r="U115" s="8">
        <f>J115</f>
        <v>394.42</v>
      </c>
      <c r="V115" s="8"/>
    </row>
    <row r="116" spans="2:25" ht="23.25" x14ac:dyDescent="0.25">
      <c r="B116" s="168" t="s">
        <v>760</v>
      </c>
      <c r="C116" s="168" t="s">
        <v>573</v>
      </c>
      <c r="D116" s="168"/>
      <c r="E116" s="168" t="s">
        <v>574</v>
      </c>
      <c r="F116" s="168" t="s">
        <v>754</v>
      </c>
      <c r="G116" s="168" t="s">
        <v>761</v>
      </c>
      <c r="H116" s="168" t="s">
        <v>749</v>
      </c>
      <c r="I116" s="168" t="s">
        <v>577</v>
      </c>
      <c r="J116" s="169">
        <v>385</v>
      </c>
      <c r="K116" s="169">
        <v>4867.67</v>
      </c>
      <c r="M116" s="8"/>
      <c r="N116" s="8"/>
      <c r="O116" s="8"/>
      <c r="P116" s="8"/>
      <c r="Q116" s="8"/>
      <c r="R116" s="8"/>
      <c r="S116" s="8"/>
      <c r="T116" s="8"/>
      <c r="U116" s="8"/>
      <c r="V116" s="8"/>
      <c r="W116" s="172">
        <f>J116</f>
        <v>385</v>
      </c>
    </row>
    <row r="117" spans="2:25" ht="23.25" x14ac:dyDescent="0.25">
      <c r="B117" s="168" t="s">
        <v>762</v>
      </c>
      <c r="C117" s="168" t="s">
        <v>573</v>
      </c>
      <c r="D117" s="168"/>
      <c r="E117" s="168" t="s">
        <v>574</v>
      </c>
      <c r="F117" s="168" t="s">
        <v>568</v>
      </c>
      <c r="G117" s="168" t="s">
        <v>763</v>
      </c>
      <c r="H117" s="168" t="s">
        <v>749</v>
      </c>
      <c r="I117" s="168" t="s">
        <v>577</v>
      </c>
      <c r="J117" s="169">
        <v>198.69</v>
      </c>
      <c r="K117" s="169">
        <v>5066.3599999999997</v>
      </c>
      <c r="M117" s="8"/>
      <c r="N117" s="8"/>
      <c r="O117" s="8"/>
      <c r="P117" s="8"/>
      <c r="Q117" s="8"/>
      <c r="R117" s="8"/>
      <c r="S117" s="8"/>
      <c r="T117" s="8"/>
      <c r="U117" s="8"/>
      <c r="V117" s="8"/>
      <c r="X117" s="172">
        <f>J117</f>
        <v>198.69</v>
      </c>
    </row>
    <row r="118" spans="2:25" ht="23.25" x14ac:dyDescent="0.25">
      <c r="B118" s="168" t="s">
        <v>764</v>
      </c>
      <c r="C118" s="168" t="s">
        <v>573</v>
      </c>
      <c r="D118" s="168"/>
      <c r="E118" s="168" t="s">
        <v>574</v>
      </c>
      <c r="F118" s="168" t="s">
        <v>754</v>
      </c>
      <c r="G118" s="168" t="s">
        <v>761</v>
      </c>
      <c r="H118" s="168" t="s">
        <v>749</v>
      </c>
      <c r="I118" s="168" t="s">
        <v>577</v>
      </c>
      <c r="J118" s="169">
        <v>745.85</v>
      </c>
      <c r="K118" s="169">
        <v>5812.21</v>
      </c>
      <c r="M118" s="8"/>
      <c r="N118" s="8"/>
      <c r="O118" s="8"/>
      <c r="P118" s="8"/>
      <c r="Q118" s="8"/>
      <c r="R118" s="8"/>
      <c r="S118" s="8"/>
      <c r="T118" s="8"/>
      <c r="U118" s="8"/>
      <c r="V118" s="8"/>
      <c r="W118" s="172">
        <f>J118</f>
        <v>745.85</v>
      </c>
    </row>
    <row r="119" spans="2:25" ht="23.25" x14ac:dyDescent="0.25">
      <c r="B119" s="168" t="s">
        <v>765</v>
      </c>
      <c r="C119" s="168" t="s">
        <v>573</v>
      </c>
      <c r="D119" s="168"/>
      <c r="E119" s="168" t="s">
        <v>574</v>
      </c>
      <c r="F119" s="168" t="s">
        <v>752</v>
      </c>
      <c r="G119" s="168" t="s">
        <v>766</v>
      </c>
      <c r="H119" s="168" t="s">
        <v>749</v>
      </c>
      <c r="I119" s="168" t="s">
        <v>602</v>
      </c>
      <c r="J119" s="169">
        <v>534.04999999999995</v>
      </c>
      <c r="K119" s="169">
        <v>6346.26</v>
      </c>
      <c r="M119" s="8"/>
      <c r="N119" s="8"/>
      <c r="O119" s="8"/>
      <c r="P119" s="8"/>
      <c r="Q119" s="8">
        <f>J119</f>
        <v>534.04999999999995</v>
      </c>
      <c r="R119" s="8"/>
      <c r="S119" s="8"/>
      <c r="T119" s="8"/>
      <c r="U119" s="8"/>
      <c r="V119" s="8"/>
    </row>
    <row r="120" spans="2:25" ht="23.25" x14ac:dyDescent="0.25">
      <c r="B120" s="168" t="s">
        <v>733</v>
      </c>
      <c r="C120" s="168" t="s">
        <v>573</v>
      </c>
      <c r="D120" s="168"/>
      <c r="E120" s="168" t="s">
        <v>574</v>
      </c>
      <c r="F120" s="168" t="s">
        <v>754</v>
      </c>
      <c r="G120" s="168" t="s">
        <v>761</v>
      </c>
      <c r="H120" s="168" t="s">
        <v>749</v>
      </c>
      <c r="I120" s="168" t="s">
        <v>577</v>
      </c>
      <c r="J120" s="169">
        <v>110</v>
      </c>
      <c r="K120" s="169">
        <v>6456.26</v>
      </c>
      <c r="M120" s="8"/>
      <c r="N120" s="8"/>
      <c r="O120" s="8"/>
      <c r="P120" s="8"/>
      <c r="Q120" s="8"/>
      <c r="R120" s="8"/>
      <c r="S120" s="8"/>
      <c r="T120" s="8"/>
      <c r="U120" s="8"/>
      <c r="V120" s="8"/>
      <c r="W120" s="172">
        <f>J120</f>
        <v>110</v>
      </c>
    </row>
    <row r="121" spans="2:25" ht="23.25" x14ac:dyDescent="0.25">
      <c r="B121" s="168" t="s">
        <v>767</v>
      </c>
      <c r="C121" s="168" t="s">
        <v>573</v>
      </c>
      <c r="D121" s="168"/>
      <c r="E121" s="168" t="s">
        <v>574</v>
      </c>
      <c r="F121" s="168" t="s">
        <v>751</v>
      </c>
      <c r="G121" s="168" t="s">
        <v>751</v>
      </c>
      <c r="H121" s="168" t="s">
        <v>749</v>
      </c>
      <c r="I121" s="168" t="s">
        <v>577</v>
      </c>
      <c r="J121" s="169">
        <v>394.42</v>
      </c>
      <c r="K121" s="169">
        <v>6850.68</v>
      </c>
      <c r="M121" s="8"/>
      <c r="N121" s="8"/>
      <c r="O121" s="8"/>
      <c r="P121" s="8"/>
      <c r="Q121" s="8"/>
      <c r="R121" s="8"/>
      <c r="S121" s="8"/>
      <c r="T121" s="8"/>
      <c r="U121" s="8">
        <f>J121</f>
        <v>394.42</v>
      </c>
      <c r="V121" s="8"/>
    </row>
    <row r="122" spans="2:25" ht="23.25" x14ac:dyDescent="0.25">
      <c r="B122" s="168" t="s">
        <v>768</v>
      </c>
      <c r="C122" s="168" t="s">
        <v>573</v>
      </c>
      <c r="D122" s="168"/>
      <c r="E122" s="168" t="s">
        <v>574</v>
      </c>
      <c r="F122" s="168" t="s">
        <v>769</v>
      </c>
      <c r="G122" s="168" t="s">
        <v>770</v>
      </c>
      <c r="H122" s="168" t="s">
        <v>749</v>
      </c>
      <c r="I122" s="168" t="s">
        <v>602</v>
      </c>
      <c r="J122" s="169">
        <v>2300</v>
      </c>
      <c r="K122" s="169">
        <v>9150.68</v>
      </c>
      <c r="M122" s="8"/>
      <c r="N122" s="8"/>
      <c r="O122" s="8"/>
      <c r="P122" s="8"/>
      <c r="Q122" s="8"/>
      <c r="R122" s="8"/>
      <c r="S122" s="8"/>
      <c r="T122" s="8"/>
      <c r="U122" s="8"/>
      <c r="V122" s="8"/>
      <c r="Y122" s="172">
        <f>J122</f>
        <v>2300</v>
      </c>
    </row>
    <row r="123" spans="2:25" ht="23.25" x14ac:dyDescent="0.25">
      <c r="B123" s="168" t="s">
        <v>771</v>
      </c>
      <c r="C123" s="168" t="s">
        <v>573</v>
      </c>
      <c r="D123" s="168"/>
      <c r="E123" s="168" t="s">
        <v>574</v>
      </c>
      <c r="F123" s="168" t="s">
        <v>769</v>
      </c>
      <c r="G123" s="168" t="s">
        <v>772</v>
      </c>
      <c r="H123" s="168" t="s">
        <v>749</v>
      </c>
      <c r="I123" s="168" t="s">
        <v>577</v>
      </c>
      <c r="J123" s="169">
        <v>105</v>
      </c>
      <c r="K123" s="169">
        <v>9255.68</v>
      </c>
      <c r="M123" s="8"/>
      <c r="N123" s="8"/>
      <c r="O123" s="8"/>
      <c r="P123" s="8"/>
      <c r="Q123" s="8"/>
      <c r="R123" s="8"/>
      <c r="S123" s="8"/>
      <c r="T123" s="8"/>
      <c r="U123" s="8"/>
      <c r="V123" s="8"/>
      <c r="Y123" s="172">
        <f>J123</f>
        <v>105</v>
      </c>
    </row>
    <row r="124" spans="2:25" ht="23.25" x14ac:dyDescent="0.25">
      <c r="B124" s="168" t="s">
        <v>773</v>
      </c>
      <c r="C124" s="168" t="s">
        <v>573</v>
      </c>
      <c r="D124" s="168"/>
      <c r="E124" s="168" t="s">
        <v>574</v>
      </c>
      <c r="F124" s="168" t="s">
        <v>568</v>
      </c>
      <c r="G124" s="168" t="s">
        <v>774</v>
      </c>
      <c r="H124" s="168" t="s">
        <v>749</v>
      </c>
      <c r="I124" s="168" t="s">
        <v>581</v>
      </c>
      <c r="J124" s="169">
        <v>7.56</v>
      </c>
      <c r="K124" s="169">
        <v>9263.24</v>
      </c>
      <c r="M124" s="8"/>
      <c r="N124" s="8"/>
      <c r="O124" s="8"/>
      <c r="P124" s="8"/>
      <c r="Q124" s="8"/>
      <c r="R124" s="8"/>
      <c r="S124" s="8"/>
      <c r="T124" s="8"/>
      <c r="U124" s="8"/>
      <c r="V124" s="8"/>
      <c r="X124" s="172">
        <f>J124</f>
        <v>7.56</v>
      </c>
    </row>
    <row r="125" spans="2:25" ht="23.25" x14ac:dyDescent="0.25">
      <c r="B125" s="168" t="s">
        <v>775</v>
      </c>
      <c r="C125" s="168" t="s">
        <v>573</v>
      </c>
      <c r="D125" s="168"/>
      <c r="E125" s="168" t="s">
        <v>574</v>
      </c>
      <c r="F125" s="168" t="s">
        <v>751</v>
      </c>
      <c r="G125" s="168" t="s">
        <v>751</v>
      </c>
      <c r="H125" s="168" t="s">
        <v>749</v>
      </c>
      <c r="I125" s="168" t="s">
        <v>577</v>
      </c>
      <c r="J125" s="169">
        <v>394.42</v>
      </c>
      <c r="K125" s="169">
        <v>9657.66</v>
      </c>
      <c r="M125" s="8"/>
      <c r="N125" s="8"/>
      <c r="O125" s="8"/>
      <c r="P125" s="8"/>
      <c r="Q125" s="8"/>
      <c r="R125" s="8"/>
      <c r="S125" s="8"/>
      <c r="T125" s="8"/>
      <c r="U125" s="8">
        <f>J125</f>
        <v>394.42</v>
      </c>
      <c r="V125" s="8"/>
    </row>
    <row r="126" spans="2:25" ht="23.25" x14ac:dyDescent="0.25">
      <c r="B126" s="168" t="s">
        <v>776</v>
      </c>
      <c r="C126" s="168" t="s">
        <v>573</v>
      </c>
      <c r="D126" s="168"/>
      <c r="E126" s="168" t="s">
        <v>574</v>
      </c>
      <c r="F126" s="168" t="s">
        <v>754</v>
      </c>
      <c r="G126" s="168" t="s">
        <v>755</v>
      </c>
      <c r="H126" s="168" t="s">
        <v>749</v>
      </c>
      <c r="I126" s="168" t="s">
        <v>577</v>
      </c>
      <c r="J126" s="169">
        <v>375</v>
      </c>
      <c r="K126" s="169">
        <v>10032.66</v>
      </c>
      <c r="M126" s="8"/>
      <c r="N126" s="8"/>
      <c r="O126" s="8"/>
      <c r="P126" s="8"/>
      <c r="Q126" s="8"/>
      <c r="R126" s="8"/>
      <c r="S126" s="8"/>
      <c r="T126" s="8"/>
      <c r="U126" s="8"/>
      <c r="V126" s="8"/>
      <c r="W126" s="172">
        <f>J126</f>
        <v>375</v>
      </c>
    </row>
    <row r="127" spans="2:25" ht="23.25" x14ac:dyDescent="0.25">
      <c r="B127" s="168" t="s">
        <v>776</v>
      </c>
      <c r="C127" s="168" t="s">
        <v>573</v>
      </c>
      <c r="D127" s="168"/>
      <c r="E127" s="168" t="s">
        <v>574</v>
      </c>
      <c r="F127" s="168" t="s">
        <v>777</v>
      </c>
      <c r="G127" s="168" t="s">
        <v>778</v>
      </c>
      <c r="H127" s="168" t="s">
        <v>749</v>
      </c>
      <c r="I127" s="168" t="s">
        <v>577</v>
      </c>
      <c r="J127" s="169">
        <v>1158.28</v>
      </c>
      <c r="K127" s="169">
        <v>11190.94</v>
      </c>
      <c r="M127" s="8"/>
      <c r="N127" s="8"/>
      <c r="O127" s="8"/>
      <c r="P127" s="8"/>
      <c r="Q127" s="8">
        <f>J127</f>
        <v>1158.28</v>
      </c>
      <c r="R127" s="8"/>
      <c r="S127" s="8"/>
      <c r="T127" s="8"/>
      <c r="U127" s="8"/>
      <c r="V127" s="8"/>
    </row>
    <row r="128" spans="2:25" ht="23.25" x14ac:dyDescent="0.25">
      <c r="B128" s="168" t="s">
        <v>614</v>
      </c>
      <c r="C128" s="168" t="s">
        <v>573</v>
      </c>
      <c r="D128" s="168"/>
      <c r="E128" s="168" t="s">
        <v>574</v>
      </c>
      <c r="F128" s="168" t="s">
        <v>748</v>
      </c>
      <c r="G128" s="168" t="s">
        <v>779</v>
      </c>
      <c r="H128" s="168" t="s">
        <v>749</v>
      </c>
      <c r="I128" s="168" t="s">
        <v>742</v>
      </c>
      <c r="J128" s="169">
        <v>128.25</v>
      </c>
      <c r="K128" s="169">
        <v>11319.19</v>
      </c>
      <c r="M128" s="8"/>
      <c r="N128" s="8"/>
      <c r="O128" s="8"/>
      <c r="P128" s="8"/>
      <c r="Q128" s="8"/>
      <c r="R128" s="8"/>
      <c r="S128" s="8"/>
      <c r="T128" s="8"/>
      <c r="U128" s="8"/>
      <c r="V128" s="8">
        <f>J128</f>
        <v>128.25</v>
      </c>
    </row>
    <row r="129" spans="2:26" ht="23.25" x14ac:dyDescent="0.25">
      <c r="B129" s="168" t="s">
        <v>780</v>
      </c>
      <c r="C129" s="168" t="s">
        <v>573</v>
      </c>
      <c r="D129" s="168"/>
      <c r="E129" s="168" t="s">
        <v>574</v>
      </c>
      <c r="F129" s="168" t="s">
        <v>781</v>
      </c>
      <c r="G129" s="168" t="s">
        <v>782</v>
      </c>
      <c r="H129" s="168" t="s">
        <v>749</v>
      </c>
      <c r="I129" s="168" t="s">
        <v>739</v>
      </c>
      <c r="J129" s="169">
        <v>345</v>
      </c>
      <c r="K129" s="169">
        <v>11664.19</v>
      </c>
      <c r="M129" s="8"/>
      <c r="N129" s="8"/>
      <c r="O129" s="8"/>
      <c r="P129" s="8"/>
      <c r="Q129" s="8">
        <f>J129</f>
        <v>345</v>
      </c>
      <c r="R129" s="8"/>
      <c r="S129" s="8"/>
      <c r="T129" s="8"/>
      <c r="U129" s="8"/>
      <c r="V129" s="8"/>
    </row>
    <row r="130" spans="2:26" ht="23.25" x14ac:dyDescent="0.25">
      <c r="B130" s="168" t="s">
        <v>783</v>
      </c>
      <c r="C130" s="168" t="s">
        <v>573</v>
      </c>
      <c r="D130" s="168"/>
      <c r="E130" s="168" t="s">
        <v>574</v>
      </c>
      <c r="F130" s="168" t="s">
        <v>754</v>
      </c>
      <c r="G130" s="168" t="s">
        <v>755</v>
      </c>
      <c r="H130" s="168" t="s">
        <v>749</v>
      </c>
      <c r="I130" s="168" t="s">
        <v>577</v>
      </c>
      <c r="J130" s="169">
        <v>150</v>
      </c>
      <c r="K130" s="169">
        <v>11814.19</v>
      </c>
      <c r="M130" s="8"/>
      <c r="N130" s="8"/>
      <c r="O130" s="8"/>
      <c r="P130" s="8"/>
      <c r="Q130" s="8"/>
      <c r="R130" s="8"/>
      <c r="S130" s="8"/>
      <c r="T130" s="8"/>
      <c r="U130" s="8"/>
      <c r="V130" s="8"/>
      <c r="W130" s="172">
        <f>J130</f>
        <v>150</v>
      </c>
    </row>
    <row r="131" spans="2:26" ht="23.25" x14ac:dyDescent="0.25">
      <c r="B131" s="168" t="s">
        <v>783</v>
      </c>
      <c r="C131" s="168" t="s">
        <v>573</v>
      </c>
      <c r="D131" s="168"/>
      <c r="E131" s="168" t="s">
        <v>574</v>
      </c>
      <c r="F131" s="168" t="s">
        <v>751</v>
      </c>
      <c r="G131" s="168" t="s">
        <v>751</v>
      </c>
      <c r="H131" s="168" t="s">
        <v>749</v>
      </c>
      <c r="I131" s="168" t="s">
        <v>577</v>
      </c>
      <c r="J131" s="169">
        <v>394.42</v>
      </c>
      <c r="K131" s="169">
        <v>12208.61</v>
      </c>
      <c r="M131" s="8"/>
      <c r="N131" s="8"/>
      <c r="O131" s="8"/>
      <c r="P131" s="8"/>
      <c r="Q131" s="8"/>
      <c r="R131" s="8"/>
      <c r="S131" s="8"/>
      <c r="T131" s="8"/>
      <c r="U131" s="8">
        <f>J131</f>
        <v>394.42</v>
      </c>
      <c r="V131" s="8"/>
    </row>
    <row r="132" spans="2:26" ht="23.25" x14ac:dyDescent="0.25">
      <c r="B132" s="168" t="s">
        <v>617</v>
      </c>
      <c r="C132" s="168" t="s">
        <v>638</v>
      </c>
      <c r="D132" s="168">
        <v>8939</v>
      </c>
      <c r="E132" s="168" t="s">
        <v>574</v>
      </c>
      <c r="F132" s="168" t="s">
        <v>784</v>
      </c>
      <c r="G132" s="168" t="s">
        <v>785</v>
      </c>
      <c r="H132" s="168" t="s">
        <v>749</v>
      </c>
      <c r="I132" s="168" t="s">
        <v>640</v>
      </c>
      <c r="J132" s="169">
        <v>10000</v>
      </c>
      <c r="K132" s="169">
        <v>22208.61</v>
      </c>
      <c r="M132" s="8"/>
      <c r="N132" s="8"/>
      <c r="O132" s="8"/>
      <c r="P132" s="8"/>
      <c r="Q132" s="8"/>
      <c r="R132" s="8"/>
      <c r="S132" s="8"/>
      <c r="T132" s="8"/>
      <c r="U132" s="8"/>
      <c r="V132" s="8"/>
      <c r="Z132" s="172">
        <f>J132</f>
        <v>10000</v>
      </c>
    </row>
    <row r="133" spans="2:26" ht="23.25" x14ac:dyDescent="0.25">
      <c r="B133" s="168" t="s">
        <v>786</v>
      </c>
      <c r="C133" s="168" t="s">
        <v>573</v>
      </c>
      <c r="D133" s="168"/>
      <c r="E133" s="168" t="s">
        <v>574</v>
      </c>
      <c r="F133" s="168" t="s">
        <v>777</v>
      </c>
      <c r="G133" s="168" t="s">
        <v>787</v>
      </c>
      <c r="H133" s="168" t="s">
        <v>749</v>
      </c>
      <c r="I133" s="168" t="s">
        <v>577</v>
      </c>
      <c r="J133" s="169">
        <v>293.88</v>
      </c>
      <c r="K133" s="169">
        <v>22502.49</v>
      </c>
      <c r="M133" s="8"/>
      <c r="N133" s="8"/>
      <c r="O133" s="8"/>
      <c r="P133" s="8"/>
      <c r="Q133" s="8">
        <f>J133</f>
        <v>293.88</v>
      </c>
      <c r="R133" s="8"/>
      <c r="S133" s="8"/>
      <c r="T133" s="8"/>
      <c r="U133" s="8"/>
      <c r="V133" s="8"/>
    </row>
    <row r="134" spans="2:26" ht="23.25" x14ac:dyDescent="0.25">
      <c r="B134" s="168" t="s">
        <v>788</v>
      </c>
      <c r="C134" s="168" t="s">
        <v>573</v>
      </c>
      <c r="D134" s="168"/>
      <c r="E134" s="168" t="s">
        <v>574</v>
      </c>
      <c r="F134" s="168" t="s">
        <v>568</v>
      </c>
      <c r="G134" s="168" t="s">
        <v>789</v>
      </c>
      <c r="H134" s="168" t="s">
        <v>749</v>
      </c>
      <c r="I134" s="168" t="s">
        <v>581</v>
      </c>
      <c r="J134" s="169">
        <v>36.090000000000003</v>
      </c>
      <c r="K134" s="169">
        <v>22538.58</v>
      </c>
      <c r="M134" s="8"/>
      <c r="N134" s="8"/>
      <c r="O134" s="8"/>
      <c r="P134" s="8"/>
      <c r="Q134" s="8"/>
      <c r="R134" s="8"/>
      <c r="S134" s="8"/>
      <c r="T134" s="8"/>
      <c r="U134" s="8"/>
      <c r="V134" s="8"/>
      <c r="X134" s="172">
        <f>J134</f>
        <v>36.090000000000003</v>
      </c>
    </row>
    <row r="135" spans="2:26" ht="23.25" x14ac:dyDescent="0.25">
      <c r="B135" s="168" t="s">
        <v>714</v>
      </c>
      <c r="C135" s="168" t="s">
        <v>573</v>
      </c>
      <c r="D135" s="168"/>
      <c r="E135" s="168" t="s">
        <v>574</v>
      </c>
      <c r="F135" s="168" t="s">
        <v>265</v>
      </c>
      <c r="G135" s="168" t="s">
        <v>790</v>
      </c>
      <c r="H135" s="168" t="s">
        <v>749</v>
      </c>
      <c r="I135" s="168" t="s">
        <v>585</v>
      </c>
      <c r="J135" s="169">
        <v>50.2</v>
      </c>
      <c r="K135" s="169">
        <v>22588.78</v>
      </c>
      <c r="M135" s="8"/>
      <c r="N135" s="8"/>
      <c r="O135" s="8"/>
      <c r="P135" s="8"/>
      <c r="Q135" s="8"/>
      <c r="R135" s="8"/>
      <c r="S135" s="8">
        <f>J135</f>
        <v>50.2</v>
      </c>
      <c r="T135" s="8"/>
      <c r="U135" s="8"/>
      <c r="V135" s="8"/>
    </row>
    <row r="136" spans="2:26" ht="23.25" x14ac:dyDescent="0.25">
      <c r="B136" s="168" t="s">
        <v>625</v>
      </c>
      <c r="C136" s="168" t="s">
        <v>573</v>
      </c>
      <c r="D136" s="168"/>
      <c r="E136" s="168" t="s">
        <v>574</v>
      </c>
      <c r="F136" s="168" t="s">
        <v>752</v>
      </c>
      <c r="G136" s="168" t="s">
        <v>791</v>
      </c>
      <c r="H136" s="168" t="s">
        <v>749</v>
      </c>
      <c r="I136" s="168" t="s">
        <v>577</v>
      </c>
      <c r="J136" s="169">
        <v>703.73</v>
      </c>
      <c r="K136" s="169">
        <v>23292.51</v>
      </c>
      <c r="M136" s="8"/>
      <c r="N136" s="8"/>
      <c r="O136" s="8"/>
      <c r="P136" s="8"/>
      <c r="Q136" s="8">
        <f>J136</f>
        <v>703.73</v>
      </c>
      <c r="R136" s="8"/>
      <c r="S136" s="8"/>
      <c r="T136" s="8"/>
      <c r="U136" s="8"/>
      <c r="V136" s="8"/>
    </row>
    <row r="137" spans="2:26" ht="23.25" x14ac:dyDescent="0.25">
      <c r="B137" s="168" t="s">
        <v>792</v>
      </c>
      <c r="C137" s="168" t="s">
        <v>573</v>
      </c>
      <c r="D137" s="168"/>
      <c r="E137" s="168" t="s">
        <v>574</v>
      </c>
      <c r="F137" s="168" t="s">
        <v>751</v>
      </c>
      <c r="G137" s="168" t="s">
        <v>793</v>
      </c>
      <c r="H137" s="168" t="s">
        <v>749</v>
      </c>
      <c r="I137" s="168" t="s">
        <v>577</v>
      </c>
      <c r="J137" s="169">
        <v>394.42</v>
      </c>
      <c r="K137" s="169">
        <v>23686.93</v>
      </c>
      <c r="M137" s="8"/>
      <c r="N137" s="8"/>
      <c r="O137" s="8"/>
      <c r="P137" s="8"/>
      <c r="Q137" s="8"/>
      <c r="R137" s="8"/>
      <c r="S137" s="8"/>
      <c r="T137" s="8"/>
      <c r="U137" s="8">
        <f>J137</f>
        <v>394.42</v>
      </c>
      <c r="V137" s="8"/>
    </row>
    <row r="138" spans="2:26" ht="23.25" x14ac:dyDescent="0.25">
      <c r="B138" s="168" t="s">
        <v>794</v>
      </c>
      <c r="C138" s="168" t="s">
        <v>573</v>
      </c>
      <c r="D138" s="168"/>
      <c r="E138" s="168" t="s">
        <v>574</v>
      </c>
      <c r="F138" s="168" t="s">
        <v>748</v>
      </c>
      <c r="G138" s="168" t="s">
        <v>795</v>
      </c>
      <c r="H138" s="168" t="s">
        <v>749</v>
      </c>
      <c r="I138" s="168" t="s">
        <v>585</v>
      </c>
      <c r="J138" s="169">
        <v>61.83</v>
      </c>
      <c r="K138" s="169">
        <v>23748.76</v>
      </c>
      <c r="M138" s="8"/>
      <c r="N138" s="8"/>
      <c r="O138" s="8"/>
      <c r="P138" s="8"/>
      <c r="Q138" s="8"/>
      <c r="R138" s="8"/>
      <c r="S138" s="8"/>
      <c r="T138" s="8"/>
      <c r="U138" s="8"/>
      <c r="V138" s="8">
        <f>J138</f>
        <v>61.83</v>
      </c>
    </row>
    <row r="139" spans="2:26" ht="23.25" x14ac:dyDescent="0.25">
      <c r="B139" s="168" t="s">
        <v>796</v>
      </c>
      <c r="C139" s="168" t="s">
        <v>573</v>
      </c>
      <c r="D139" s="168"/>
      <c r="E139" s="168" t="s">
        <v>574</v>
      </c>
      <c r="F139" s="168" t="s">
        <v>751</v>
      </c>
      <c r="G139" s="168" t="s">
        <v>797</v>
      </c>
      <c r="H139" s="168" t="s">
        <v>749</v>
      </c>
      <c r="I139" s="168" t="s">
        <v>585</v>
      </c>
      <c r="J139" s="169">
        <v>394.42</v>
      </c>
      <c r="K139" s="169">
        <v>24143.18</v>
      </c>
      <c r="M139" s="8"/>
      <c r="N139" s="8"/>
      <c r="O139" s="8"/>
      <c r="P139" s="8"/>
      <c r="Q139" s="8"/>
      <c r="R139" s="8"/>
      <c r="S139" s="8"/>
      <c r="T139" s="8"/>
      <c r="U139" s="8">
        <f>J139</f>
        <v>394.42</v>
      </c>
      <c r="V139" s="8"/>
    </row>
    <row r="140" spans="2:26" ht="23.25" x14ac:dyDescent="0.25">
      <c r="B140" s="168" t="s">
        <v>637</v>
      </c>
      <c r="C140" s="168" t="s">
        <v>573</v>
      </c>
      <c r="D140" s="168"/>
      <c r="E140" s="168" t="s">
        <v>574</v>
      </c>
      <c r="F140" s="168" t="s">
        <v>568</v>
      </c>
      <c r="G140" s="168" t="s">
        <v>798</v>
      </c>
      <c r="H140" s="168" t="s">
        <v>749</v>
      </c>
      <c r="I140" s="168" t="s">
        <v>585</v>
      </c>
      <c r="J140" s="169">
        <v>12.48</v>
      </c>
      <c r="K140" s="169">
        <v>24155.66</v>
      </c>
      <c r="M140" s="8"/>
      <c r="N140" s="8"/>
      <c r="O140" s="8"/>
      <c r="P140" s="8"/>
      <c r="Q140" s="8"/>
      <c r="R140" s="8"/>
      <c r="S140" s="8"/>
      <c r="T140" s="8"/>
      <c r="U140" s="8"/>
      <c r="V140" s="8"/>
      <c r="X140" s="172">
        <f>J140</f>
        <v>12.48</v>
      </c>
    </row>
    <row r="141" spans="2:26" ht="23.25" x14ac:dyDescent="0.25">
      <c r="B141" s="168" t="s">
        <v>637</v>
      </c>
      <c r="C141" s="168" t="s">
        <v>573</v>
      </c>
      <c r="D141" s="168"/>
      <c r="E141" s="168" t="s">
        <v>574</v>
      </c>
      <c r="F141" s="168" t="s">
        <v>568</v>
      </c>
      <c r="G141" s="168" t="s">
        <v>798</v>
      </c>
      <c r="H141" s="168" t="s">
        <v>749</v>
      </c>
      <c r="I141" s="168" t="s">
        <v>585</v>
      </c>
      <c r="J141" s="169">
        <v>43.43</v>
      </c>
      <c r="K141" s="169">
        <v>24199.09</v>
      </c>
      <c r="M141" s="8"/>
      <c r="N141" s="8"/>
      <c r="O141" s="8"/>
      <c r="P141" s="8"/>
      <c r="Q141" s="8"/>
      <c r="R141" s="8"/>
      <c r="S141" s="8"/>
      <c r="T141" s="8"/>
      <c r="U141" s="8"/>
      <c r="V141" s="8"/>
      <c r="X141" s="172">
        <f>J141</f>
        <v>43.43</v>
      </c>
    </row>
    <row r="142" spans="2:26" ht="23.25" x14ac:dyDescent="0.25">
      <c r="B142" s="168" t="s">
        <v>799</v>
      </c>
      <c r="C142" s="168" t="s">
        <v>573</v>
      </c>
      <c r="D142" s="168"/>
      <c r="E142" s="168" t="s">
        <v>574</v>
      </c>
      <c r="F142" s="168" t="s">
        <v>777</v>
      </c>
      <c r="G142" s="168" t="s">
        <v>800</v>
      </c>
      <c r="H142" s="168" t="s">
        <v>749</v>
      </c>
      <c r="I142" s="168" t="s">
        <v>585</v>
      </c>
      <c r="J142" s="169">
        <v>306.16000000000003</v>
      </c>
      <c r="K142" s="169">
        <v>24505.25</v>
      </c>
      <c r="M142" s="8"/>
      <c r="N142" s="8"/>
      <c r="O142" s="8"/>
      <c r="P142" s="8"/>
      <c r="Q142" s="8">
        <f>J142</f>
        <v>306.16000000000003</v>
      </c>
      <c r="R142" s="8"/>
      <c r="S142" s="8"/>
      <c r="T142" s="8"/>
      <c r="U142" s="8"/>
      <c r="V142" s="8"/>
    </row>
    <row r="143" spans="2:26" ht="23.25" x14ac:dyDescent="0.25">
      <c r="B143" s="168" t="s">
        <v>652</v>
      </c>
      <c r="C143" s="168" t="s">
        <v>573</v>
      </c>
      <c r="D143" s="168"/>
      <c r="E143" s="168" t="s">
        <v>574</v>
      </c>
      <c r="F143" s="168" t="s">
        <v>751</v>
      </c>
      <c r="G143" s="168" t="s">
        <v>801</v>
      </c>
      <c r="H143" s="168" t="s">
        <v>749</v>
      </c>
      <c r="I143" s="168" t="s">
        <v>585</v>
      </c>
      <c r="J143" s="169">
        <v>13.86</v>
      </c>
      <c r="K143" s="169">
        <v>24519.11</v>
      </c>
      <c r="M143" s="8"/>
      <c r="N143" s="8"/>
      <c r="O143" s="8"/>
      <c r="P143" s="8"/>
      <c r="Q143" s="8"/>
      <c r="R143" s="8"/>
      <c r="S143" s="8"/>
      <c r="T143" s="8"/>
      <c r="U143" s="8">
        <f>J143</f>
        <v>13.86</v>
      </c>
      <c r="V143" s="8"/>
    </row>
    <row r="144" spans="2:26" ht="23.25" x14ac:dyDescent="0.25">
      <c r="B144" s="168" t="s">
        <v>802</v>
      </c>
      <c r="C144" s="168" t="s">
        <v>573</v>
      </c>
      <c r="D144" s="168"/>
      <c r="E144" s="168" t="s">
        <v>574</v>
      </c>
      <c r="F144" s="168" t="s">
        <v>751</v>
      </c>
      <c r="G144" s="168" t="s">
        <v>803</v>
      </c>
      <c r="H144" s="168" t="s">
        <v>749</v>
      </c>
      <c r="I144" s="168" t="s">
        <v>585</v>
      </c>
      <c r="J144" s="169">
        <v>41.58</v>
      </c>
      <c r="K144" s="169">
        <v>24560.69</v>
      </c>
      <c r="M144" s="8"/>
      <c r="N144" s="8"/>
      <c r="O144" s="8"/>
      <c r="P144" s="8"/>
      <c r="Q144" s="8"/>
      <c r="R144" s="8"/>
      <c r="S144" s="8"/>
      <c r="T144" s="8"/>
      <c r="U144" s="8">
        <f>J144</f>
        <v>41.58</v>
      </c>
      <c r="V144" s="8"/>
    </row>
    <row r="145" spans="1:25" ht="23.25" x14ac:dyDescent="0.25">
      <c r="B145" s="168" t="s">
        <v>696</v>
      </c>
      <c r="C145" s="168" t="s">
        <v>573</v>
      </c>
      <c r="D145" s="168"/>
      <c r="E145" s="168" t="s">
        <v>574</v>
      </c>
      <c r="F145" s="168" t="s">
        <v>568</v>
      </c>
      <c r="G145" s="168" t="s">
        <v>804</v>
      </c>
      <c r="H145" s="168" t="s">
        <v>749</v>
      </c>
      <c r="I145" s="168" t="s">
        <v>585</v>
      </c>
      <c r="J145" s="169">
        <v>20.43</v>
      </c>
      <c r="K145" s="169">
        <v>24581.119999999999</v>
      </c>
      <c r="M145" s="8"/>
      <c r="N145" s="8"/>
      <c r="O145" s="8"/>
      <c r="P145" s="8"/>
      <c r="Q145" s="8"/>
      <c r="R145" s="8"/>
      <c r="S145" s="8"/>
      <c r="T145" s="8"/>
      <c r="U145" s="8"/>
      <c r="V145" s="8"/>
      <c r="X145" s="172">
        <f>J145</f>
        <v>20.43</v>
      </c>
    </row>
    <row r="146" spans="1:25" ht="23.25" x14ac:dyDescent="0.25">
      <c r="B146" s="168" t="s">
        <v>700</v>
      </c>
      <c r="C146" s="168" t="s">
        <v>573</v>
      </c>
      <c r="D146" s="168"/>
      <c r="E146" s="168" t="s">
        <v>574</v>
      </c>
      <c r="F146" s="168" t="s">
        <v>769</v>
      </c>
      <c r="G146" s="168" t="s">
        <v>805</v>
      </c>
      <c r="H146" s="168" t="s">
        <v>749</v>
      </c>
      <c r="I146" s="168" t="s">
        <v>585</v>
      </c>
      <c r="J146" s="169">
        <v>300</v>
      </c>
      <c r="K146" s="169">
        <v>24881.119999999999</v>
      </c>
      <c r="M146" s="8"/>
      <c r="N146" s="8"/>
      <c r="O146" s="8"/>
      <c r="P146" s="8"/>
      <c r="Q146" s="8"/>
      <c r="R146" s="8"/>
      <c r="S146" s="8"/>
      <c r="T146" s="8"/>
      <c r="U146" s="8"/>
      <c r="V146" s="8"/>
      <c r="Y146" s="172">
        <f>J146</f>
        <v>300</v>
      </c>
    </row>
    <row r="147" spans="1:25" ht="34.5" x14ac:dyDescent="0.25">
      <c r="A147" s="167" t="s">
        <v>806</v>
      </c>
      <c r="J147" s="171">
        <v>24881.119999999999</v>
      </c>
      <c r="M147" s="8"/>
      <c r="N147" s="8"/>
      <c r="O147" s="8"/>
      <c r="P147" s="8"/>
      <c r="Q147" s="8"/>
      <c r="R147" s="8"/>
      <c r="S147" s="8"/>
      <c r="T147" s="8"/>
      <c r="U147" s="8"/>
      <c r="V147" s="8"/>
    </row>
    <row r="148" spans="1:25" x14ac:dyDescent="0.25">
      <c r="A148" s="167" t="s">
        <v>807</v>
      </c>
      <c r="M148" s="8"/>
      <c r="N148" s="8"/>
      <c r="O148" s="8"/>
      <c r="P148" s="8"/>
      <c r="Q148" s="8"/>
      <c r="R148" s="8"/>
      <c r="S148" s="8"/>
      <c r="T148" s="8"/>
      <c r="U148" s="8"/>
      <c r="V148" s="8"/>
    </row>
    <row r="149" spans="1:25" ht="23.25" x14ac:dyDescent="0.25">
      <c r="B149" s="168" t="s">
        <v>583</v>
      </c>
      <c r="C149" s="168" t="s">
        <v>573</v>
      </c>
      <c r="D149" s="168"/>
      <c r="E149" s="168" t="s">
        <v>574</v>
      </c>
      <c r="F149" s="168"/>
      <c r="G149" s="168" t="s">
        <v>808</v>
      </c>
      <c r="H149" s="168" t="s">
        <v>809</v>
      </c>
      <c r="I149" s="168" t="s">
        <v>585</v>
      </c>
      <c r="J149" s="169">
        <v>7.57</v>
      </c>
      <c r="K149" s="169">
        <v>7.57</v>
      </c>
      <c r="M149" s="8"/>
      <c r="N149" s="8"/>
      <c r="O149" s="8"/>
      <c r="P149" s="8"/>
      <c r="Q149" s="8">
        <f>J149</f>
        <v>7.57</v>
      </c>
      <c r="R149" s="8"/>
      <c r="S149" s="8"/>
      <c r="T149" s="8"/>
      <c r="U149" s="8"/>
      <c r="V149" s="8"/>
    </row>
    <row r="150" spans="1:25" ht="23.25" x14ac:dyDescent="0.25">
      <c r="B150" s="168" t="s">
        <v>810</v>
      </c>
      <c r="C150" s="168" t="s">
        <v>573</v>
      </c>
      <c r="D150" s="168"/>
      <c r="E150" s="168" t="s">
        <v>574</v>
      </c>
      <c r="F150" s="168" t="s">
        <v>227</v>
      </c>
      <c r="G150" s="168" t="s">
        <v>811</v>
      </c>
      <c r="H150" s="168" t="s">
        <v>809</v>
      </c>
      <c r="I150" s="168" t="s">
        <v>585</v>
      </c>
      <c r="J150" s="169">
        <v>60</v>
      </c>
      <c r="K150" s="169">
        <v>67.569999999999993</v>
      </c>
      <c r="M150" s="8"/>
      <c r="N150" s="8"/>
      <c r="O150" s="8"/>
      <c r="P150" s="8"/>
      <c r="Q150" s="8">
        <f t="shared" ref="Q150:Q151" si="9">J150</f>
        <v>60</v>
      </c>
      <c r="R150" s="8"/>
      <c r="S150" s="8"/>
      <c r="T150" s="8"/>
      <c r="U150" s="8"/>
      <c r="V150" s="8"/>
    </row>
    <row r="151" spans="1:25" ht="23.25" x14ac:dyDescent="0.25">
      <c r="B151" s="168" t="s">
        <v>812</v>
      </c>
      <c r="C151" s="168" t="s">
        <v>573</v>
      </c>
      <c r="D151" s="168"/>
      <c r="E151" s="168" t="s">
        <v>574</v>
      </c>
      <c r="F151" s="168" t="s">
        <v>813</v>
      </c>
      <c r="G151" s="168" t="s">
        <v>814</v>
      </c>
      <c r="H151" s="168" t="s">
        <v>809</v>
      </c>
      <c r="I151" s="168" t="s">
        <v>742</v>
      </c>
      <c r="J151" s="169">
        <v>124.07</v>
      </c>
      <c r="K151" s="169">
        <v>191.64</v>
      </c>
      <c r="M151" s="8"/>
      <c r="N151" s="8"/>
      <c r="O151" s="8"/>
      <c r="P151" s="8"/>
      <c r="Q151" s="8">
        <f t="shared" si="9"/>
        <v>124.07</v>
      </c>
      <c r="R151" s="8"/>
      <c r="S151" s="8"/>
      <c r="T151" s="8"/>
      <c r="U151" s="8"/>
      <c r="V151" s="8"/>
    </row>
    <row r="152" spans="1:25" ht="23.25" x14ac:dyDescent="0.25">
      <c r="A152" s="167" t="s">
        <v>815</v>
      </c>
      <c r="J152" s="171">
        <v>191.64</v>
      </c>
      <c r="M152" s="8"/>
      <c r="N152" s="8"/>
      <c r="O152" s="8"/>
      <c r="P152" s="8"/>
      <c r="Q152" s="8"/>
      <c r="R152" s="8"/>
      <c r="S152" s="8"/>
      <c r="T152" s="8"/>
      <c r="U152" s="8"/>
      <c r="V152" s="8"/>
    </row>
    <row r="153" spans="1:25" ht="34.5" x14ac:dyDescent="0.25">
      <c r="A153" s="167" t="s">
        <v>816</v>
      </c>
      <c r="M153" s="8"/>
      <c r="N153" s="8"/>
      <c r="O153" s="8"/>
      <c r="P153" s="8"/>
      <c r="Q153" s="8"/>
      <c r="R153" s="8"/>
      <c r="S153" s="8"/>
      <c r="T153" s="8"/>
      <c r="U153" s="8"/>
      <c r="V153" s="8"/>
    </row>
    <row r="154" spans="1:25" ht="34.5" x14ac:dyDescent="0.25">
      <c r="B154" s="168" t="s">
        <v>817</v>
      </c>
      <c r="C154" s="168" t="s">
        <v>573</v>
      </c>
      <c r="D154" s="168"/>
      <c r="E154" s="168" t="s">
        <v>574</v>
      </c>
      <c r="F154" s="168" t="s">
        <v>818</v>
      </c>
      <c r="G154" s="168" t="s">
        <v>819</v>
      </c>
      <c r="H154" s="168" t="s">
        <v>820</v>
      </c>
      <c r="I154" s="168" t="s">
        <v>577</v>
      </c>
      <c r="J154" s="169">
        <v>354.7</v>
      </c>
      <c r="K154" s="169">
        <v>354.7</v>
      </c>
      <c r="M154" s="8"/>
      <c r="N154" s="8"/>
      <c r="O154" s="8"/>
      <c r="P154" s="8"/>
      <c r="Q154" s="8"/>
      <c r="R154" s="8"/>
      <c r="S154" s="8"/>
      <c r="T154" s="8"/>
      <c r="U154" s="8"/>
      <c r="V154" s="8"/>
    </row>
    <row r="155" spans="1:25" ht="34.5" x14ac:dyDescent="0.25">
      <c r="B155" s="168" t="s">
        <v>750</v>
      </c>
      <c r="C155" s="168" t="s">
        <v>573</v>
      </c>
      <c r="D155" s="168"/>
      <c r="E155" s="168" t="s">
        <v>574</v>
      </c>
      <c r="F155" s="168"/>
      <c r="G155" s="168" t="s">
        <v>821</v>
      </c>
      <c r="H155" s="168" t="s">
        <v>820</v>
      </c>
      <c r="I155" s="168" t="s">
        <v>585</v>
      </c>
      <c r="J155" s="169">
        <v>512.44000000000005</v>
      </c>
      <c r="K155" s="169">
        <v>867.14</v>
      </c>
      <c r="M155" s="8"/>
      <c r="N155" s="8"/>
      <c r="O155" s="8"/>
      <c r="P155" s="8"/>
      <c r="Q155" s="8"/>
      <c r="R155" s="8"/>
      <c r="S155" s="8"/>
      <c r="T155" s="8"/>
      <c r="U155" s="8"/>
      <c r="V155" s="8"/>
    </row>
    <row r="156" spans="1:25" ht="34.5" x14ac:dyDescent="0.25">
      <c r="B156" s="168" t="s">
        <v>822</v>
      </c>
      <c r="C156" s="168" t="s">
        <v>573</v>
      </c>
      <c r="D156" s="168"/>
      <c r="E156" s="168" t="s">
        <v>574</v>
      </c>
      <c r="F156" s="168" t="s">
        <v>823</v>
      </c>
      <c r="G156" s="168" t="s">
        <v>824</v>
      </c>
      <c r="H156" s="168" t="s">
        <v>820</v>
      </c>
      <c r="I156" s="168" t="s">
        <v>602</v>
      </c>
      <c r="J156" s="169">
        <v>50</v>
      </c>
      <c r="K156" s="169">
        <v>917.14</v>
      </c>
      <c r="M156" s="8"/>
      <c r="N156" s="8"/>
      <c r="O156" s="8"/>
      <c r="P156" s="8"/>
      <c r="Q156" s="8"/>
      <c r="R156" s="8"/>
      <c r="S156" s="8"/>
      <c r="T156" s="8"/>
      <c r="U156" s="8"/>
      <c r="V156" s="8"/>
    </row>
    <row r="157" spans="1:25" ht="34.5" x14ac:dyDescent="0.25">
      <c r="B157" s="168" t="s">
        <v>753</v>
      </c>
      <c r="C157" s="168" t="s">
        <v>573</v>
      </c>
      <c r="D157" s="168"/>
      <c r="E157" s="168" t="s">
        <v>574</v>
      </c>
      <c r="F157" s="168" t="s">
        <v>825</v>
      </c>
      <c r="G157" s="168" t="s">
        <v>826</v>
      </c>
      <c r="H157" s="168" t="s">
        <v>820</v>
      </c>
      <c r="I157" s="168" t="s">
        <v>577</v>
      </c>
      <c r="J157" s="169">
        <v>140</v>
      </c>
      <c r="K157" s="169">
        <v>1057.1400000000001</v>
      </c>
      <c r="M157" s="8"/>
      <c r="N157" s="8"/>
      <c r="O157" s="8"/>
      <c r="P157" s="8"/>
      <c r="Q157" s="8"/>
      <c r="R157" s="8"/>
      <c r="S157" s="8"/>
      <c r="T157" s="8"/>
      <c r="U157" s="8"/>
      <c r="V157" s="8"/>
    </row>
    <row r="158" spans="1:25" ht="34.5" x14ac:dyDescent="0.25">
      <c r="B158" s="168" t="s">
        <v>753</v>
      </c>
      <c r="C158" s="168" t="s">
        <v>573</v>
      </c>
      <c r="D158" s="168"/>
      <c r="E158" s="168" t="s">
        <v>574</v>
      </c>
      <c r="F158" s="168" t="s">
        <v>827</v>
      </c>
      <c r="G158" s="168" t="s">
        <v>828</v>
      </c>
      <c r="H158" s="168" t="s">
        <v>820</v>
      </c>
      <c r="I158" s="168" t="s">
        <v>577</v>
      </c>
      <c r="J158" s="169">
        <v>2698.11</v>
      </c>
      <c r="K158" s="169">
        <v>3755.25</v>
      </c>
      <c r="M158" s="8"/>
      <c r="N158" s="8"/>
      <c r="O158" s="8"/>
      <c r="P158" s="8"/>
      <c r="Q158" s="8"/>
      <c r="R158" s="8"/>
      <c r="S158" s="8"/>
      <c r="T158" s="8"/>
      <c r="U158" s="8"/>
      <c r="V158" s="8"/>
    </row>
    <row r="159" spans="1:25" ht="34.5" x14ac:dyDescent="0.25">
      <c r="B159" s="168" t="s">
        <v>829</v>
      </c>
      <c r="C159" s="168" t="s">
        <v>573</v>
      </c>
      <c r="D159" s="168"/>
      <c r="E159" s="168" t="s">
        <v>574</v>
      </c>
      <c r="F159" s="168" t="s">
        <v>830</v>
      </c>
      <c r="G159" s="168" t="s">
        <v>831</v>
      </c>
      <c r="H159" s="168" t="s">
        <v>820</v>
      </c>
      <c r="I159" s="168" t="s">
        <v>577</v>
      </c>
      <c r="J159" s="169">
        <v>178.87</v>
      </c>
      <c r="K159" s="169">
        <v>3934.12</v>
      </c>
      <c r="M159" s="8"/>
      <c r="N159" s="8"/>
      <c r="O159" s="8"/>
      <c r="P159" s="8"/>
      <c r="Q159" s="8"/>
      <c r="R159" s="8"/>
      <c r="S159" s="8"/>
      <c r="T159" s="8"/>
      <c r="U159" s="8"/>
      <c r="V159" s="8"/>
    </row>
    <row r="160" spans="1:25" ht="34.5" x14ac:dyDescent="0.25">
      <c r="B160" s="168" t="s">
        <v>829</v>
      </c>
      <c r="C160" s="168" t="s">
        <v>573</v>
      </c>
      <c r="D160" s="168"/>
      <c r="E160" s="168" t="s">
        <v>574</v>
      </c>
      <c r="F160" s="168" t="s">
        <v>832</v>
      </c>
      <c r="G160" s="168" t="s">
        <v>833</v>
      </c>
      <c r="H160" s="168" t="s">
        <v>820</v>
      </c>
      <c r="I160" s="168" t="s">
        <v>602</v>
      </c>
      <c r="J160" s="169">
        <v>408.18</v>
      </c>
      <c r="K160" s="169">
        <v>4342.3</v>
      </c>
      <c r="M160" s="8"/>
      <c r="N160" s="8"/>
      <c r="O160" s="8"/>
      <c r="P160" s="8"/>
      <c r="Q160" s="8"/>
      <c r="R160" s="8"/>
      <c r="S160" s="8"/>
      <c r="T160" s="8"/>
      <c r="U160" s="8"/>
      <c r="V160" s="8"/>
    </row>
    <row r="161" spans="2:22" ht="34.5" x14ac:dyDescent="0.25">
      <c r="B161" s="168" t="s">
        <v>834</v>
      </c>
      <c r="C161" s="168" t="s">
        <v>573</v>
      </c>
      <c r="D161" s="168"/>
      <c r="E161" s="168" t="s">
        <v>574</v>
      </c>
      <c r="F161" s="168" t="s">
        <v>818</v>
      </c>
      <c r="G161" s="168" t="s">
        <v>835</v>
      </c>
      <c r="H161" s="168" t="s">
        <v>820</v>
      </c>
      <c r="I161" s="168" t="s">
        <v>577</v>
      </c>
      <c r="J161" s="169">
        <v>741.15</v>
      </c>
      <c r="K161" s="169">
        <v>5083.45</v>
      </c>
      <c r="M161" s="8"/>
      <c r="N161" s="8"/>
      <c r="O161" s="8"/>
      <c r="P161" s="8"/>
      <c r="Q161" s="8"/>
      <c r="R161" s="8"/>
      <c r="S161" s="8"/>
      <c r="T161" s="8"/>
      <c r="U161" s="8"/>
      <c r="V161" s="8"/>
    </row>
    <row r="162" spans="2:22" ht="34.5" x14ac:dyDescent="0.25">
      <c r="B162" s="168" t="s">
        <v>834</v>
      </c>
      <c r="C162" s="168" t="s">
        <v>573</v>
      </c>
      <c r="D162" s="168"/>
      <c r="E162" s="168" t="s">
        <v>574</v>
      </c>
      <c r="F162" s="168" t="s">
        <v>836</v>
      </c>
      <c r="G162" s="168" t="s">
        <v>837</v>
      </c>
      <c r="H162" s="168" t="s">
        <v>820</v>
      </c>
      <c r="I162" s="168" t="s">
        <v>577</v>
      </c>
      <c r="J162" s="169">
        <v>1628.4</v>
      </c>
      <c r="K162" s="169">
        <v>6711.85</v>
      </c>
      <c r="M162" s="8"/>
      <c r="N162" s="8"/>
      <c r="O162" s="8"/>
      <c r="P162" s="8"/>
      <c r="Q162" s="8"/>
      <c r="R162" s="8"/>
      <c r="S162" s="8"/>
      <c r="T162" s="8"/>
      <c r="U162" s="8"/>
      <c r="V162" s="8"/>
    </row>
    <row r="163" spans="2:22" ht="34.5" x14ac:dyDescent="0.25">
      <c r="B163" s="168" t="s">
        <v>582</v>
      </c>
      <c r="C163" s="168" t="s">
        <v>573</v>
      </c>
      <c r="D163" s="168"/>
      <c r="E163" s="168" t="s">
        <v>574</v>
      </c>
      <c r="F163" s="168" t="s">
        <v>838</v>
      </c>
      <c r="G163" s="168" t="s">
        <v>839</v>
      </c>
      <c r="H163" s="168" t="s">
        <v>820</v>
      </c>
      <c r="I163" s="168" t="s">
        <v>577</v>
      </c>
      <c r="J163" s="169">
        <v>21.97</v>
      </c>
      <c r="K163" s="169">
        <v>6733.82</v>
      </c>
      <c r="M163" s="8"/>
      <c r="N163" s="8"/>
      <c r="O163" s="8"/>
      <c r="P163" s="8"/>
      <c r="Q163" s="8"/>
      <c r="R163" s="8"/>
      <c r="S163" s="8"/>
      <c r="T163" s="8"/>
      <c r="U163" s="8"/>
      <c r="V163" s="8"/>
    </row>
    <row r="164" spans="2:22" ht="34.5" x14ac:dyDescent="0.25">
      <c r="B164" s="168" t="s">
        <v>582</v>
      </c>
      <c r="C164" s="168" t="s">
        <v>573</v>
      </c>
      <c r="D164" s="168"/>
      <c r="E164" s="168" t="s">
        <v>574</v>
      </c>
      <c r="F164" s="168" t="s">
        <v>840</v>
      </c>
      <c r="G164" s="168" t="s">
        <v>841</v>
      </c>
      <c r="H164" s="168" t="s">
        <v>820</v>
      </c>
      <c r="I164" s="168" t="s">
        <v>577</v>
      </c>
      <c r="J164" s="169">
        <v>151.54</v>
      </c>
      <c r="K164" s="169">
        <v>6885.36</v>
      </c>
      <c r="M164" s="8"/>
      <c r="N164" s="8"/>
      <c r="O164" s="8"/>
      <c r="P164" s="8"/>
      <c r="Q164" s="8"/>
      <c r="R164" s="8"/>
      <c r="S164" s="8"/>
      <c r="T164" s="8"/>
      <c r="U164" s="8"/>
      <c r="V164" s="8"/>
    </row>
    <row r="165" spans="2:22" ht="34.5" x14ac:dyDescent="0.25">
      <c r="B165" s="168" t="s">
        <v>582</v>
      </c>
      <c r="C165" s="168" t="s">
        <v>573</v>
      </c>
      <c r="D165" s="168"/>
      <c r="E165" s="168" t="s">
        <v>574</v>
      </c>
      <c r="F165" s="168" t="s">
        <v>818</v>
      </c>
      <c r="G165" s="168" t="s">
        <v>842</v>
      </c>
      <c r="H165" s="168" t="s">
        <v>820</v>
      </c>
      <c r="I165" s="168" t="s">
        <v>577</v>
      </c>
      <c r="J165" s="169">
        <v>1399</v>
      </c>
      <c r="K165" s="169">
        <v>8284.36</v>
      </c>
      <c r="M165" s="8"/>
      <c r="N165" s="8"/>
      <c r="O165" s="8"/>
      <c r="P165" s="8"/>
      <c r="Q165" s="8"/>
      <c r="R165" s="8"/>
      <c r="S165" s="8"/>
      <c r="T165" s="8"/>
      <c r="U165" s="8"/>
      <c r="V165" s="8"/>
    </row>
    <row r="166" spans="2:22" ht="34.5" x14ac:dyDescent="0.25">
      <c r="B166" s="168" t="s">
        <v>582</v>
      </c>
      <c r="C166" s="168" t="s">
        <v>573</v>
      </c>
      <c r="D166" s="168"/>
      <c r="E166" s="168" t="s">
        <v>574</v>
      </c>
      <c r="F166" s="168" t="s">
        <v>836</v>
      </c>
      <c r="G166" s="168" t="s">
        <v>837</v>
      </c>
      <c r="H166" s="168" t="s">
        <v>820</v>
      </c>
      <c r="I166" s="168" t="s">
        <v>577</v>
      </c>
      <c r="J166" s="169">
        <v>211.2</v>
      </c>
      <c r="K166" s="169">
        <v>8495.56</v>
      </c>
      <c r="M166" s="8"/>
      <c r="N166" s="8"/>
      <c r="O166" s="8"/>
      <c r="P166" s="8"/>
      <c r="Q166" s="8"/>
      <c r="R166" s="8"/>
      <c r="S166" s="8"/>
      <c r="T166" s="8"/>
      <c r="U166" s="8"/>
      <c r="V166" s="8"/>
    </row>
    <row r="167" spans="2:22" ht="34.5" x14ac:dyDescent="0.25">
      <c r="B167" s="168" t="s">
        <v>843</v>
      </c>
      <c r="C167" s="168" t="s">
        <v>573</v>
      </c>
      <c r="D167" s="168"/>
      <c r="E167" s="168" t="s">
        <v>574</v>
      </c>
      <c r="F167" s="168" t="s">
        <v>832</v>
      </c>
      <c r="G167" s="168" t="s">
        <v>833</v>
      </c>
      <c r="H167" s="168" t="s">
        <v>820</v>
      </c>
      <c r="I167" s="168" t="s">
        <v>602</v>
      </c>
      <c r="J167" s="169">
        <v>90.27</v>
      </c>
      <c r="K167" s="169">
        <v>8585.83</v>
      </c>
      <c r="M167" s="8"/>
      <c r="N167" s="8"/>
      <c r="O167" s="8"/>
      <c r="P167" s="8"/>
      <c r="Q167" s="8"/>
      <c r="R167" s="8"/>
      <c r="S167" s="8"/>
      <c r="T167" s="8"/>
      <c r="U167" s="8"/>
      <c r="V167" s="8"/>
    </row>
    <row r="168" spans="2:22" ht="34.5" x14ac:dyDescent="0.25">
      <c r="B168" s="168" t="s">
        <v>843</v>
      </c>
      <c r="C168" s="168" t="s">
        <v>573</v>
      </c>
      <c r="D168" s="168"/>
      <c r="E168" s="168" t="s">
        <v>574</v>
      </c>
      <c r="F168" s="168" t="s">
        <v>832</v>
      </c>
      <c r="G168" s="168" t="s">
        <v>833</v>
      </c>
      <c r="H168" s="168" t="s">
        <v>820</v>
      </c>
      <c r="I168" s="168" t="s">
        <v>602</v>
      </c>
      <c r="J168" s="169">
        <v>158.29</v>
      </c>
      <c r="K168" s="169">
        <v>8744.1200000000008</v>
      </c>
      <c r="M168" s="8"/>
      <c r="N168" s="8"/>
      <c r="O168" s="8"/>
      <c r="P168" s="8"/>
      <c r="Q168" s="8"/>
      <c r="R168" s="8"/>
      <c r="S168" s="8"/>
      <c r="T168" s="8"/>
      <c r="U168" s="8"/>
      <c r="V168" s="8"/>
    </row>
    <row r="169" spans="2:22" ht="34.5" x14ac:dyDescent="0.25">
      <c r="B169" s="168" t="s">
        <v>721</v>
      </c>
      <c r="C169" s="168" t="s">
        <v>573</v>
      </c>
      <c r="D169" s="168"/>
      <c r="E169" s="168" t="s">
        <v>574</v>
      </c>
      <c r="F169" s="168" t="s">
        <v>840</v>
      </c>
      <c r="G169" s="168" t="s">
        <v>844</v>
      </c>
      <c r="H169" s="168" t="s">
        <v>820</v>
      </c>
      <c r="I169" s="168" t="s">
        <v>577</v>
      </c>
      <c r="J169" s="169">
        <v>12.4</v>
      </c>
      <c r="K169" s="169">
        <v>8756.52</v>
      </c>
      <c r="M169" s="8"/>
      <c r="N169" s="8"/>
      <c r="O169" s="8"/>
      <c r="P169" s="8"/>
      <c r="Q169" s="8"/>
      <c r="R169" s="8"/>
      <c r="S169" s="8"/>
      <c r="T169" s="8"/>
      <c r="U169" s="8"/>
      <c r="V169" s="8"/>
    </row>
    <row r="170" spans="2:22" ht="34.5" x14ac:dyDescent="0.25">
      <c r="B170" s="168" t="s">
        <v>721</v>
      </c>
      <c r="C170" s="168" t="s">
        <v>573</v>
      </c>
      <c r="D170" s="168"/>
      <c r="E170" s="168" t="s">
        <v>574</v>
      </c>
      <c r="F170" s="168" t="s">
        <v>845</v>
      </c>
      <c r="G170" s="168" t="s">
        <v>846</v>
      </c>
      <c r="H170" s="168" t="s">
        <v>820</v>
      </c>
      <c r="I170" s="168" t="s">
        <v>577</v>
      </c>
      <c r="J170" s="169">
        <v>587.5</v>
      </c>
      <c r="K170" s="169">
        <v>9344.02</v>
      </c>
      <c r="M170" s="8"/>
      <c r="N170" s="8"/>
      <c r="O170" s="8"/>
      <c r="P170" s="8"/>
      <c r="Q170" s="8"/>
      <c r="R170" s="8"/>
      <c r="S170" s="8"/>
      <c r="T170" s="8"/>
      <c r="U170" s="8"/>
      <c r="V170" s="8"/>
    </row>
    <row r="171" spans="2:22" ht="169.5" x14ac:dyDescent="0.25">
      <c r="B171" s="168" t="s">
        <v>721</v>
      </c>
      <c r="C171" s="168" t="s">
        <v>573</v>
      </c>
      <c r="D171" s="168"/>
      <c r="E171" s="168" t="s">
        <v>574</v>
      </c>
      <c r="F171" s="168" t="s">
        <v>250</v>
      </c>
      <c r="G171" s="168" t="s">
        <v>847</v>
      </c>
      <c r="H171" s="168" t="s">
        <v>820</v>
      </c>
      <c r="I171" s="168" t="s">
        <v>739</v>
      </c>
      <c r="J171" s="169">
        <v>93.72</v>
      </c>
      <c r="K171" s="169">
        <v>9437.74</v>
      </c>
      <c r="M171" s="8"/>
      <c r="N171" s="8"/>
      <c r="O171" s="8"/>
      <c r="P171" s="8"/>
      <c r="Q171" s="8"/>
      <c r="R171" s="8"/>
      <c r="S171" s="8"/>
      <c r="T171" s="8"/>
      <c r="U171" s="8"/>
      <c r="V171" s="8"/>
    </row>
    <row r="172" spans="2:22" ht="79.5" x14ac:dyDescent="0.25">
      <c r="B172" s="168" t="s">
        <v>848</v>
      </c>
      <c r="C172" s="168" t="s">
        <v>573</v>
      </c>
      <c r="D172" s="168"/>
      <c r="E172" s="168" t="s">
        <v>574</v>
      </c>
      <c r="F172" s="168" t="s">
        <v>250</v>
      </c>
      <c r="G172" s="168" t="s">
        <v>849</v>
      </c>
      <c r="H172" s="168" t="s">
        <v>820</v>
      </c>
      <c r="I172" s="168" t="s">
        <v>739</v>
      </c>
      <c r="J172" s="169">
        <v>24.9</v>
      </c>
      <c r="K172" s="169">
        <v>9462.64</v>
      </c>
      <c r="M172" s="8"/>
      <c r="N172" s="8"/>
      <c r="O172" s="8"/>
      <c r="P172" s="8"/>
      <c r="Q172" s="8"/>
      <c r="R172" s="8"/>
      <c r="S172" s="8"/>
      <c r="T172" s="8"/>
      <c r="U172" s="8"/>
      <c r="V172" s="8"/>
    </row>
    <row r="173" spans="2:22" ht="34.5" x14ac:dyDescent="0.25">
      <c r="B173" s="168" t="s">
        <v>583</v>
      </c>
      <c r="C173" s="168" t="s">
        <v>573</v>
      </c>
      <c r="D173" s="168"/>
      <c r="E173" s="168" t="s">
        <v>574</v>
      </c>
      <c r="F173" s="168"/>
      <c r="G173" s="168" t="s">
        <v>850</v>
      </c>
      <c r="H173" s="168" t="s">
        <v>820</v>
      </c>
      <c r="I173" s="168" t="s">
        <v>585</v>
      </c>
      <c r="J173" s="169">
        <v>109.19</v>
      </c>
      <c r="K173" s="169">
        <v>9571.83</v>
      </c>
      <c r="M173" s="8"/>
      <c r="N173" s="8"/>
      <c r="O173" s="8"/>
      <c r="P173" s="8"/>
      <c r="Q173" s="8"/>
      <c r="R173" s="8"/>
      <c r="S173" s="8"/>
      <c r="T173" s="8"/>
      <c r="U173" s="8"/>
      <c r="V173" s="8"/>
    </row>
    <row r="174" spans="2:22" ht="34.5" x14ac:dyDescent="0.25">
      <c r="B174" s="168" t="s">
        <v>583</v>
      </c>
      <c r="C174" s="168" t="s">
        <v>573</v>
      </c>
      <c r="D174" s="168"/>
      <c r="E174" s="168" t="s">
        <v>574</v>
      </c>
      <c r="F174" s="168" t="s">
        <v>851</v>
      </c>
      <c r="G174" s="168" t="s">
        <v>851</v>
      </c>
      <c r="H174" s="168" t="s">
        <v>820</v>
      </c>
      <c r="I174" s="168" t="s">
        <v>577</v>
      </c>
      <c r="J174" s="169">
        <v>149.52000000000001</v>
      </c>
      <c r="K174" s="169">
        <v>9721.35</v>
      </c>
      <c r="M174" s="8"/>
      <c r="N174" s="8"/>
      <c r="O174" s="8"/>
      <c r="P174" s="8"/>
      <c r="Q174" s="8"/>
      <c r="R174" s="8"/>
      <c r="S174" s="8"/>
      <c r="T174" s="8"/>
      <c r="U174" s="8"/>
      <c r="V174" s="8"/>
    </row>
    <row r="175" spans="2:22" ht="34.5" x14ac:dyDescent="0.25">
      <c r="B175" s="168" t="s">
        <v>583</v>
      </c>
      <c r="C175" s="168" t="s">
        <v>573</v>
      </c>
      <c r="D175" s="168"/>
      <c r="E175" s="168" t="s">
        <v>574</v>
      </c>
      <c r="F175" s="168"/>
      <c r="G175" s="168" t="s">
        <v>852</v>
      </c>
      <c r="H175" s="168" t="s">
        <v>820</v>
      </c>
      <c r="I175" s="168" t="s">
        <v>585</v>
      </c>
      <c r="J175" s="169">
        <v>112.7</v>
      </c>
      <c r="K175" s="169">
        <v>9834.0499999999993</v>
      </c>
      <c r="M175" s="8"/>
      <c r="N175" s="8"/>
      <c r="O175" s="8"/>
      <c r="P175" s="8"/>
      <c r="Q175" s="8"/>
      <c r="R175" s="8"/>
      <c r="S175" s="8"/>
      <c r="T175" s="8"/>
      <c r="U175" s="8"/>
      <c r="V175" s="8"/>
    </row>
    <row r="176" spans="2:22" ht="34.5" x14ac:dyDescent="0.25">
      <c r="B176" s="168" t="s">
        <v>853</v>
      </c>
      <c r="C176" s="168" t="s">
        <v>573</v>
      </c>
      <c r="D176" s="168"/>
      <c r="E176" s="168" t="s">
        <v>574</v>
      </c>
      <c r="F176" s="168" t="s">
        <v>838</v>
      </c>
      <c r="G176" s="168" t="s">
        <v>839</v>
      </c>
      <c r="H176" s="168" t="s">
        <v>820</v>
      </c>
      <c r="I176" s="168" t="s">
        <v>577</v>
      </c>
      <c r="J176" s="169">
        <v>42.32</v>
      </c>
      <c r="K176" s="169">
        <v>9876.3700000000008</v>
      </c>
      <c r="M176" s="8"/>
      <c r="N176" s="8"/>
      <c r="O176" s="8"/>
      <c r="P176" s="8"/>
      <c r="Q176" s="8"/>
      <c r="R176" s="8"/>
      <c r="S176" s="8"/>
      <c r="T176" s="8"/>
      <c r="U176" s="8"/>
      <c r="V176" s="8"/>
    </row>
    <row r="177" spans="2:22" ht="34.5" x14ac:dyDescent="0.25">
      <c r="B177" s="168" t="s">
        <v>853</v>
      </c>
      <c r="C177" s="168" t="s">
        <v>573</v>
      </c>
      <c r="D177" s="168"/>
      <c r="E177" s="168" t="s">
        <v>574</v>
      </c>
      <c r="F177" s="168" t="s">
        <v>823</v>
      </c>
      <c r="G177" s="168" t="s">
        <v>824</v>
      </c>
      <c r="H177" s="168" t="s">
        <v>820</v>
      </c>
      <c r="I177" s="168" t="s">
        <v>602</v>
      </c>
      <c r="J177" s="169">
        <v>514.79999999999995</v>
      </c>
      <c r="K177" s="169">
        <v>10391.17</v>
      </c>
      <c r="M177" s="8"/>
      <c r="N177" s="8"/>
      <c r="O177" s="8"/>
      <c r="P177" s="8"/>
      <c r="Q177" s="8"/>
      <c r="R177" s="8"/>
      <c r="S177" s="8"/>
      <c r="T177" s="8"/>
      <c r="U177" s="8"/>
      <c r="V177" s="8"/>
    </row>
    <row r="178" spans="2:22" ht="34.5" x14ac:dyDescent="0.25">
      <c r="B178" s="168" t="s">
        <v>854</v>
      </c>
      <c r="C178" s="168" t="s">
        <v>681</v>
      </c>
      <c r="D178" s="168"/>
      <c r="E178" s="168" t="s">
        <v>574</v>
      </c>
      <c r="F178" s="168"/>
      <c r="G178" s="168" t="s">
        <v>855</v>
      </c>
      <c r="H178" s="168" t="s">
        <v>820</v>
      </c>
      <c r="I178" s="168" t="s">
        <v>585</v>
      </c>
      <c r="J178" s="169">
        <v>-236.25</v>
      </c>
      <c r="K178" s="169">
        <v>10154.92</v>
      </c>
      <c r="M178" s="8"/>
      <c r="N178" s="8"/>
      <c r="O178" s="8"/>
      <c r="P178" s="8"/>
      <c r="Q178" s="8"/>
      <c r="R178" s="8"/>
      <c r="S178" s="8"/>
      <c r="T178" s="8"/>
      <c r="U178" s="8"/>
      <c r="V178" s="8"/>
    </row>
    <row r="179" spans="2:22" ht="34.5" x14ac:dyDescent="0.25">
      <c r="B179" s="168" t="s">
        <v>854</v>
      </c>
      <c r="C179" s="168" t="s">
        <v>573</v>
      </c>
      <c r="D179" s="168"/>
      <c r="E179" s="168" t="s">
        <v>574</v>
      </c>
      <c r="F179" s="168" t="s">
        <v>838</v>
      </c>
      <c r="G179" s="168" t="s">
        <v>839</v>
      </c>
      <c r="H179" s="168" t="s">
        <v>820</v>
      </c>
      <c r="I179" s="168" t="s">
        <v>577</v>
      </c>
      <c r="J179" s="169">
        <v>11.49</v>
      </c>
      <c r="K179" s="169">
        <v>10166.41</v>
      </c>
      <c r="M179" s="8"/>
      <c r="N179" s="8"/>
      <c r="O179" s="8"/>
      <c r="P179" s="8"/>
      <c r="Q179" s="8"/>
      <c r="R179" s="8"/>
      <c r="S179" s="8"/>
      <c r="T179" s="8"/>
      <c r="U179" s="8"/>
      <c r="V179" s="8"/>
    </row>
    <row r="180" spans="2:22" ht="34.5" x14ac:dyDescent="0.25">
      <c r="B180" s="168" t="s">
        <v>856</v>
      </c>
      <c r="C180" s="168" t="s">
        <v>573</v>
      </c>
      <c r="D180" s="168"/>
      <c r="E180" s="168" t="s">
        <v>574</v>
      </c>
      <c r="F180" s="168" t="s">
        <v>857</v>
      </c>
      <c r="G180" s="168" t="s">
        <v>858</v>
      </c>
      <c r="H180" s="168" t="s">
        <v>820</v>
      </c>
      <c r="I180" s="168" t="s">
        <v>577</v>
      </c>
      <c r="J180" s="169">
        <v>30</v>
      </c>
      <c r="K180" s="169">
        <v>10196.41</v>
      </c>
      <c r="M180" s="8"/>
      <c r="N180" s="8"/>
      <c r="O180" s="8"/>
      <c r="P180" s="8"/>
      <c r="Q180" s="8"/>
      <c r="R180" s="8"/>
      <c r="S180" s="8"/>
      <c r="T180" s="8"/>
      <c r="U180" s="8"/>
      <c r="V180" s="8"/>
    </row>
    <row r="181" spans="2:22" ht="34.5" x14ac:dyDescent="0.25">
      <c r="B181" s="168" t="s">
        <v>729</v>
      </c>
      <c r="C181" s="168" t="s">
        <v>573</v>
      </c>
      <c r="D181" s="168"/>
      <c r="E181" s="168" t="s">
        <v>574</v>
      </c>
      <c r="F181" s="168" t="s">
        <v>859</v>
      </c>
      <c r="G181" s="168" t="s">
        <v>860</v>
      </c>
      <c r="H181" s="168" t="s">
        <v>820</v>
      </c>
      <c r="I181" s="168" t="s">
        <v>577</v>
      </c>
      <c r="J181" s="169">
        <v>480</v>
      </c>
      <c r="K181" s="169">
        <v>10676.41</v>
      </c>
      <c r="M181" s="8"/>
      <c r="N181" s="8"/>
      <c r="O181" s="8"/>
      <c r="P181" s="8"/>
      <c r="Q181" s="8"/>
      <c r="R181" s="8"/>
      <c r="S181" s="8"/>
      <c r="T181" s="8"/>
      <c r="U181" s="8"/>
      <c r="V181" s="8"/>
    </row>
    <row r="182" spans="2:22" ht="34.5" x14ac:dyDescent="0.25">
      <c r="B182" s="168" t="s">
        <v>861</v>
      </c>
      <c r="C182" s="168" t="s">
        <v>573</v>
      </c>
      <c r="D182" s="168"/>
      <c r="E182" s="168" t="s">
        <v>574</v>
      </c>
      <c r="F182" s="168" t="s">
        <v>840</v>
      </c>
      <c r="G182" s="168" t="s">
        <v>844</v>
      </c>
      <c r="H182" s="168" t="s">
        <v>820</v>
      </c>
      <c r="I182" s="168" t="s">
        <v>577</v>
      </c>
      <c r="J182" s="169">
        <v>51.49</v>
      </c>
      <c r="K182" s="169">
        <v>10727.9</v>
      </c>
      <c r="M182" s="8"/>
      <c r="N182" s="8"/>
      <c r="O182" s="8"/>
      <c r="P182" s="8"/>
      <c r="Q182" s="8"/>
      <c r="R182" s="8"/>
      <c r="S182" s="8"/>
      <c r="T182" s="8"/>
      <c r="U182" s="8"/>
      <c r="V182" s="8"/>
    </row>
    <row r="183" spans="2:22" ht="34.5" x14ac:dyDescent="0.25">
      <c r="B183" s="168" t="s">
        <v>862</v>
      </c>
      <c r="C183" s="168" t="s">
        <v>863</v>
      </c>
      <c r="D183" s="168"/>
      <c r="E183" s="168" t="s">
        <v>574</v>
      </c>
      <c r="F183" s="168" t="s">
        <v>836</v>
      </c>
      <c r="G183" s="168" t="s">
        <v>837</v>
      </c>
      <c r="H183" s="168" t="s">
        <v>820</v>
      </c>
      <c r="I183" s="168" t="s">
        <v>577</v>
      </c>
      <c r="J183" s="169">
        <v>-200</v>
      </c>
      <c r="K183" s="169">
        <v>10527.9</v>
      </c>
      <c r="M183" s="8"/>
      <c r="N183" s="8"/>
      <c r="O183" s="8"/>
      <c r="P183" s="8"/>
      <c r="Q183" s="8"/>
      <c r="R183" s="8"/>
      <c r="S183" s="8"/>
      <c r="T183" s="8"/>
      <c r="U183" s="8"/>
      <c r="V183" s="8"/>
    </row>
    <row r="184" spans="2:22" ht="34.5" x14ac:dyDescent="0.25">
      <c r="B184" s="168" t="s">
        <v>862</v>
      </c>
      <c r="C184" s="168" t="s">
        <v>573</v>
      </c>
      <c r="D184" s="168"/>
      <c r="E184" s="168" t="s">
        <v>574</v>
      </c>
      <c r="F184" s="168" t="s">
        <v>845</v>
      </c>
      <c r="G184" s="168" t="s">
        <v>846</v>
      </c>
      <c r="H184" s="168" t="s">
        <v>820</v>
      </c>
      <c r="I184" s="168" t="s">
        <v>577</v>
      </c>
      <c r="J184" s="169">
        <v>881.25</v>
      </c>
      <c r="K184" s="169">
        <v>11409.15</v>
      </c>
      <c r="M184" s="8"/>
      <c r="N184" s="8"/>
      <c r="O184" s="8"/>
      <c r="P184" s="8"/>
      <c r="Q184" s="8"/>
      <c r="R184" s="8"/>
      <c r="S184" s="8"/>
      <c r="T184" s="8"/>
      <c r="U184" s="8"/>
      <c r="V184" s="8"/>
    </row>
    <row r="185" spans="2:22" ht="34.5" x14ac:dyDescent="0.25">
      <c r="B185" s="168" t="s">
        <v>864</v>
      </c>
      <c r="C185" s="168" t="s">
        <v>716</v>
      </c>
      <c r="D185" s="168">
        <v>1031</v>
      </c>
      <c r="E185" s="168" t="s">
        <v>574</v>
      </c>
      <c r="F185" s="168" t="s">
        <v>865</v>
      </c>
      <c r="G185" s="168" t="s">
        <v>866</v>
      </c>
      <c r="H185" s="168" t="s">
        <v>820</v>
      </c>
      <c r="I185" s="168" t="s">
        <v>585</v>
      </c>
      <c r="J185" s="169">
        <v>660</v>
      </c>
      <c r="K185" s="169">
        <v>12069.15</v>
      </c>
      <c r="M185" s="8"/>
      <c r="N185" s="8"/>
      <c r="O185" s="8"/>
      <c r="P185" s="8"/>
      <c r="Q185" s="8"/>
      <c r="R185" s="8"/>
      <c r="S185" s="8"/>
      <c r="T185" s="8"/>
      <c r="U185" s="8"/>
      <c r="V185" s="8"/>
    </row>
    <row r="186" spans="2:22" ht="34.5" x14ac:dyDescent="0.25">
      <c r="B186" s="168" t="s">
        <v>864</v>
      </c>
      <c r="C186" s="168" t="s">
        <v>716</v>
      </c>
      <c r="D186" s="168">
        <v>1032</v>
      </c>
      <c r="E186" s="168" t="s">
        <v>574</v>
      </c>
      <c r="F186" s="168" t="s">
        <v>865</v>
      </c>
      <c r="G186" s="168" t="s">
        <v>867</v>
      </c>
      <c r="H186" s="168" t="s">
        <v>820</v>
      </c>
      <c r="I186" s="168" t="s">
        <v>585</v>
      </c>
      <c r="J186" s="169">
        <v>700</v>
      </c>
      <c r="K186" s="169">
        <v>12769.15</v>
      </c>
      <c r="M186" s="8"/>
      <c r="N186" s="8"/>
      <c r="O186" s="8"/>
      <c r="P186" s="8"/>
      <c r="Q186" s="8"/>
      <c r="R186" s="8"/>
      <c r="S186" s="8"/>
      <c r="T186" s="8"/>
      <c r="U186" s="8"/>
      <c r="V186" s="8"/>
    </row>
    <row r="187" spans="2:22" ht="34.5" x14ac:dyDescent="0.25">
      <c r="B187" s="168" t="s">
        <v>864</v>
      </c>
      <c r="C187" s="168" t="s">
        <v>573</v>
      </c>
      <c r="D187" s="168"/>
      <c r="E187" s="168" t="s">
        <v>574</v>
      </c>
      <c r="F187" s="168" t="s">
        <v>838</v>
      </c>
      <c r="G187" s="168" t="s">
        <v>839</v>
      </c>
      <c r="H187" s="168" t="s">
        <v>820</v>
      </c>
      <c r="I187" s="168" t="s">
        <v>577</v>
      </c>
      <c r="J187" s="169">
        <v>17.28</v>
      </c>
      <c r="K187" s="169">
        <v>12786.43</v>
      </c>
      <c r="M187" s="8"/>
      <c r="N187" s="8"/>
      <c r="O187" s="8"/>
      <c r="P187" s="8"/>
      <c r="Q187" s="8"/>
      <c r="R187" s="8"/>
      <c r="S187" s="8"/>
      <c r="T187" s="8"/>
      <c r="U187" s="8"/>
      <c r="V187" s="8"/>
    </row>
    <row r="188" spans="2:22" ht="34.5" x14ac:dyDescent="0.25">
      <c r="B188" s="168" t="s">
        <v>868</v>
      </c>
      <c r="C188" s="168" t="s">
        <v>573</v>
      </c>
      <c r="D188" s="168"/>
      <c r="E188" s="168" t="s">
        <v>574</v>
      </c>
      <c r="F188" s="168" t="s">
        <v>840</v>
      </c>
      <c r="G188" s="168" t="s">
        <v>869</v>
      </c>
      <c r="H188" s="168" t="s">
        <v>820</v>
      </c>
      <c r="I188" s="168" t="s">
        <v>577</v>
      </c>
      <c r="J188" s="169">
        <v>9.26</v>
      </c>
      <c r="K188" s="169">
        <v>12795.69</v>
      </c>
      <c r="M188" s="8"/>
      <c r="N188" s="8"/>
      <c r="O188" s="8"/>
      <c r="P188" s="8"/>
      <c r="Q188" s="8"/>
      <c r="R188" s="8"/>
      <c r="S188" s="8"/>
      <c r="T188" s="8"/>
      <c r="U188" s="8"/>
      <c r="V188" s="8"/>
    </row>
    <row r="189" spans="2:22" ht="34.5" x14ac:dyDescent="0.25">
      <c r="B189" s="168" t="s">
        <v>870</v>
      </c>
      <c r="C189" s="168" t="s">
        <v>573</v>
      </c>
      <c r="D189" s="168"/>
      <c r="E189" s="168" t="s">
        <v>574</v>
      </c>
      <c r="F189" s="168" t="s">
        <v>871</v>
      </c>
      <c r="G189" s="168" t="s">
        <v>872</v>
      </c>
      <c r="H189" s="168" t="s">
        <v>820</v>
      </c>
      <c r="I189" s="168" t="s">
        <v>577</v>
      </c>
      <c r="J189" s="169">
        <v>45.4</v>
      </c>
      <c r="K189" s="169">
        <v>12841.09</v>
      </c>
      <c r="M189" s="8"/>
      <c r="N189" s="8"/>
      <c r="O189" s="8"/>
      <c r="P189" s="8"/>
      <c r="Q189" s="8"/>
      <c r="R189" s="8"/>
      <c r="S189" s="8"/>
      <c r="T189" s="8"/>
      <c r="U189" s="8"/>
      <c r="V189" s="8"/>
    </row>
    <row r="190" spans="2:22" ht="34.5" x14ac:dyDescent="0.25">
      <c r="B190" s="168" t="s">
        <v>760</v>
      </c>
      <c r="C190" s="168" t="s">
        <v>573</v>
      </c>
      <c r="D190" s="168"/>
      <c r="E190" s="168" t="s">
        <v>574</v>
      </c>
      <c r="F190" s="168" t="s">
        <v>622</v>
      </c>
      <c r="G190" s="168" t="s">
        <v>873</v>
      </c>
      <c r="H190" s="168" t="s">
        <v>820</v>
      </c>
      <c r="I190" s="168" t="s">
        <v>585</v>
      </c>
      <c r="J190" s="169">
        <v>6895</v>
      </c>
      <c r="K190" s="169">
        <v>19736.09</v>
      </c>
      <c r="M190" s="8"/>
      <c r="N190" s="8"/>
      <c r="O190" s="8"/>
      <c r="P190" s="8"/>
      <c r="Q190" s="8"/>
      <c r="R190" s="8"/>
      <c r="S190" s="8"/>
      <c r="T190" s="8"/>
      <c r="U190" s="8"/>
      <c r="V190" s="8"/>
    </row>
    <row r="191" spans="2:22" ht="34.5" x14ac:dyDescent="0.25">
      <c r="B191" s="168" t="s">
        <v>874</v>
      </c>
      <c r="C191" s="168" t="s">
        <v>573</v>
      </c>
      <c r="D191" s="168"/>
      <c r="E191" s="168" t="s">
        <v>574</v>
      </c>
      <c r="F191" s="168" t="s">
        <v>838</v>
      </c>
      <c r="G191" s="168" t="s">
        <v>875</v>
      </c>
      <c r="H191" s="168" t="s">
        <v>820</v>
      </c>
      <c r="I191" s="168" t="s">
        <v>577</v>
      </c>
      <c r="J191" s="169">
        <v>23.98</v>
      </c>
      <c r="K191" s="169">
        <v>19760.07</v>
      </c>
      <c r="M191" s="8"/>
      <c r="N191" s="8"/>
      <c r="O191" s="8"/>
      <c r="P191" s="8"/>
      <c r="Q191" s="8"/>
      <c r="R191" s="8"/>
      <c r="S191" s="8"/>
      <c r="T191" s="8"/>
      <c r="U191" s="8"/>
      <c r="V191" s="8"/>
    </row>
    <row r="192" spans="2:22" ht="34.5" x14ac:dyDescent="0.25">
      <c r="B192" s="168" t="s">
        <v>874</v>
      </c>
      <c r="C192" s="168" t="s">
        <v>573</v>
      </c>
      <c r="D192" s="168"/>
      <c r="E192" s="168" t="s">
        <v>574</v>
      </c>
      <c r="F192" s="168" t="s">
        <v>876</v>
      </c>
      <c r="G192" s="168" t="s">
        <v>877</v>
      </c>
      <c r="H192" s="168" t="s">
        <v>820</v>
      </c>
      <c r="I192" s="168" t="s">
        <v>577</v>
      </c>
      <c r="J192" s="169">
        <v>178.87</v>
      </c>
      <c r="K192" s="169">
        <v>19938.939999999999</v>
      </c>
      <c r="M192" s="8"/>
      <c r="N192" s="8"/>
      <c r="O192" s="8"/>
      <c r="P192" s="8"/>
      <c r="Q192" s="8"/>
      <c r="R192" s="8"/>
      <c r="S192" s="8"/>
      <c r="T192" s="8"/>
      <c r="U192" s="8"/>
      <c r="V192" s="8"/>
    </row>
    <row r="193" spans="2:22" ht="34.5" x14ac:dyDescent="0.25">
      <c r="B193" s="168" t="s">
        <v>878</v>
      </c>
      <c r="C193" s="168" t="s">
        <v>573</v>
      </c>
      <c r="D193" s="168"/>
      <c r="E193" s="168" t="s">
        <v>574</v>
      </c>
      <c r="F193" s="168" t="s">
        <v>857</v>
      </c>
      <c r="G193" s="168" t="s">
        <v>879</v>
      </c>
      <c r="H193" s="168" t="s">
        <v>820</v>
      </c>
      <c r="I193" s="168" t="s">
        <v>577</v>
      </c>
      <c r="J193" s="169">
        <v>950</v>
      </c>
      <c r="K193" s="169">
        <v>20888.939999999999</v>
      </c>
      <c r="M193" s="8"/>
      <c r="N193" s="8"/>
      <c r="O193" s="8"/>
      <c r="P193" s="8"/>
      <c r="Q193" s="8"/>
      <c r="R193" s="8"/>
      <c r="S193" s="8"/>
      <c r="T193" s="8"/>
      <c r="U193" s="8"/>
      <c r="V193" s="8"/>
    </row>
    <row r="194" spans="2:22" ht="34.5" x14ac:dyDescent="0.25">
      <c r="B194" s="168" t="s">
        <v>880</v>
      </c>
      <c r="C194" s="168" t="s">
        <v>573</v>
      </c>
      <c r="D194" s="168"/>
      <c r="E194" s="168" t="s">
        <v>574</v>
      </c>
      <c r="F194" s="168" t="s">
        <v>838</v>
      </c>
      <c r="G194" s="168" t="s">
        <v>875</v>
      </c>
      <c r="H194" s="168" t="s">
        <v>820</v>
      </c>
      <c r="I194" s="168" t="s">
        <v>577</v>
      </c>
      <c r="J194" s="169">
        <v>10.78</v>
      </c>
      <c r="K194" s="169">
        <v>20899.72</v>
      </c>
      <c r="M194" s="8"/>
      <c r="N194" s="8"/>
      <c r="O194" s="8"/>
      <c r="P194" s="8"/>
      <c r="Q194" s="8"/>
      <c r="R194" s="8"/>
      <c r="S194" s="8"/>
      <c r="T194" s="8"/>
      <c r="U194" s="8"/>
      <c r="V194" s="8"/>
    </row>
    <row r="195" spans="2:22" ht="34.5" x14ac:dyDescent="0.25">
      <c r="B195" s="168" t="s">
        <v>881</v>
      </c>
      <c r="C195" s="168" t="s">
        <v>573</v>
      </c>
      <c r="D195" s="168"/>
      <c r="E195" s="168" t="s">
        <v>574</v>
      </c>
      <c r="F195" s="168" t="s">
        <v>838</v>
      </c>
      <c r="G195" s="168" t="s">
        <v>875</v>
      </c>
      <c r="H195" s="168" t="s">
        <v>820</v>
      </c>
      <c r="I195" s="168" t="s">
        <v>577</v>
      </c>
      <c r="J195" s="169">
        <v>11.99</v>
      </c>
      <c r="K195" s="169">
        <v>20911.71</v>
      </c>
      <c r="M195" s="8"/>
      <c r="N195" s="8"/>
      <c r="O195" s="8"/>
      <c r="P195" s="8"/>
      <c r="Q195" s="8"/>
      <c r="R195" s="8"/>
      <c r="S195" s="8"/>
      <c r="T195" s="8"/>
      <c r="U195" s="8"/>
      <c r="V195" s="8"/>
    </row>
    <row r="196" spans="2:22" ht="34.5" x14ac:dyDescent="0.25">
      <c r="B196" s="168" t="s">
        <v>881</v>
      </c>
      <c r="C196" s="168" t="s">
        <v>573</v>
      </c>
      <c r="D196" s="168"/>
      <c r="E196" s="168" t="s">
        <v>574</v>
      </c>
      <c r="F196" s="168" t="s">
        <v>823</v>
      </c>
      <c r="G196" s="168" t="s">
        <v>824</v>
      </c>
      <c r="H196" s="168" t="s">
        <v>820</v>
      </c>
      <c r="I196" s="168" t="s">
        <v>577</v>
      </c>
      <c r="J196" s="169">
        <v>50</v>
      </c>
      <c r="K196" s="169">
        <v>20961.71</v>
      </c>
      <c r="M196" s="8"/>
      <c r="N196" s="8"/>
      <c r="O196" s="8"/>
      <c r="P196" s="8"/>
      <c r="Q196" s="8"/>
      <c r="R196" s="8"/>
      <c r="S196" s="8"/>
      <c r="T196" s="8"/>
      <c r="U196" s="8"/>
      <c r="V196" s="8"/>
    </row>
    <row r="197" spans="2:22" ht="34.5" x14ac:dyDescent="0.25">
      <c r="B197" s="168" t="s">
        <v>594</v>
      </c>
      <c r="C197" s="168" t="s">
        <v>573</v>
      </c>
      <c r="D197" s="168"/>
      <c r="E197" s="168" t="s">
        <v>574</v>
      </c>
      <c r="F197" s="168" t="s">
        <v>857</v>
      </c>
      <c r="G197" s="168" t="s">
        <v>879</v>
      </c>
      <c r="H197" s="168" t="s">
        <v>820</v>
      </c>
      <c r="I197" s="168" t="s">
        <v>577</v>
      </c>
      <c r="J197" s="169">
        <v>150</v>
      </c>
      <c r="K197" s="169">
        <v>21111.71</v>
      </c>
      <c r="M197" s="8"/>
      <c r="N197" s="8"/>
      <c r="O197" s="8"/>
      <c r="P197" s="8"/>
      <c r="Q197" s="8"/>
      <c r="R197" s="8"/>
      <c r="S197" s="8"/>
      <c r="T197" s="8"/>
      <c r="U197" s="8"/>
      <c r="V197" s="8"/>
    </row>
    <row r="198" spans="2:22" ht="34.5" x14ac:dyDescent="0.25">
      <c r="B198" s="168" t="s">
        <v>882</v>
      </c>
      <c r="C198" s="168" t="s">
        <v>676</v>
      </c>
      <c r="D198" s="168" t="s">
        <v>883</v>
      </c>
      <c r="E198" s="168" t="s">
        <v>574</v>
      </c>
      <c r="F198" s="168"/>
      <c r="G198" s="168" t="s">
        <v>884</v>
      </c>
      <c r="H198" s="168" t="s">
        <v>820</v>
      </c>
      <c r="I198" s="170" t="s">
        <v>679</v>
      </c>
      <c r="J198" s="169">
        <v>520</v>
      </c>
      <c r="K198" s="169">
        <v>21631.71</v>
      </c>
      <c r="M198" s="8"/>
      <c r="N198" s="8"/>
      <c r="O198" s="8"/>
      <c r="P198" s="8"/>
      <c r="Q198" s="8"/>
      <c r="R198" s="8"/>
      <c r="S198" s="8"/>
      <c r="T198" s="8"/>
      <c r="U198" s="8"/>
      <c r="V198" s="8"/>
    </row>
    <row r="199" spans="2:22" ht="34.5" x14ac:dyDescent="0.25">
      <c r="B199" s="168" t="s">
        <v>882</v>
      </c>
      <c r="C199" s="168" t="s">
        <v>676</v>
      </c>
      <c r="D199" s="168" t="s">
        <v>885</v>
      </c>
      <c r="E199" s="168" t="s">
        <v>574</v>
      </c>
      <c r="F199" s="168"/>
      <c r="G199" s="168" t="s">
        <v>884</v>
      </c>
      <c r="H199" s="168" t="s">
        <v>820</v>
      </c>
      <c r="I199" s="170" t="s">
        <v>679</v>
      </c>
      <c r="J199" s="169">
        <v>-520</v>
      </c>
      <c r="K199" s="169">
        <v>21111.71</v>
      </c>
      <c r="M199" s="8"/>
      <c r="N199" s="8"/>
      <c r="O199" s="8"/>
      <c r="P199" s="8"/>
      <c r="Q199" s="8"/>
      <c r="R199" s="8"/>
      <c r="S199" s="8"/>
      <c r="T199" s="8"/>
      <c r="U199" s="8"/>
      <c r="V199" s="8"/>
    </row>
    <row r="200" spans="2:22" ht="34.5" x14ac:dyDescent="0.25">
      <c r="B200" s="168" t="s">
        <v>882</v>
      </c>
      <c r="C200" s="168" t="s">
        <v>573</v>
      </c>
      <c r="D200" s="168"/>
      <c r="E200" s="168" t="s">
        <v>574</v>
      </c>
      <c r="F200" s="168" t="s">
        <v>840</v>
      </c>
      <c r="G200" s="168" t="s">
        <v>886</v>
      </c>
      <c r="H200" s="168" t="s">
        <v>820</v>
      </c>
      <c r="I200" s="168" t="s">
        <v>577</v>
      </c>
      <c r="J200" s="169">
        <v>16.739999999999998</v>
      </c>
      <c r="K200" s="169">
        <v>21128.45</v>
      </c>
      <c r="M200" s="8"/>
      <c r="N200" s="8"/>
      <c r="O200" s="8"/>
      <c r="P200" s="8"/>
      <c r="Q200" s="8"/>
      <c r="R200" s="8"/>
      <c r="S200" s="8"/>
      <c r="T200" s="8"/>
      <c r="U200" s="8"/>
      <c r="V200" s="8"/>
    </row>
    <row r="201" spans="2:22" ht="34.5" x14ac:dyDescent="0.25">
      <c r="B201" s="168" t="s">
        <v>882</v>
      </c>
      <c r="C201" s="168" t="s">
        <v>573</v>
      </c>
      <c r="D201" s="168"/>
      <c r="E201" s="168" t="s">
        <v>574</v>
      </c>
      <c r="F201" s="168" t="s">
        <v>840</v>
      </c>
      <c r="G201" s="168" t="s">
        <v>887</v>
      </c>
      <c r="H201" s="168" t="s">
        <v>820</v>
      </c>
      <c r="I201" s="168" t="s">
        <v>577</v>
      </c>
      <c r="J201" s="169">
        <v>19.78</v>
      </c>
      <c r="K201" s="169">
        <v>21148.23</v>
      </c>
      <c r="M201" s="8"/>
      <c r="N201" s="8"/>
      <c r="O201" s="8"/>
      <c r="P201" s="8"/>
      <c r="Q201" s="8"/>
      <c r="R201" s="8"/>
      <c r="S201" s="8"/>
      <c r="T201" s="8"/>
      <c r="U201" s="8"/>
      <c r="V201" s="8"/>
    </row>
    <row r="202" spans="2:22" ht="34.5" x14ac:dyDescent="0.25">
      <c r="B202" s="168" t="s">
        <v>598</v>
      </c>
      <c r="C202" s="168" t="s">
        <v>573</v>
      </c>
      <c r="D202" s="168"/>
      <c r="E202" s="168" t="s">
        <v>574</v>
      </c>
      <c r="F202" s="168" t="s">
        <v>265</v>
      </c>
      <c r="G202" s="168" t="s">
        <v>888</v>
      </c>
      <c r="H202" s="168" t="s">
        <v>820</v>
      </c>
      <c r="I202" s="168" t="s">
        <v>585</v>
      </c>
      <c r="J202" s="169">
        <v>3750</v>
      </c>
      <c r="K202" s="169">
        <v>24898.23</v>
      </c>
      <c r="M202" s="8"/>
      <c r="N202" s="8"/>
      <c r="O202" s="8"/>
      <c r="P202" s="8"/>
      <c r="Q202" s="8"/>
      <c r="R202" s="8"/>
      <c r="S202" s="8"/>
      <c r="T202" s="8"/>
      <c r="U202" s="8"/>
      <c r="V202" s="8"/>
    </row>
    <row r="203" spans="2:22" ht="34.5" x14ac:dyDescent="0.25">
      <c r="B203" s="168" t="s">
        <v>889</v>
      </c>
      <c r="C203" s="168" t="s">
        <v>573</v>
      </c>
      <c r="D203" s="168"/>
      <c r="E203" s="168" t="s">
        <v>574</v>
      </c>
      <c r="F203" s="168" t="s">
        <v>838</v>
      </c>
      <c r="G203" s="168" t="s">
        <v>890</v>
      </c>
      <c r="H203" s="168" t="s">
        <v>820</v>
      </c>
      <c r="I203" s="168" t="s">
        <v>577</v>
      </c>
      <c r="J203" s="169">
        <v>50.47</v>
      </c>
      <c r="K203" s="169">
        <v>24948.7</v>
      </c>
      <c r="M203" s="8"/>
      <c r="N203" s="8"/>
      <c r="O203" s="8"/>
      <c r="P203" s="8"/>
      <c r="Q203" s="8"/>
      <c r="R203" s="8"/>
      <c r="S203" s="8"/>
      <c r="T203" s="8"/>
      <c r="U203" s="8"/>
      <c r="V203" s="8"/>
    </row>
    <row r="204" spans="2:22" ht="34.5" x14ac:dyDescent="0.25">
      <c r="B204" s="168" t="s">
        <v>889</v>
      </c>
      <c r="C204" s="168" t="s">
        <v>573</v>
      </c>
      <c r="D204" s="168"/>
      <c r="E204" s="168" t="s">
        <v>574</v>
      </c>
      <c r="F204" s="168" t="s">
        <v>857</v>
      </c>
      <c r="G204" s="168" t="s">
        <v>879</v>
      </c>
      <c r="H204" s="168" t="s">
        <v>820</v>
      </c>
      <c r="I204" s="168" t="s">
        <v>577</v>
      </c>
      <c r="J204" s="169">
        <v>700</v>
      </c>
      <c r="K204" s="169">
        <v>25648.7</v>
      </c>
      <c r="M204" s="8"/>
      <c r="N204" s="8"/>
      <c r="O204" s="8"/>
      <c r="P204" s="8"/>
      <c r="Q204" s="8"/>
      <c r="R204" s="8"/>
      <c r="S204" s="8"/>
      <c r="T204" s="8"/>
      <c r="U204" s="8"/>
      <c r="V204" s="8"/>
    </row>
    <row r="205" spans="2:22" ht="34.5" x14ac:dyDescent="0.25">
      <c r="B205" s="168" t="s">
        <v>601</v>
      </c>
      <c r="C205" s="168" t="s">
        <v>573</v>
      </c>
      <c r="D205" s="168"/>
      <c r="E205" s="168" t="s">
        <v>574</v>
      </c>
      <c r="F205" s="168" t="s">
        <v>838</v>
      </c>
      <c r="G205" s="168" t="s">
        <v>875</v>
      </c>
      <c r="H205" s="168" t="s">
        <v>820</v>
      </c>
      <c r="I205" s="168" t="s">
        <v>577</v>
      </c>
      <c r="J205" s="169">
        <v>23.98</v>
      </c>
      <c r="K205" s="169">
        <v>25672.68</v>
      </c>
      <c r="M205" s="8"/>
      <c r="N205" s="8"/>
      <c r="O205" s="8"/>
      <c r="P205" s="8"/>
      <c r="Q205" s="8"/>
      <c r="R205" s="8"/>
      <c r="S205" s="8"/>
      <c r="T205" s="8"/>
      <c r="U205" s="8"/>
      <c r="V205" s="8"/>
    </row>
    <row r="206" spans="2:22" ht="34.5" x14ac:dyDescent="0.25">
      <c r="B206" s="168" t="s">
        <v>767</v>
      </c>
      <c r="C206" s="168" t="s">
        <v>573</v>
      </c>
      <c r="D206" s="168"/>
      <c r="E206" s="168" t="s">
        <v>574</v>
      </c>
      <c r="F206" s="168" t="s">
        <v>840</v>
      </c>
      <c r="G206" s="168" t="s">
        <v>891</v>
      </c>
      <c r="H206" s="168" t="s">
        <v>820</v>
      </c>
      <c r="I206" s="168" t="s">
        <v>581</v>
      </c>
      <c r="J206" s="169">
        <v>19.93</v>
      </c>
      <c r="K206" s="169">
        <v>25692.61</v>
      </c>
      <c r="M206" s="8"/>
      <c r="N206" s="8"/>
      <c r="O206" s="8"/>
      <c r="P206" s="8"/>
      <c r="Q206" s="8"/>
      <c r="R206" s="8"/>
      <c r="S206" s="8"/>
      <c r="T206" s="8"/>
      <c r="U206" s="8"/>
      <c r="V206" s="8"/>
    </row>
    <row r="207" spans="2:22" ht="34.5" x14ac:dyDescent="0.25">
      <c r="B207" s="168" t="s">
        <v>767</v>
      </c>
      <c r="C207" s="168" t="s">
        <v>573</v>
      </c>
      <c r="D207" s="168"/>
      <c r="E207" s="168" t="s">
        <v>574</v>
      </c>
      <c r="F207" s="168" t="s">
        <v>892</v>
      </c>
      <c r="G207" s="168" t="s">
        <v>892</v>
      </c>
      <c r="H207" s="168" t="s">
        <v>820</v>
      </c>
      <c r="I207" s="168" t="s">
        <v>577</v>
      </c>
      <c r="J207" s="169">
        <v>76.8</v>
      </c>
      <c r="K207" s="169">
        <v>25769.41</v>
      </c>
      <c r="M207" s="8"/>
      <c r="N207" s="8"/>
      <c r="O207" s="8"/>
      <c r="P207" s="8"/>
      <c r="Q207" s="8"/>
      <c r="R207" s="8"/>
      <c r="S207" s="8"/>
      <c r="T207" s="8"/>
      <c r="U207" s="8"/>
      <c r="V207" s="8"/>
    </row>
    <row r="208" spans="2:22" ht="68.25" x14ac:dyDescent="0.25">
      <c r="B208" s="168" t="s">
        <v>893</v>
      </c>
      <c r="C208" s="168" t="s">
        <v>573</v>
      </c>
      <c r="D208" s="168"/>
      <c r="E208" s="168" t="s">
        <v>574</v>
      </c>
      <c r="F208" s="168" t="s">
        <v>250</v>
      </c>
      <c r="G208" s="168" t="s">
        <v>894</v>
      </c>
      <c r="H208" s="168" t="s">
        <v>820</v>
      </c>
      <c r="I208" s="168" t="s">
        <v>739</v>
      </c>
      <c r="J208" s="169">
        <v>353.92</v>
      </c>
      <c r="K208" s="169">
        <v>26123.33</v>
      </c>
      <c r="M208" s="8"/>
      <c r="N208" s="8"/>
      <c r="O208" s="8"/>
      <c r="P208" s="8"/>
      <c r="Q208" s="8"/>
      <c r="R208" s="8"/>
      <c r="S208" s="8"/>
      <c r="T208" s="8"/>
      <c r="U208" s="8"/>
      <c r="V208" s="8"/>
    </row>
    <row r="209" spans="2:22" ht="34.5" x14ac:dyDescent="0.25">
      <c r="B209" s="168" t="s">
        <v>895</v>
      </c>
      <c r="C209" s="168" t="s">
        <v>573</v>
      </c>
      <c r="D209" s="168"/>
      <c r="E209" s="168" t="s">
        <v>574</v>
      </c>
      <c r="F209" s="168" t="s">
        <v>830</v>
      </c>
      <c r="G209" s="168" t="s">
        <v>896</v>
      </c>
      <c r="H209" s="168" t="s">
        <v>820</v>
      </c>
      <c r="I209" s="168" t="s">
        <v>577</v>
      </c>
      <c r="J209" s="169">
        <v>250</v>
      </c>
      <c r="K209" s="169">
        <v>26373.33</v>
      </c>
      <c r="M209" s="8"/>
      <c r="N209" s="8"/>
      <c r="O209" s="8"/>
      <c r="P209" s="8"/>
      <c r="Q209" s="8"/>
      <c r="R209" s="8"/>
      <c r="S209" s="8"/>
      <c r="T209" s="8"/>
      <c r="U209" s="8"/>
      <c r="V209" s="8"/>
    </row>
    <row r="210" spans="2:22" ht="34.5" x14ac:dyDescent="0.25">
      <c r="B210" s="168" t="s">
        <v>897</v>
      </c>
      <c r="C210" s="168" t="s">
        <v>573</v>
      </c>
      <c r="D210" s="168"/>
      <c r="E210" s="168" t="s">
        <v>574</v>
      </c>
      <c r="F210" s="168" t="s">
        <v>840</v>
      </c>
      <c r="G210" s="168" t="s">
        <v>887</v>
      </c>
      <c r="H210" s="168" t="s">
        <v>820</v>
      </c>
      <c r="I210" s="168" t="s">
        <v>577</v>
      </c>
      <c r="J210" s="169">
        <v>5.38</v>
      </c>
      <c r="K210" s="169">
        <v>26378.71</v>
      </c>
      <c r="M210" s="8"/>
      <c r="N210" s="8"/>
      <c r="O210" s="8"/>
      <c r="P210" s="8"/>
      <c r="Q210" s="8"/>
      <c r="R210" s="8"/>
      <c r="S210" s="8"/>
      <c r="T210" s="8"/>
      <c r="U210" s="8"/>
      <c r="V210" s="8"/>
    </row>
    <row r="211" spans="2:22" ht="34.5" x14ac:dyDescent="0.25">
      <c r="B211" s="168" t="s">
        <v>897</v>
      </c>
      <c r="C211" s="168" t="s">
        <v>573</v>
      </c>
      <c r="D211" s="168"/>
      <c r="E211" s="168" t="s">
        <v>574</v>
      </c>
      <c r="F211" s="168" t="s">
        <v>827</v>
      </c>
      <c r="G211" s="168" t="s">
        <v>828</v>
      </c>
      <c r="H211" s="168" t="s">
        <v>820</v>
      </c>
      <c r="I211" s="168" t="s">
        <v>602</v>
      </c>
      <c r="J211" s="169">
        <v>4047.16</v>
      </c>
      <c r="K211" s="169">
        <v>30425.87</v>
      </c>
      <c r="M211" s="8"/>
      <c r="N211" s="8"/>
      <c r="O211" s="8"/>
      <c r="P211" s="8"/>
      <c r="Q211" s="8"/>
      <c r="R211" s="8"/>
      <c r="S211" s="8"/>
      <c r="T211" s="8"/>
      <c r="U211" s="8"/>
      <c r="V211" s="8"/>
    </row>
    <row r="212" spans="2:22" ht="34.5" x14ac:dyDescent="0.25">
      <c r="B212" s="168" t="s">
        <v>768</v>
      </c>
      <c r="C212" s="168" t="s">
        <v>573</v>
      </c>
      <c r="D212" s="168"/>
      <c r="E212" s="168" t="s">
        <v>574</v>
      </c>
      <c r="F212" s="168" t="s">
        <v>823</v>
      </c>
      <c r="G212" s="168" t="s">
        <v>824</v>
      </c>
      <c r="H212" s="168" t="s">
        <v>820</v>
      </c>
      <c r="I212" s="168" t="s">
        <v>577</v>
      </c>
      <c r="J212" s="169">
        <v>514.79999999999995</v>
      </c>
      <c r="K212" s="169">
        <v>30940.67</v>
      </c>
      <c r="M212" s="8"/>
      <c r="N212" s="8"/>
      <c r="O212" s="8"/>
      <c r="P212" s="8"/>
      <c r="Q212" s="8"/>
      <c r="R212" s="8"/>
      <c r="S212" s="8"/>
      <c r="T212" s="8"/>
      <c r="U212" s="8"/>
      <c r="V212" s="8"/>
    </row>
    <row r="213" spans="2:22" ht="34.5" x14ac:dyDescent="0.25">
      <c r="B213" s="168" t="s">
        <v>898</v>
      </c>
      <c r="C213" s="168" t="s">
        <v>573</v>
      </c>
      <c r="D213" s="168"/>
      <c r="E213" s="168" t="s">
        <v>574</v>
      </c>
      <c r="F213" s="168" t="s">
        <v>838</v>
      </c>
      <c r="G213" s="168" t="s">
        <v>899</v>
      </c>
      <c r="H213" s="168" t="s">
        <v>820</v>
      </c>
      <c r="I213" s="168" t="s">
        <v>577</v>
      </c>
      <c r="J213" s="169">
        <v>10.81</v>
      </c>
      <c r="K213" s="169">
        <v>30951.48</v>
      </c>
      <c r="M213" s="8"/>
      <c r="N213" s="8"/>
      <c r="O213" s="8"/>
      <c r="P213" s="8"/>
      <c r="Q213" s="8"/>
      <c r="R213" s="8"/>
      <c r="S213" s="8"/>
      <c r="T213" s="8"/>
      <c r="U213" s="8"/>
      <c r="V213" s="8"/>
    </row>
    <row r="214" spans="2:22" ht="34.5" x14ac:dyDescent="0.25">
      <c r="B214" s="168" t="s">
        <v>900</v>
      </c>
      <c r="C214" s="168" t="s">
        <v>573</v>
      </c>
      <c r="D214" s="168"/>
      <c r="E214" s="168" t="s">
        <v>574</v>
      </c>
      <c r="F214" s="168" t="s">
        <v>840</v>
      </c>
      <c r="G214" s="168" t="s">
        <v>887</v>
      </c>
      <c r="H214" s="168" t="s">
        <v>820</v>
      </c>
      <c r="I214" s="168" t="s">
        <v>577</v>
      </c>
      <c r="J214" s="169">
        <v>16.670000000000002</v>
      </c>
      <c r="K214" s="169">
        <v>30968.15</v>
      </c>
      <c r="M214" s="8"/>
      <c r="N214" s="8"/>
      <c r="O214" s="8"/>
      <c r="P214" s="8"/>
      <c r="Q214" s="8"/>
      <c r="R214" s="8"/>
      <c r="S214" s="8"/>
      <c r="T214" s="8"/>
      <c r="U214" s="8"/>
      <c r="V214" s="8"/>
    </row>
    <row r="215" spans="2:22" ht="34.5" x14ac:dyDescent="0.25">
      <c r="B215" s="168" t="s">
        <v>901</v>
      </c>
      <c r="C215" s="168" t="s">
        <v>573</v>
      </c>
      <c r="D215" s="168"/>
      <c r="E215" s="168" t="s">
        <v>574</v>
      </c>
      <c r="F215" s="168" t="s">
        <v>838</v>
      </c>
      <c r="G215" s="168" t="s">
        <v>875</v>
      </c>
      <c r="H215" s="168" t="s">
        <v>820</v>
      </c>
      <c r="I215" s="168" t="s">
        <v>577</v>
      </c>
      <c r="J215" s="169">
        <v>5.29</v>
      </c>
      <c r="K215" s="169">
        <v>30973.439999999999</v>
      </c>
      <c r="M215" s="8"/>
      <c r="N215" s="8"/>
      <c r="O215" s="8"/>
      <c r="P215" s="8"/>
      <c r="Q215" s="8"/>
      <c r="R215" s="8"/>
      <c r="S215" s="8"/>
      <c r="T215" s="8"/>
      <c r="U215" s="8"/>
      <c r="V215" s="8"/>
    </row>
    <row r="216" spans="2:22" ht="34.5" x14ac:dyDescent="0.25">
      <c r="B216" s="168" t="s">
        <v>812</v>
      </c>
      <c r="C216" s="168" t="s">
        <v>573</v>
      </c>
      <c r="D216" s="168"/>
      <c r="E216" s="168" t="s">
        <v>574</v>
      </c>
      <c r="F216" s="168" t="s">
        <v>838</v>
      </c>
      <c r="G216" s="168" t="s">
        <v>875</v>
      </c>
      <c r="H216" s="168" t="s">
        <v>820</v>
      </c>
      <c r="I216" s="168" t="s">
        <v>577</v>
      </c>
      <c r="J216" s="169">
        <v>24.98</v>
      </c>
      <c r="K216" s="169">
        <v>30998.42</v>
      </c>
      <c r="M216" s="8"/>
      <c r="N216" s="8"/>
      <c r="O216" s="8"/>
      <c r="P216" s="8"/>
      <c r="Q216" s="8"/>
      <c r="R216" s="8"/>
      <c r="S216" s="8"/>
      <c r="T216" s="8"/>
      <c r="U216" s="8"/>
      <c r="V216" s="8"/>
    </row>
    <row r="217" spans="2:22" ht="34.5" x14ac:dyDescent="0.25">
      <c r="B217" s="168" t="s">
        <v>902</v>
      </c>
      <c r="C217" s="168" t="s">
        <v>863</v>
      </c>
      <c r="D217" s="168"/>
      <c r="E217" s="168" t="s">
        <v>574</v>
      </c>
      <c r="F217" s="168" t="s">
        <v>838</v>
      </c>
      <c r="G217" s="168" t="s">
        <v>875</v>
      </c>
      <c r="H217" s="168" t="s">
        <v>820</v>
      </c>
      <c r="I217" s="168" t="s">
        <v>577</v>
      </c>
      <c r="J217" s="169">
        <v>-5.4</v>
      </c>
      <c r="K217" s="169">
        <v>30993.02</v>
      </c>
      <c r="M217" s="8"/>
      <c r="N217" s="8"/>
      <c r="O217" s="8"/>
      <c r="P217" s="8"/>
      <c r="Q217" s="8"/>
      <c r="R217" s="8"/>
      <c r="S217" s="8"/>
      <c r="T217" s="8"/>
      <c r="U217" s="8"/>
      <c r="V217" s="8"/>
    </row>
    <row r="218" spans="2:22" ht="34.5" x14ac:dyDescent="0.25">
      <c r="B218" s="168" t="s">
        <v>775</v>
      </c>
      <c r="C218" s="168" t="s">
        <v>573</v>
      </c>
      <c r="D218" s="168"/>
      <c r="E218" s="168" t="s">
        <v>574</v>
      </c>
      <c r="F218" s="168" t="s">
        <v>823</v>
      </c>
      <c r="G218" s="168" t="s">
        <v>903</v>
      </c>
      <c r="H218" s="168" t="s">
        <v>820</v>
      </c>
      <c r="I218" s="168" t="s">
        <v>581</v>
      </c>
      <c r="J218" s="169">
        <v>20</v>
      </c>
      <c r="K218" s="169">
        <v>31013.02</v>
      </c>
      <c r="M218" s="8"/>
      <c r="N218" s="8"/>
      <c r="O218" s="8"/>
      <c r="P218" s="8"/>
      <c r="Q218" s="8"/>
      <c r="R218" s="8"/>
      <c r="S218" s="8"/>
      <c r="T218" s="8"/>
      <c r="U218" s="8"/>
      <c r="V218" s="8"/>
    </row>
    <row r="219" spans="2:22" ht="34.5" x14ac:dyDescent="0.25">
      <c r="B219" s="168" t="s">
        <v>776</v>
      </c>
      <c r="C219" s="168" t="s">
        <v>573</v>
      </c>
      <c r="D219" s="168"/>
      <c r="E219" s="168" t="s">
        <v>574</v>
      </c>
      <c r="F219" s="168" t="s">
        <v>904</v>
      </c>
      <c r="G219" s="168" t="s">
        <v>905</v>
      </c>
      <c r="H219" s="168" t="s">
        <v>820</v>
      </c>
      <c r="I219" s="168" t="s">
        <v>577</v>
      </c>
      <c r="J219" s="169">
        <v>35</v>
      </c>
      <c r="K219" s="169">
        <v>31048.02</v>
      </c>
      <c r="M219" s="8"/>
      <c r="N219" s="8"/>
      <c r="O219" s="8"/>
      <c r="P219" s="8"/>
      <c r="Q219" s="8"/>
      <c r="R219" s="8"/>
      <c r="S219" s="8"/>
      <c r="T219" s="8"/>
      <c r="U219" s="8"/>
      <c r="V219" s="8"/>
    </row>
    <row r="220" spans="2:22" ht="34.5" x14ac:dyDescent="0.25">
      <c r="B220" s="168" t="s">
        <v>776</v>
      </c>
      <c r="C220" s="168" t="s">
        <v>573</v>
      </c>
      <c r="D220" s="168"/>
      <c r="E220" s="168" t="s">
        <v>574</v>
      </c>
      <c r="F220" s="168" t="s">
        <v>904</v>
      </c>
      <c r="G220" s="168" t="s">
        <v>905</v>
      </c>
      <c r="H220" s="168" t="s">
        <v>820</v>
      </c>
      <c r="I220" s="168" t="s">
        <v>577</v>
      </c>
      <c r="J220" s="169">
        <v>35</v>
      </c>
      <c r="K220" s="169">
        <v>31083.02</v>
      </c>
      <c r="M220" s="8"/>
      <c r="N220" s="8"/>
      <c r="O220" s="8"/>
      <c r="P220" s="8"/>
      <c r="Q220" s="8"/>
      <c r="R220" s="8"/>
      <c r="S220" s="8"/>
      <c r="T220" s="8"/>
      <c r="U220" s="8"/>
      <c r="V220" s="8"/>
    </row>
    <row r="221" spans="2:22" ht="34.5" x14ac:dyDescent="0.25">
      <c r="B221" s="168" t="s">
        <v>776</v>
      </c>
      <c r="C221" s="168" t="s">
        <v>573</v>
      </c>
      <c r="D221" s="168"/>
      <c r="E221" s="168" t="s">
        <v>574</v>
      </c>
      <c r="F221" s="168" t="s">
        <v>830</v>
      </c>
      <c r="G221" s="168" t="s">
        <v>906</v>
      </c>
      <c r="H221" s="168" t="s">
        <v>820</v>
      </c>
      <c r="I221" s="168" t="s">
        <v>577</v>
      </c>
      <c r="J221" s="169">
        <v>71.55</v>
      </c>
      <c r="K221" s="169">
        <v>31154.57</v>
      </c>
      <c r="M221" s="8"/>
      <c r="N221" s="8"/>
      <c r="O221" s="8"/>
      <c r="P221" s="8"/>
      <c r="Q221" s="8"/>
      <c r="R221" s="8"/>
      <c r="S221" s="8"/>
      <c r="T221" s="8"/>
      <c r="U221" s="8"/>
      <c r="V221" s="8"/>
    </row>
    <row r="222" spans="2:22" ht="34.5" x14ac:dyDescent="0.25">
      <c r="B222" s="168" t="s">
        <v>907</v>
      </c>
      <c r="C222" s="168" t="s">
        <v>573</v>
      </c>
      <c r="D222" s="168"/>
      <c r="E222" s="168" t="s">
        <v>574</v>
      </c>
      <c r="F222" s="168" t="s">
        <v>840</v>
      </c>
      <c r="G222" s="168" t="s">
        <v>869</v>
      </c>
      <c r="H222" s="168" t="s">
        <v>820</v>
      </c>
      <c r="I222" s="168" t="s">
        <v>577</v>
      </c>
      <c r="J222" s="169">
        <v>7.56</v>
      </c>
      <c r="K222" s="169">
        <v>31162.13</v>
      </c>
      <c r="M222" s="8"/>
      <c r="N222" s="8"/>
      <c r="O222" s="8"/>
      <c r="P222" s="8"/>
      <c r="Q222" s="8"/>
      <c r="R222" s="8"/>
      <c r="S222" s="8"/>
      <c r="T222" s="8"/>
      <c r="U222" s="8"/>
      <c r="V222" s="8"/>
    </row>
    <row r="223" spans="2:22" ht="34.5" x14ac:dyDescent="0.25">
      <c r="B223" s="168" t="s">
        <v>908</v>
      </c>
      <c r="C223" s="168" t="s">
        <v>573</v>
      </c>
      <c r="D223" s="168"/>
      <c r="E223" s="168" t="s">
        <v>574</v>
      </c>
      <c r="F223" s="168" t="s">
        <v>857</v>
      </c>
      <c r="G223" s="168" t="s">
        <v>858</v>
      </c>
      <c r="H223" s="168" t="s">
        <v>820</v>
      </c>
      <c r="I223" s="168" t="s">
        <v>577</v>
      </c>
      <c r="J223" s="169">
        <v>460</v>
      </c>
      <c r="K223" s="169">
        <v>31622.13</v>
      </c>
      <c r="M223" s="8"/>
      <c r="N223" s="8"/>
      <c r="O223" s="8"/>
      <c r="P223" s="8"/>
      <c r="Q223" s="8"/>
      <c r="R223" s="8"/>
      <c r="S223" s="8"/>
      <c r="T223" s="8"/>
      <c r="U223" s="8"/>
      <c r="V223" s="8"/>
    </row>
    <row r="224" spans="2:22" ht="34.5" x14ac:dyDescent="0.25">
      <c r="B224" s="168" t="s">
        <v>909</v>
      </c>
      <c r="C224" s="168" t="s">
        <v>573</v>
      </c>
      <c r="D224" s="168"/>
      <c r="E224" s="168" t="s">
        <v>574</v>
      </c>
      <c r="F224" s="168" t="s">
        <v>838</v>
      </c>
      <c r="G224" s="168" t="s">
        <v>839</v>
      </c>
      <c r="H224" s="168" t="s">
        <v>820</v>
      </c>
      <c r="I224" s="168" t="s">
        <v>577</v>
      </c>
      <c r="J224" s="169">
        <v>5.28</v>
      </c>
      <c r="K224" s="169">
        <v>31627.41</v>
      </c>
      <c r="M224" s="8"/>
      <c r="N224" s="8"/>
      <c r="O224" s="8"/>
      <c r="P224" s="8"/>
      <c r="Q224" s="8"/>
      <c r="R224" s="8"/>
      <c r="S224" s="8"/>
      <c r="T224" s="8"/>
      <c r="U224" s="8"/>
      <c r="V224" s="8"/>
    </row>
    <row r="225" spans="2:22" ht="34.5" x14ac:dyDescent="0.25">
      <c r="B225" s="168" t="s">
        <v>780</v>
      </c>
      <c r="C225" s="168" t="s">
        <v>573</v>
      </c>
      <c r="D225" s="168"/>
      <c r="E225" s="168" t="s">
        <v>574</v>
      </c>
      <c r="F225" s="168" t="s">
        <v>840</v>
      </c>
      <c r="G225" s="168" t="s">
        <v>844</v>
      </c>
      <c r="H225" s="168" t="s">
        <v>820</v>
      </c>
      <c r="I225" s="168" t="s">
        <v>577</v>
      </c>
      <c r="J225" s="169">
        <v>8.3800000000000008</v>
      </c>
      <c r="K225" s="169">
        <v>31635.79</v>
      </c>
      <c r="M225" s="8"/>
      <c r="N225" s="8"/>
      <c r="O225" s="8"/>
      <c r="P225" s="8"/>
      <c r="Q225" s="8"/>
      <c r="R225" s="8"/>
      <c r="S225" s="8"/>
      <c r="T225" s="8"/>
      <c r="U225" s="8"/>
      <c r="V225" s="8"/>
    </row>
    <row r="226" spans="2:22" ht="34.5" x14ac:dyDescent="0.25">
      <c r="B226" s="168" t="s">
        <v>910</v>
      </c>
      <c r="C226" s="168" t="s">
        <v>573</v>
      </c>
      <c r="D226" s="168"/>
      <c r="E226" s="168" t="s">
        <v>574</v>
      </c>
      <c r="F226" s="168" t="s">
        <v>840</v>
      </c>
      <c r="G226" s="168" t="s">
        <v>911</v>
      </c>
      <c r="H226" s="168" t="s">
        <v>820</v>
      </c>
      <c r="I226" s="168" t="s">
        <v>577</v>
      </c>
      <c r="J226" s="169">
        <v>12.32</v>
      </c>
      <c r="K226" s="169">
        <v>31648.11</v>
      </c>
      <c r="M226" s="8"/>
      <c r="N226" s="8"/>
      <c r="O226" s="8"/>
      <c r="P226" s="8"/>
      <c r="Q226" s="8"/>
      <c r="R226" s="8"/>
      <c r="S226" s="8"/>
      <c r="T226" s="8"/>
      <c r="U226" s="8"/>
      <c r="V226" s="8"/>
    </row>
    <row r="227" spans="2:22" ht="34.5" x14ac:dyDescent="0.25">
      <c r="B227" s="168" t="s">
        <v>912</v>
      </c>
      <c r="C227" s="168" t="s">
        <v>573</v>
      </c>
      <c r="D227" s="168"/>
      <c r="E227" s="168" t="s">
        <v>574</v>
      </c>
      <c r="F227" s="168" t="s">
        <v>857</v>
      </c>
      <c r="G227" s="168" t="s">
        <v>858</v>
      </c>
      <c r="H227" s="168" t="s">
        <v>820</v>
      </c>
      <c r="I227" s="168" t="s">
        <v>577</v>
      </c>
      <c r="J227" s="169">
        <v>650</v>
      </c>
      <c r="K227" s="169">
        <v>32298.11</v>
      </c>
      <c r="M227" s="8"/>
      <c r="N227" s="8"/>
      <c r="O227" s="8"/>
      <c r="P227" s="8"/>
      <c r="Q227" s="8"/>
      <c r="R227" s="8"/>
      <c r="S227" s="8"/>
      <c r="T227" s="8"/>
      <c r="U227" s="8"/>
      <c r="V227" s="8"/>
    </row>
    <row r="228" spans="2:22" ht="34.5" x14ac:dyDescent="0.25">
      <c r="B228" s="168" t="s">
        <v>616</v>
      </c>
      <c r="C228" s="168" t="s">
        <v>573</v>
      </c>
      <c r="D228" s="168"/>
      <c r="E228" s="168" t="s">
        <v>574</v>
      </c>
      <c r="F228" s="168" t="s">
        <v>830</v>
      </c>
      <c r="G228" s="168" t="s">
        <v>913</v>
      </c>
      <c r="H228" s="168" t="s">
        <v>820</v>
      </c>
      <c r="I228" s="168" t="s">
        <v>577</v>
      </c>
      <c r="J228" s="169">
        <v>71.55</v>
      </c>
      <c r="K228" s="169">
        <v>32369.66</v>
      </c>
      <c r="M228" s="8"/>
      <c r="N228" s="8"/>
      <c r="O228" s="8"/>
      <c r="P228" s="8"/>
      <c r="Q228" s="8"/>
      <c r="R228" s="8"/>
      <c r="S228" s="8"/>
      <c r="T228" s="8"/>
      <c r="U228" s="8"/>
      <c r="V228" s="8"/>
    </row>
    <row r="229" spans="2:22" ht="68.25" x14ac:dyDescent="0.25">
      <c r="B229" s="168" t="s">
        <v>914</v>
      </c>
      <c r="C229" s="168" t="s">
        <v>573</v>
      </c>
      <c r="D229" s="168"/>
      <c r="E229" s="168" t="s">
        <v>574</v>
      </c>
      <c r="F229" s="168" t="s">
        <v>250</v>
      </c>
      <c r="G229" s="168" t="s">
        <v>915</v>
      </c>
      <c r="H229" s="168" t="s">
        <v>820</v>
      </c>
      <c r="I229" s="168" t="s">
        <v>739</v>
      </c>
      <c r="J229" s="169">
        <v>19.46</v>
      </c>
      <c r="K229" s="169">
        <v>32389.119999999999</v>
      </c>
      <c r="M229" s="8"/>
      <c r="N229" s="8"/>
      <c r="O229" s="8"/>
      <c r="P229" s="8"/>
      <c r="Q229" s="8"/>
      <c r="R229" s="8"/>
      <c r="S229" s="8"/>
      <c r="T229" s="8"/>
      <c r="U229" s="8"/>
      <c r="V229" s="8"/>
    </row>
    <row r="230" spans="2:22" ht="34.5" x14ac:dyDescent="0.25">
      <c r="B230" s="168" t="s">
        <v>617</v>
      </c>
      <c r="C230" s="168" t="s">
        <v>573</v>
      </c>
      <c r="D230" s="168"/>
      <c r="E230" s="168" t="s">
        <v>574</v>
      </c>
      <c r="F230" s="168" t="s">
        <v>838</v>
      </c>
      <c r="G230" s="168" t="s">
        <v>916</v>
      </c>
      <c r="H230" s="168" t="s">
        <v>820</v>
      </c>
      <c r="I230" s="168" t="s">
        <v>742</v>
      </c>
      <c r="J230" s="169">
        <v>4.49</v>
      </c>
      <c r="K230" s="169">
        <v>32393.61</v>
      </c>
      <c r="M230" s="8"/>
      <c r="N230" s="8"/>
      <c r="O230" s="8"/>
      <c r="P230" s="8"/>
      <c r="Q230" s="8"/>
      <c r="R230" s="8"/>
      <c r="S230" s="8"/>
      <c r="T230" s="8"/>
      <c r="U230" s="8"/>
      <c r="V230" s="8"/>
    </row>
    <row r="231" spans="2:22" ht="34.5" x14ac:dyDescent="0.25">
      <c r="B231" s="168" t="s">
        <v>786</v>
      </c>
      <c r="C231" s="168" t="s">
        <v>573</v>
      </c>
      <c r="D231" s="168"/>
      <c r="E231" s="168" t="s">
        <v>574</v>
      </c>
      <c r="F231" s="168" t="s">
        <v>838</v>
      </c>
      <c r="G231" s="168" t="s">
        <v>917</v>
      </c>
      <c r="H231" s="168" t="s">
        <v>820</v>
      </c>
      <c r="I231" s="168" t="s">
        <v>577</v>
      </c>
      <c r="J231" s="169">
        <v>17.579999999999998</v>
      </c>
      <c r="K231" s="169">
        <v>32411.19</v>
      </c>
      <c r="M231" s="8"/>
      <c r="N231" s="8"/>
      <c r="O231" s="8"/>
      <c r="P231" s="8"/>
      <c r="Q231" s="8"/>
      <c r="R231" s="8"/>
      <c r="S231" s="8"/>
      <c r="T231" s="8"/>
      <c r="U231" s="8"/>
      <c r="V231" s="8"/>
    </row>
    <row r="232" spans="2:22" ht="34.5" x14ac:dyDescent="0.25">
      <c r="B232" s="168" t="s">
        <v>918</v>
      </c>
      <c r="C232" s="168" t="s">
        <v>573</v>
      </c>
      <c r="D232" s="168"/>
      <c r="E232" s="168" t="s">
        <v>574</v>
      </c>
      <c r="F232" s="168"/>
      <c r="G232" s="168" t="s">
        <v>919</v>
      </c>
      <c r="H232" s="168" t="s">
        <v>820</v>
      </c>
      <c r="I232" s="168" t="s">
        <v>577</v>
      </c>
      <c r="J232" s="169">
        <v>165.37</v>
      </c>
      <c r="K232" s="169">
        <v>32576.560000000001</v>
      </c>
      <c r="M232" s="8"/>
      <c r="N232" s="8"/>
      <c r="O232" s="8"/>
      <c r="P232" s="8"/>
      <c r="Q232" s="8"/>
      <c r="R232" s="8"/>
      <c r="S232" s="8"/>
      <c r="T232" s="8"/>
      <c r="U232" s="8"/>
      <c r="V232" s="8"/>
    </row>
    <row r="233" spans="2:22" ht="34.5" x14ac:dyDescent="0.25">
      <c r="B233" s="168" t="s">
        <v>920</v>
      </c>
      <c r="C233" s="168" t="s">
        <v>573</v>
      </c>
      <c r="D233" s="168"/>
      <c r="E233" s="168" t="s">
        <v>574</v>
      </c>
      <c r="F233" s="168" t="s">
        <v>840</v>
      </c>
      <c r="G233" s="168" t="s">
        <v>886</v>
      </c>
      <c r="H233" s="168" t="s">
        <v>820</v>
      </c>
      <c r="I233" s="168" t="s">
        <v>581</v>
      </c>
      <c r="J233" s="169">
        <v>30.92</v>
      </c>
      <c r="K233" s="169">
        <v>32607.48</v>
      </c>
      <c r="M233" s="8"/>
      <c r="N233" s="8"/>
      <c r="O233" s="8"/>
      <c r="P233" s="8"/>
      <c r="Q233" s="8"/>
      <c r="R233" s="8"/>
      <c r="S233" s="8"/>
      <c r="T233" s="8"/>
      <c r="U233" s="8"/>
      <c r="V233" s="8"/>
    </row>
    <row r="234" spans="2:22" ht="34.5" x14ac:dyDescent="0.25">
      <c r="B234" s="168" t="s">
        <v>714</v>
      </c>
      <c r="C234" s="168" t="s">
        <v>573</v>
      </c>
      <c r="D234" s="168"/>
      <c r="E234" s="168" t="s">
        <v>574</v>
      </c>
      <c r="F234" s="168"/>
      <c r="G234" s="168" t="s">
        <v>921</v>
      </c>
      <c r="H234" s="168" t="s">
        <v>820</v>
      </c>
      <c r="I234" s="168" t="s">
        <v>577</v>
      </c>
      <c r="J234" s="169">
        <v>50</v>
      </c>
      <c r="K234" s="169">
        <v>32657.48</v>
      </c>
      <c r="M234" s="8"/>
      <c r="N234" s="8"/>
      <c r="O234" s="8"/>
      <c r="P234" s="8"/>
      <c r="Q234" s="8"/>
      <c r="R234" s="8"/>
      <c r="S234" s="8"/>
      <c r="T234" s="8"/>
      <c r="U234" s="8"/>
      <c r="V234" s="8"/>
    </row>
    <row r="235" spans="2:22" ht="34.5" x14ac:dyDescent="0.25">
      <c r="B235" s="168" t="s">
        <v>714</v>
      </c>
      <c r="C235" s="168" t="s">
        <v>573</v>
      </c>
      <c r="D235" s="168"/>
      <c r="E235" s="168" t="s">
        <v>574</v>
      </c>
      <c r="F235" s="168" t="s">
        <v>265</v>
      </c>
      <c r="G235" s="168" t="s">
        <v>922</v>
      </c>
      <c r="H235" s="168" t="s">
        <v>820</v>
      </c>
      <c r="I235" s="168" t="s">
        <v>585</v>
      </c>
      <c r="J235" s="169">
        <v>400</v>
      </c>
      <c r="K235" s="169">
        <v>33057.480000000003</v>
      </c>
      <c r="M235" s="8"/>
      <c r="N235" s="8"/>
      <c r="O235" s="8"/>
      <c r="P235" s="8"/>
      <c r="Q235" s="8"/>
      <c r="R235" s="8"/>
      <c r="S235" s="8"/>
      <c r="T235" s="8"/>
      <c r="U235" s="8"/>
      <c r="V235" s="8"/>
    </row>
    <row r="236" spans="2:22" ht="34.5" x14ac:dyDescent="0.25">
      <c r="B236" s="168" t="s">
        <v>714</v>
      </c>
      <c r="C236" s="168" t="s">
        <v>573</v>
      </c>
      <c r="D236" s="168"/>
      <c r="E236" s="168" t="s">
        <v>574</v>
      </c>
      <c r="F236" s="168" t="s">
        <v>265</v>
      </c>
      <c r="G236" s="168" t="s">
        <v>923</v>
      </c>
      <c r="H236" s="168" t="s">
        <v>820</v>
      </c>
      <c r="I236" s="168" t="s">
        <v>585</v>
      </c>
      <c r="J236" s="169">
        <v>6000</v>
      </c>
      <c r="K236" s="169">
        <v>39057.480000000003</v>
      </c>
      <c r="M236" s="8"/>
      <c r="N236" s="8"/>
      <c r="O236" s="8"/>
      <c r="P236" s="8"/>
      <c r="Q236" s="8"/>
      <c r="R236" s="8"/>
      <c r="S236" s="8"/>
      <c r="T236" s="8"/>
      <c r="U236" s="8"/>
      <c r="V236" s="8"/>
    </row>
    <row r="237" spans="2:22" ht="34.5" x14ac:dyDescent="0.25">
      <c r="B237" s="168" t="s">
        <v>924</v>
      </c>
      <c r="C237" s="168" t="s">
        <v>573</v>
      </c>
      <c r="D237" s="168"/>
      <c r="E237" s="168" t="s">
        <v>574</v>
      </c>
      <c r="F237" s="168" t="s">
        <v>925</v>
      </c>
      <c r="G237" s="168" t="s">
        <v>926</v>
      </c>
      <c r="H237" s="168" t="s">
        <v>820</v>
      </c>
      <c r="I237" s="168" t="s">
        <v>577</v>
      </c>
      <c r="J237" s="169">
        <v>2317.5</v>
      </c>
      <c r="K237" s="169">
        <v>41374.980000000003</v>
      </c>
      <c r="M237" s="8"/>
      <c r="N237" s="8"/>
      <c r="O237" s="8"/>
      <c r="P237" s="8"/>
      <c r="Q237" s="8"/>
      <c r="R237" s="8"/>
      <c r="S237" s="8"/>
      <c r="T237" s="8"/>
      <c r="U237" s="8"/>
      <c r="V237" s="8"/>
    </row>
    <row r="238" spans="2:22" ht="34.5" x14ac:dyDescent="0.25">
      <c r="B238" s="168" t="s">
        <v>927</v>
      </c>
      <c r="C238" s="168" t="s">
        <v>573</v>
      </c>
      <c r="D238" s="168"/>
      <c r="E238" s="168" t="s">
        <v>574</v>
      </c>
      <c r="F238" s="168" t="s">
        <v>928</v>
      </c>
      <c r="G238" s="168" t="s">
        <v>929</v>
      </c>
      <c r="H238" s="168" t="s">
        <v>820</v>
      </c>
      <c r="I238" s="168" t="s">
        <v>581</v>
      </c>
      <c r="J238" s="169">
        <v>23.18</v>
      </c>
      <c r="K238" s="169">
        <v>41398.160000000003</v>
      </c>
      <c r="M238" s="8"/>
      <c r="N238" s="8"/>
      <c r="O238" s="8"/>
      <c r="P238" s="8"/>
      <c r="Q238" s="8"/>
      <c r="R238" s="8"/>
      <c r="S238" s="8"/>
      <c r="T238" s="8"/>
      <c r="U238" s="8"/>
      <c r="V238" s="8"/>
    </row>
    <row r="239" spans="2:22" ht="34.5" x14ac:dyDescent="0.25">
      <c r="B239" s="168" t="s">
        <v>930</v>
      </c>
      <c r="C239" s="168" t="s">
        <v>573</v>
      </c>
      <c r="D239" s="168"/>
      <c r="E239" s="168" t="s">
        <v>574</v>
      </c>
      <c r="F239" s="168" t="s">
        <v>928</v>
      </c>
      <c r="G239" s="168" t="s">
        <v>929</v>
      </c>
      <c r="H239" s="168" t="s">
        <v>820</v>
      </c>
      <c r="I239" s="168" t="s">
        <v>581</v>
      </c>
      <c r="J239" s="169">
        <v>13.42</v>
      </c>
      <c r="K239" s="169">
        <v>41411.58</v>
      </c>
      <c r="M239" s="8"/>
      <c r="N239" s="8"/>
      <c r="O239" s="8"/>
      <c r="P239" s="8"/>
      <c r="Q239" s="8"/>
      <c r="R239" s="8"/>
      <c r="S239" s="8"/>
      <c r="T239" s="8"/>
      <c r="U239" s="8"/>
      <c r="V239" s="8"/>
    </row>
    <row r="240" spans="2:22" ht="34.5" x14ac:dyDescent="0.25">
      <c r="B240" s="168" t="s">
        <v>930</v>
      </c>
      <c r="C240" s="168" t="s">
        <v>573</v>
      </c>
      <c r="D240" s="168"/>
      <c r="E240" s="168" t="s">
        <v>574</v>
      </c>
      <c r="F240" s="168" t="s">
        <v>928</v>
      </c>
      <c r="G240" s="168" t="s">
        <v>929</v>
      </c>
      <c r="H240" s="168" t="s">
        <v>820</v>
      </c>
      <c r="I240" s="168" t="s">
        <v>581</v>
      </c>
      <c r="J240" s="169">
        <v>13.42</v>
      </c>
      <c r="K240" s="169">
        <v>41425</v>
      </c>
      <c r="M240" s="8"/>
      <c r="N240" s="8"/>
      <c r="O240" s="8"/>
      <c r="P240" s="8"/>
      <c r="Q240" s="8"/>
      <c r="R240" s="8"/>
      <c r="S240" s="8"/>
      <c r="T240" s="8"/>
      <c r="U240" s="8"/>
      <c r="V240" s="8"/>
    </row>
    <row r="241" spans="2:22" ht="34.5" x14ac:dyDescent="0.25">
      <c r="B241" s="168" t="s">
        <v>930</v>
      </c>
      <c r="C241" s="168" t="s">
        <v>573</v>
      </c>
      <c r="D241" s="168"/>
      <c r="E241" s="168" t="s">
        <v>574</v>
      </c>
      <c r="F241" s="168" t="s">
        <v>931</v>
      </c>
      <c r="G241" s="168" t="s">
        <v>932</v>
      </c>
      <c r="H241" s="168" t="s">
        <v>820</v>
      </c>
      <c r="I241" s="168" t="s">
        <v>577</v>
      </c>
      <c r="J241" s="169">
        <v>30</v>
      </c>
      <c r="K241" s="169">
        <v>41455</v>
      </c>
      <c r="M241" s="8"/>
      <c r="N241" s="8"/>
      <c r="O241" s="8"/>
      <c r="P241" s="8"/>
      <c r="Q241" s="8"/>
      <c r="R241" s="8"/>
      <c r="S241" s="8"/>
      <c r="T241" s="8"/>
      <c r="U241" s="8"/>
      <c r="V241" s="8"/>
    </row>
    <row r="242" spans="2:22" ht="34.5" x14ac:dyDescent="0.25">
      <c r="B242" s="168" t="s">
        <v>930</v>
      </c>
      <c r="C242" s="168" t="s">
        <v>573</v>
      </c>
      <c r="D242" s="168"/>
      <c r="E242" s="168" t="s">
        <v>574</v>
      </c>
      <c r="F242" s="168" t="s">
        <v>928</v>
      </c>
      <c r="G242" s="168" t="s">
        <v>929</v>
      </c>
      <c r="H242" s="168" t="s">
        <v>820</v>
      </c>
      <c r="I242" s="168" t="s">
        <v>581</v>
      </c>
      <c r="J242" s="169">
        <v>19.32</v>
      </c>
      <c r="K242" s="169">
        <v>41474.32</v>
      </c>
      <c r="M242" s="8"/>
      <c r="N242" s="8"/>
      <c r="O242" s="8"/>
      <c r="P242" s="8"/>
      <c r="Q242" s="8"/>
      <c r="R242" s="8"/>
      <c r="S242" s="8"/>
      <c r="T242" s="8"/>
      <c r="U242" s="8"/>
      <c r="V242" s="8"/>
    </row>
    <row r="243" spans="2:22" ht="34.5" x14ac:dyDescent="0.25">
      <c r="B243" s="168" t="s">
        <v>930</v>
      </c>
      <c r="C243" s="168" t="s">
        <v>573</v>
      </c>
      <c r="D243" s="168"/>
      <c r="E243" s="168" t="s">
        <v>574</v>
      </c>
      <c r="F243" s="168" t="s">
        <v>928</v>
      </c>
      <c r="G243" s="168" t="s">
        <v>929</v>
      </c>
      <c r="H243" s="168" t="s">
        <v>820</v>
      </c>
      <c r="I243" s="168" t="s">
        <v>581</v>
      </c>
      <c r="J243" s="169">
        <v>16.100000000000001</v>
      </c>
      <c r="K243" s="169">
        <v>41490.42</v>
      </c>
      <c r="M243" s="8"/>
      <c r="N243" s="8"/>
      <c r="O243" s="8"/>
      <c r="P243" s="8"/>
      <c r="Q243" s="8"/>
      <c r="R243" s="8"/>
      <c r="S243" s="8"/>
      <c r="T243" s="8"/>
      <c r="U243" s="8"/>
      <c r="V243" s="8"/>
    </row>
    <row r="244" spans="2:22" ht="34.5" x14ac:dyDescent="0.25">
      <c r="B244" s="168" t="s">
        <v>933</v>
      </c>
      <c r="C244" s="168" t="s">
        <v>573</v>
      </c>
      <c r="D244" s="168"/>
      <c r="E244" s="168" t="s">
        <v>574</v>
      </c>
      <c r="F244" s="168" t="s">
        <v>223</v>
      </c>
      <c r="G244" s="168" t="s">
        <v>934</v>
      </c>
      <c r="H244" s="168" t="s">
        <v>820</v>
      </c>
      <c r="I244" s="168" t="s">
        <v>585</v>
      </c>
      <c r="J244" s="169">
        <v>70.349999999999994</v>
      </c>
      <c r="K244" s="169">
        <v>41560.769999999997</v>
      </c>
      <c r="M244" s="8"/>
      <c r="N244" s="8"/>
      <c r="O244" s="8"/>
      <c r="P244" s="8"/>
      <c r="Q244" s="8"/>
      <c r="R244" s="8"/>
      <c r="S244" s="8"/>
      <c r="T244" s="8"/>
      <c r="U244" s="8"/>
      <c r="V244" s="8"/>
    </row>
    <row r="245" spans="2:22" ht="34.5" x14ac:dyDescent="0.25">
      <c r="B245" s="168" t="s">
        <v>933</v>
      </c>
      <c r="C245" s="168" t="s">
        <v>573</v>
      </c>
      <c r="D245" s="168"/>
      <c r="E245" s="168" t="s">
        <v>574</v>
      </c>
      <c r="F245" s="168" t="s">
        <v>830</v>
      </c>
      <c r="G245" s="168" t="s">
        <v>913</v>
      </c>
      <c r="H245" s="168" t="s">
        <v>820</v>
      </c>
      <c r="I245" s="168" t="s">
        <v>577</v>
      </c>
      <c r="J245" s="169">
        <v>71.55</v>
      </c>
      <c r="K245" s="169">
        <v>41632.32</v>
      </c>
      <c r="M245" s="8"/>
      <c r="N245" s="8"/>
      <c r="O245" s="8"/>
      <c r="P245" s="8"/>
      <c r="Q245" s="8"/>
      <c r="R245" s="8"/>
      <c r="S245" s="8"/>
      <c r="T245" s="8"/>
      <c r="U245" s="8"/>
      <c r="V245" s="8"/>
    </row>
    <row r="246" spans="2:22" ht="34.5" x14ac:dyDescent="0.25">
      <c r="B246" s="168" t="s">
        <v>935</v>
      </c>
      <c r="C246" s="168" t="s">
        <v>573</v>
      </c>
      <c r="D246" s="168"/>
      <c r="E246" s="168" t="s">
        <v>574</v>
      </c>
      <c r="F246" s="168" t="s">
        <v>936</v>
      </c>
      <c r="G246" s="168" t="s">
        <v>937</v>
      </c>
      <c r="H246" s="168" t="s">
        <v>820</v>
      </c>
      <c r="I246" s="168" t="s">
        <v>585</v>
      </c>
      <c r="J246" s="169">
        <v>54.38</v>
      </c>
      <c r="K246" s="169">
        <v>41686.699999999997</v>
      </c>
      <c r="M246" s="8"/>
      <c r="N246" s="8"/>
      <c r="O246" s="8"/>
      <c r="P246" s="8"/>
      <c r="Q246" s="8"/>
      <c r="R246" s="8"/>
      <c r="S246" s="8"/>
      <c r="T246" s="8"/>
      <c r="U246" s="8"/>
      <c r="V246" s="8"/>
    </row>
    <row r="247" spans="2:22" ht="34.5" x14ac:dyDescent="0.25">
      <c r="B247" s="168" t="s">
        <v>935</v>
      </c>
      <c r="C247" s="168" t="s">
        <v>573</v>
      </c>
      <c r="D247" s="168"/>
      <c r="E247" s="168" t="s">
        <v>574</v>
      </c>
      <c r="F247" s="168" t="s">
        <v>836</v>
      </c>
      <c r="G247" s="168" t="s">
        <v>938</v>
      </c>
      <c r="H247" s="168" t="s">
        <v>820</v>
      </c>
      <c r="I247" s="168" t="s">
        <v>585</v>
      </c>
      <c r="J247" s="169">
        <v>258.45999999999998</v>
      </c>
      <c r="K247" s="169">
        <v>41945.16</v>
      </c>
      <c r="M247" s="8"/>
      <c r="N247" s="8"/>
      <c r="O247" s="8"/>
      <c r="P247" s="8"/>
      <c r="Q247" s="8"/>
      <c r="R247" s="8"/>
      <c r="S247" s="8"/>
      <c r="T247" s="8"/>
      <c r="U247" s="8"/>
      <c r="V247" s="8"/>
    </row>
    <row r="248" spans="2:22" ht="34.5" x14ac:dyDescent="0.25">
      <c r="B248" s="168" t="s">
        <v>939</v>
      </c>
      <c r="C248" s="168" t="s">
        <v>644</v>
      </c>
      <c r="D248" s="168" t="s">
        <v>940</v>
      </c>
      <c r="E248" s="168" t="s">
        <v>574</v>
      </c>
      <c r="F248" s="168" t="s">
        <v>941</v>
      </c>
      <c r="G248" s="168"/>
      <c r="H248" s="168" t="s">
        <v>820</v>
      </c>
      <c r="I248" s="168" t="s">
        <v>648</v>
      </c>
      <c r="J248" s="169">
        <v>409.34</v>
      </c>
      <c r="K248" s="169">
        <v>42354.5</v>
      </c>
      <c r="M248" s="8"/>
      <c r="N248" s="8"/>
      <c r="O248" s="8"/>
      <c r="P248" s="8"/>
      <c r="Q248" s="8"/>
      <c r="R248" s="8"/>
      <c r="S248" s="8"/>
      <c r="T248" s="8"/>
      <c r="U248" s="8"/>
      <c r="V248" s="8"/>
    </row>
    <row r="249" spans="2:22" ht="34.5" x14ac:dyDescent="0.25">
      <c r="B249" s="168" t="s">
        <v>942</v>
      </c>
      <c r="C249" s="168" t="s">
        <v>573</v>
      </c>
      <c r="D249" s="168"/>
      <c r="E249" s="168" t="s">
        <v>574</v>
      </c>
      <c r="F249" s="168" t="s">
        <v>857</v>
      </c>
      <c r="G249" s="168" t="s">
        <v>943</v>
      </c>
      <c r="H249" s="168" t="s">
        <v>820</v>
      </c>
      <c r="I249" s="168" t="s">
        <v>585</v>
      </c>
      <c r="J249" s="169">
        <v>60</v>
      </c>
      <c r="K249" s="169">
        <v>42414.5</v>
      </c>
      <c r="M249" s="8"/>
      <c r="N249" s="8"/>
      <c r="O249" s="8"/>
      <c r="P249" s="8"/>
      <c r="Q249" s="8"/>
      <c r="R249" s="8"/>
      <c r="S249" s="8"/>
      <c r="T249" s="8"/>
      <c r="U249" s="8"/>
      <c r="V249" s="8"/>
    </row>
    <row r="250" spans="2:22" ht="34.5" x14ac:dyDescent="0.25">
      <c r="B250" s="168" t="s">
        <v>944</v>
      </c>
      <c r="C250" s="168" t="s">
        <v>573</v>
      </c>
      <c r="D250" s="168"/>
      <c r="E250" s="168" t="s">
        <v>574</v>
      </c>
      <c r="F250" s="168" t="s">
        <v>945</v>
      </c>
      <c r="G250" s="168" t="s">
        <v>946</v>
      </c>
      <c r="H250" s="168" t="s">
        <v>820</v>
      </c>
      <c r="I250" s="168" t="s">
        <v>585</v>
      </c>
      <c r="J250" s="169">
        <v>200</v>
      </c>
      <c r="K250" s="169">
        <v>42614.5</v>
      </c>
      <c r="M250" s="8"/>
      <c r="N250" s="8"/>
      <c r="O250" s="8"/>
      <c r="P250" s="8"/>
      <c r="Q250" s="8"/>
      <c r="R250" s="8"/>
      <c r="S250" s="8"/>
      <c r="T250" s="8"/>
      <c r="U250" s="8"/>
      <c r="V250" s="8"/>
    </row>
    <row r="251" spans="2:22" ht="34.5" x14ac:dyDescent="0.25">
      <c r="B251" s="168" t="s">
        <v>944</v>
      </c>
      <c r="C251" s="168" t="s">
        <v>573</v>
      </c>
      <c r="D251" s="168"/>
      <c r="E251" s="168" t="s">
        <v>574</v>
      </c>
      <c r="F251" s="168" t="s">
        <v>857</v>
      </c>
      <c r="G251" s="168" t="s">
        <v>947</v>
      </c>
      <c r="H251" s="168" t="s">
        <v>820</v>
      </c>
      <c r="I251" s="168" t="s">
        <v>585</v>
      </c>
      <c r="J251" s="169">
        <v>650</v>
      </c>
      <c r="K251" s="169">
        <v>43264.5</v>
      </c>
      <c r="M251" s="8"/>
      <c r="N251" s="8"/>
      <c r="O251" s="8"/>
      <c r="P251" s="8"/>
      <c r="Q251" s="8"/>
      <c r="R251" s="8"/>
      <c r="S251" s="8"/>
      <c r="T251" s="8"/>
      <c r="U251" s="8"/>
      <c r="V251" s="8"/>
    </row>
    <row r="252" spans="2:22" ht="90.75" x14ac:dyDescent="0.25">
      <c r="B252" s="168" t="s">
        <v>948</v>
      </c>
      <c r="C252" s="168" t="s">
        <v>644</v>
      </c>
      <c r="D252" s="168" t="s">
        <v>949</v>
      </c>
      <c r="E252" s="168" t="s">
        <v>574</v>
      </c>
      <c r="F252" s="168" t="s">
        <v>941</v>
      </c>
      <c r="G252" s="168" t="s">
        <v>950</v>
      </c>
      <c r="H252" s="168" t="s">
        <v>820</v>
      </c>
      <c r="I252" s="168" t="s">
        <v>648</v>
      </c>
      <c r="J252" s="169">
        <v>931.85</v>
      </c>
      <c r="K252" s="169">
        <v>44196.35</v>
      </c>
      <c r="M252" s="8"/>
      <c r="N252" s="8"/>
      <c r="O252" s="8"/>
      <c r="P252" s="8"/>
      <c r="Q252" s="8"/>
      <c r="R252" s="8"/>
      <c r="S252" s="8"/>
      <c r="T252" s="8"/>
      <c r="U252" s="8"/>
      <c r="V252" s="8"/>
    </row>
    <row r="253" spans="2:22" ht="34.5" x14ac:dyDescent="0.25">
      <c r="B253" s="168" t="s">
        <v>951</v>
      </c>
      <c r="C253" s="168" t="s">
        <v>573</v>
      </c>
      <c r="D253" s="168"/>
      <c r="E253" s="168" t="s">
        <v>574</v>
      </c>
      <c r="F253" s="168" t="s">
        <v>952</v>
      </c>
      <c r="G253" s="168" t="s">
        <v>953</v>
      </c>
      <c r="H253" s="168" t="s">
        <v>820</v>
      </c>
      <c r="I253" s="168" t="s">
        <v>585</v>
      </c>
      <c r="J253" s="169">
        <v>780.31</v>
      </c>
      <c r="K253" s="169">
        <v>44976.66</v>
      </c>
      <c r="M253" s="8"/>
      <c r="N253" s="8"/>
      <c r="O253" s="8"/>
      <c r="P253" s="8"/>
      <c r="Q253" s="8"/>
      <c r="R253" s="8"/>
      <c r="S253" s="8"/>
      <c r="T253" s="8"/>
      <c r="U253" s="8"/>
      <c r="V253" s="8"/>
    </row>
    <row r="254" spans="2:22" ht="34.5" x14ac:dyDescent="0.25">
      <c r="B254" s="168" t="s">
        <v>951</v>
      </c>
      <c r="C254" s="168" t="s">
        <v>573</v>
      </c>
      <c r="D254" s="168"/>
      <c r="E254" s="168" t="s">
        <v>574</v>
      </c>
      <c r="F254" s="168" t="s">
        <v>857</v>
      </c>
      <c r="G254" s="168" t="s">
        <v>954</v>
      </c>
      <c r="H254" s="168" t="s">
        <v>820</v>
      </c>
      <c r="I254" s="168" t="s">
        <v>585</v>
      </c>
      <c r="J254" s="169">
        <v>100</v>
      </c>
      <c r="K254" s="169">
        <v>45076.66</v>
      </c>
      <c r="M254" s="8"/>
      <c r="N254" s="8"/>
      <c r="O254" s="8"/>
      <c r="P254" s="8"/>
      <c r="Q254" s="8"/>
      <c r="R254" s="8"/>
      <c r="S254" s="8"/>
      <c r="T254" s="8"/>
      <c r="U254" s="8"/>
      <c r="V254" s="8"/>
    </row>
    <row r="255" spans="2:22" ht="34.5" x14ac:dyDescent="0.25">
      <c r="B255" s="168" t="s">
        <v>955</v>
      </c>
      <c r="C255" s="168" t="s">
        <v>573</v>
      </c>
      <c r="D255" s="168"/>
      <c r="E255" s="168" t="s">
        <v>574</v>
      </c>
      <c r="F255" s="168" t="s">
        <v>857</v>
      </c>
      <c r="G255" s="168" t="s">
        <v>956</v>
      </c>
      <c r="H255" s="168" t="s">
        <v>820</v>
      </c>
      <c r="I255" s="168" t="s">
        <v>585</v>
      </c>
      <c r="J255" s="169">
        <v>460</v>
      </c>
      <c r="K255" s="169">
        <v>45536.66</v>
      </c>
      <c r="M255" s="8"/>
      <c r="N255" s="8"/>
      <c r="O255" s="8"/>
      <c r="P255" s="8"/>
      <c r="Q255" s="8"/>
      <c r="R255" s="8"/>
      <c r="S255" s="8"/>
      <c r="T255" s="8"/>
      <c r="U255" s="8"/>
      <c r="V255" s="8"/>
    </row>
    <row r="256" spans="2:22" ht="34.5" x14ac:dyDescent="0.25">
      <c r="B256" s="168" t="s">
        <v>635</v>
      </c>
      <c r="C256" s="168" t="s">
        <v>573</v>
      </c>
      <c r="D256" s="168"/>
      <c r="E256" s="168" t="s">
        <v>574</v>
      </c>
      <c r="F256" s="168" t="s">
        <v>838</v>
      </c>
      <c r="G256" s="168" t="s">
        <v>957</v>
      </c>
      <c r="H256" s="168" t="s">
        <v>820</v>
      </c>
      <c r="I256" s="168" t="s">
        <v>585</v>
      </c>
      <c r="J256" s="169">
        <v>15.84</v>
      </c>
      <c r="K256" s="169">
        <v>45552.5</v>
      </c>
      <c r="M256" s="8"/>
      <c r="N256" s="8"/>
      <c r="O256" s="8"/>
      <c r="P256" s="8"/>
      <c r="Q256" s="8"/>
      <c r="R256" s="8"/>
      <c r="S256" s="8"/>
      <c r="T256" s="8"/>
      <c r="U256" s="8"/>
      <c r="V256" s="8"/>
    </row>
    <row r="257" spans="2:22" ht="34.5" x14ac:dyDescent="0.25">
      <c r="B257" s="168" t="s">
        <v>635</v>
      </c>
      <c r="C257" s="168" t="s">
        <v>644</v>
      </c>
      <c r="D257" s="168">
        <v>115</v>
      </c>
      <c r="E257" s="168" t="s">
        <v>574</v>
      </c>
      <c r="F257" s="168" t="s">
        <v>958</v>
      </c>
      <c r="G257" s="168" t="s">
        <v>959</v>
      </c>
      <c r="H257" s="168" t="s">
        <v>820</v>
      </c>
      <c r="I257" s="168" t="s">
        <v>648</v>
      </c>
      <c r="J257" s="169">
        <v>1040</v>
      </c>
      <c r="K257" s="169">
        <v>46592.5</v>
      </c>
      <c r="M257" s="8"/>
      <c r="N257" s="8"/>
      <c r="O257" s="8"/>
      <c r="P257" s="8"/>
      <c r="Q257" s="8"/>
      <c r="R257" s="8"/>
      <c r="S257" s="8"/>
      <c r="T257" s="8"/>
      <c r="U257" s="8"/>
      <c r="V257" s="8"/>
    </row>
    <row r="258" spans="2:22" ht="34.5" x14ac:dyDescent="0.25">
      <c r="B258" s="168" t="s">
        <v>960</v>
      </c>
      <c r="C258" s="168" t="s">
        <v>573</v>
      </c>
      <c r="D258" s="168"/>
      <c r="E258" s="168" t="s">
        <v>574</v>
      </c>
      <c r="F258" s="168" t="s">
        <v>857</v>
      </c>
      <c r="G258" s="168" t="s">
        <v>961</v>
      </c>
      <c r="H258" s="168" t="s">
        <v>820</v>
      </c>
      <c r="I258" s="168" t="s">
        <v>585</v>
      </c>
      <c r="J258" s="169">
        <v>750</v>
      </c>
      <c r="K258" s="169">
        <v>47342.5</v>
      </c>
      <c r="M258" s="8"/>
      <c r="N258" s="8"/>
      <c r="O258" s="8"/>
      <c r="P258" s="8"/>
      <c r="Q258" s="8"/>
      <c r="R258" s="8"/>
      <c r="S258" s="8"/>
      <c r="T258" s="8"/>
      <c r="U258" s="8"/>
      <c r="V258" s="8"/>
    </row>
    <row r="259" spans="2:22" ht="34.5" x14ac:dyDescent="0.25">
      <c r="B259" s="168" t="s">
        <v>962</v>
      </c>
      <c r="C259" s="168" t="s">
        <v>573</v>
      </c>
      <c r="D259" s="168"/>
      <c r="E259" s="168" t="s">
        <v>574</v>
      </c>
      <c r="F259" s="168" t="s">
        <v>963</v>
      </c>
      <c r="G259" s="168" t="s">
        <v>964</v>
      </c>
      <c r="H259" s="168" t="s">
        <v>820</v>
      </c>
      <c r="I259" s="168" t="s">
        <v>585</v>
      </c>
      <c r="J259" s="169">
        <v>117</v>
      </c>
      <c r="K259" s="169">
        <v>47459.5</v>
      </c>
      <c r="M259" s="8"/>
      <c r="N259" s="8"/>
      <c r="O259" s="8"/>
      <c r="P259" s="8"/>
      <c r="Q259" s="8"/>
      <c r="R259" s="8"/>
      <c r="S259" s="8"/>
      <c r="T259" s="8"/>
      <c r="U259" s="8"/>
      <c r="V259" s="8"/>
    </row>
    <row r="260" spans="2:22" ht="34.5" x14ac:dyDescent="0.25">
      <c r="B260" s="168" t="s">
        <v>962</v>
      </c>
      <c r="C260" s="168" t="s">
        <v>573</v>
      </c>
      <c r="D260" s="168"/>
      <c r="E260" s="168" t="s">
        <v>574</v>
      </c>
      <c r="F260" s="168" t="s">
        <v>838</v>
      </c>
      <c r="G260" s="168" t="s">
        <v>965</v>
      </c>
      <c r="H260" s="168" t="s">
        <v>820</v>
      </c>
      <c r="I260" s="168" t="s">
        <v>585</v>
      </c>
      <c r="J260" s="169">
        <v>3.79</v>
      </c>
      <c r="K260" s="169">
        <v>47463.29</v>
      </c>
      <c r="M260" s="8"/>
      <c r="N260" s="8"/>
      <c r="O260" s="8"/>
      <c r="P260" s="8"/>
      <c r="Q260" s="8"/>
      <c r="R260" s="8"/>
      <c r="S260" s="8"/>
      <c r="T260" s="8"/>
      <c r="U260" s="8"/>
      <c r="V260" s="8"/>
    </row>
    <row r="261" spans="2:22" ht="34.5" x14ac:dyDescent="0.25">
      <c r="B261" s="168" t="s">
        <v>637</v>
      </c>
      <c r="C261" s="168" t="s">
        <v>573</v>
      </c>
      <c r="D261" s="168"/>
      <c r="E261" s="168" t="s">
        <v>574</v>
      </c>
      <c r="F261" s="168" t="s">
        <v>840</v>
      </c>
      <c r="G261" s="168" t="s">
        <v>966</v>
      </c>
      <c r="H261" s="168" t="s">
        <v>820</v>
      </c>
      <c r="I261" s="168" t="s">
        <v>585</v>
      </c>
      <c r="J261" s="169">
        <v>8.1999999999999993</v>
      </c>
      <c r="K261" s="169">
        <v>47471.49</v>
      </c>
      <c r="M261" s="8"/>
      <c r="N261" s="8"/>
      <c r="O261" s="8"/>
      <c r="P261" s="8"/>
      <c r="Q261" s="8"/>
      <c r="R261" s="8"/>
      <c r="S261" s="8"/>
      <c r="T261" s="8"/>
      <c r="U261" s="8"/>
      <c r="V261" s="8"/>
    </row>
    <row r="262" spans="2:22" ht="34.5" x14ac:dyDescent="0.25">
      <c r="B262" s="168" t="s">
        <v>643</v>
      </c>
      <c r="C262" s="168" t="s">
        <v>573</v>
      </c>
      <c r="D262" s="168"/>
      <c r="E262" s="168" t="s">
        <v>574</v>
      </c>
      <c r="F262" s="168" t="s">
        <v>823</v>
      </c>
      <c r="G262" s="168" t="s">
        <v>967</v>
      </c>
      <c r="H262" s="168" t="s">
        <v>820</v>
      </c>
      <c r="I262" s="168" t="s">
        <v>585</v>
      </c>
      <c r="J262" s="169">
        <v>51.99</v>
      </c>
      <c r="K262" s="169">
        <v>47523.48</v>
      </c>
      <c r="M262" s="8"/>
      <c r="N262" s="8"/>
      <c r="O262" s="8"/>
      <c r="P262" s="8"/>
      <c r="Q262" s="8"/>
      <c r="R262" s="8"/>
      <c r="S262" s="8"/>
      <c r="T262" s="8"/>
      <c r="U262" s="8"/>
      <c r="V262" s="8"/>
    </row>
    <row r="263" spans="2:22" ht="34.5" x14ac:dyDescent="0.25">
      <c r="B263" s="168" t="s">
        <v>643</v>
      </c>
      <c r="C263" s="168" t="s">
        <v>573</v>
      </c>
      <c r="D263" s="168"/>
      <c r="E263" s="168" t="s">
        <v>574</v>
      </c>
      <c r="F263" s="168" t="s">
        <v>823</v>
      </c>
      <c r="G263" s="168" t="s">
        <v>967</v>
      </c>
      <c r="H263" s="168" t="s">
        <v>820</v>
      </c>
      <c r="I263" s="168" t="s">
        <v>585</v>
      </c>
      <c r="J263" s="169">
        <v>51.99</v>
      </c>
      <c r="K263" s="169">
        <v>47575.47</v>
      </c>
      <c r="M263" s="8"/>
      <c r="N263" s="8"/>
      <c r="O263" s="8"/>
      <c r="P263" s="8"/>
      <c r="Q263" s="8"/>
      <c r="R263" s="8"/>
      <c r="S263" s="8"/>
      <c r="T263" s="8"/>
      <c r="U263" s="8"/>
      <c r="V263" s="8"/>
    </row>
    <row r="264" spans="2:22" ht="34.5" x14ac:dyDescent="0.25">
      <c r="B264" s="168" t="s">
        <v>643</v>
      </c>
      <c r="C264" s="168" t="s">
        <v>573</v>
      </c>
      <c r="D264" s="168"/>
      <c r="E264" s="168" t="s">
        <v>574</v>
      </c>
      <c r="F264" s="168" t="s">
        <v>823</v>
      </c>
      <c r="G264" s="168" t="s">
        <v>967</v>
      </c>
      <c r="H264" s="168" t="s">
        <v>820</v>
      </c>
      <c r="I264" s="168" t="s">
        <v>585</v>
      </c>
      <c r="J264" s="169">
        <v>25.99</v>
      </c>
      <c r="K264" s="169">
        <v>47601.46</v>
      </c>
      <c r="M264" s="8"/>
      <c r="N264" s="8"/>
      <c r="O264" s="8"/>
      <c r="P264" s="8"/>
      <c r="Q264" s="8"/>
      <c r="R264" s="8"/>
      <c r="S264" s="8"/>
      <c r="T264" s="8"/>
      <c r="U264" s="8"/>
      <c r="V264" s="8"/>
    </row>
    <row r="265" spans="2:22" ht="34.5" x14ac:dyDescent="0.25">
      <c r="B265" s="168" t="s">
        <v>643</v>
      </c>
      <c r="C265" s="168" t="s">
        <v>573</v>
      </c>
      <c r="D265" s="168"/>
      <c r="E265" s="168" t="s">
        <v>574</v>
      </c>
      <c r="F265" s="168" t="s">
        <v>941</v>
      </c>
      <c r="G265" s="168" t="s">
        <v>968</v>
      </c>
      <c r="H265" s="168" t="s">
        <v>820</v>
      </c>
      <c r="I265" s="168" t="s">
        <v>585</v>
      </c>
      <c r="J265" s="169">
        <v>948.68</v>
      </c>
      <c r="K265" s="169">
        <v>48550.14</v>
      </c>
      <c r="M265" s="8"/>
      <c r="N265" s="8"/>
      <c r="O265" s="8"/>
      <c r="P265" s="8"/>
      <c r="Q265" s="8"/>
      <c r="R265" s="8"/>
      <c r="S265" s="8"/>
      <c r="T265" s="8"/>
      <c r="U265" s="8"/>
      <c r="V265" s="8"/>
    </row>
    <row r="266" spans="2:22" ht="34.5" x14ac:dyDescent="0.25">
      <c r="B266" s="168" t="s">
        <v>799</v>
      </c>
      <c r="C266" s="168" t="s">
        <v>573</v>
      </c>
      <c r="D266" s="168"/>
      <c r="E266" s="168" t="s">
        <v>574</v>
      </c>
      <c r="F266" s="168" t="s">
        <v>838</v>
      </c>
      <c r="G266" s="168" t="s">
        <v>969</v>
      </c>
      <c r="H266" s="168" t="s">
        <v>820</v>
      </c>
      <c r="I266" s="168" t="s">
        <v>585</v>
      </c>
      <c r="J266" s="169">
        <v>9.0299999999999994</v>
      </c>
      <c r="K266" s="169">
        <v>48559.17</v>
      </c>
      <c r="M266" s="8"/>
      <c r="N266" s="8"/>
      <c r="O266" s="8"/>
      <c r="P266" s="8"/>
      <c r="Q266" s="8"/>
      <c r="R266" s="8"/>
      <c r="S266" s="8"/>
      <c r="T266" s="8"/>
      <c r="U266" s="8"/>
      <c r="V266" s="8"/>
    </row>
    <row r="267" spans="2:22" ht="34.5" x14ac:dyDescent="0.25">
      <c r="B267" s="168" t="s">
        <v>799</v>
      </c>
      <c r="C267" s="168" t="s">
        <v>573</v>
      </c>
      <c r="D267" s="168"/>
      <c r="E267" s="168" t="s">
        <v>574</v>
      </c>
      <c r="F267" s="168" t="s">
        <v>250</v>
      </c>
      <c r="G267" s="168" t="s">
        <v>970</v>
      </c>
      <c r="H267" s="168" t="s">
        <v>820</v>
      </c>
      <c r="I267" s="168" t="s">
        <v>739</v>
      </c>
      <c r="J267" s="169">
        <v>71.61</v>
      </c>
      <c r="K267" s="169">
        <v>48630.78</v>
      </c>
      <c r="M267" s="8"/>
      <c r="N267" s="8"/>
      <c r="O267" s="8"/>
      <c r="P267" s="8"/>
      <c r="Q267" s="8"/>
      <c r="R267" s="8"/>
      <c r="S267" s="8"/>
      <c r="T267" s="8"/>
      <c r="U267" s="8"/>
      <c r="V267" s="8"/>
    </row>
    <row r="268" spans="2:22" ht="34.5" x14ac:dyDescent="0.25">
      <c r="B268" s="168" t="s">
        <v>971</v>
      </c>
      <c r="C268" s="168" t="s">
        <v>573</v>
      </c>
      <c r="D268" s="168"/>
      <c r="E268" s="168" t="s">
        <v>574</v>
      </c>
      <c r="F268" s="168" t="s">
        <v>840</v>
      </c>
      <c r="G268" s="168" t="s">
        <v>972</v>
      </c>
      <c r="H268" s="168" t="s">
        <v>820</v>
      </c>
      <c r="I268" s="168" t="s">
        <v>585</v>
      </c>
      <c r="J268" s="169">
        <v>7.42</v>
      </c>
      <c r="K268" s="169">
        <v>48638.2</v>
      </c>
      <c r="M268" s="8"/>
      <c r="N268" s="8"/>
      <c r="O268" s="8"/>
      <c r="P268" s="8"/>
      <c r="Q268" s="8"/>
      <c r="R268" s="8"/>
      <c r="S268" s="8"/>
      <c r="T268" s="8"/>
      <c r="U268" s="8"/>
      <c r="V268" s="8"/>
    </row>
    <row r="269" spans="2:22" ht="45.75" x14ac:dyDescent="0.25">
      <c r="B269" s="168" t="s">
        <v>971</v>
      </c>
      <c r="C269" s="168" t="s">
        <v>573</v>
      </c>
      <c r="D269" s="168"/>
      <c r="E269" s="168" t="s">
        <v>574</v>
      </c>
      <c r="F269" s="168" t="s">
        <v>250</v>
      </c>
      <c r="G269" s="168" t="s">
        <v>973</v>
      </c>
      <c r="H269" s="168" t="s">
        <v>820</v>
      </c>
      <c r="I269" s="168" t="s">
        <v>739</v>
      </c>
      <c r="J269" s="169">
        <v>18.38</v>
      </c>
      <c r="K269" s="169">
        <v>48656.58</v>
      </c>
      <c r="M269" s="8"/>
      <c r="N269" s="8"/>
      <c r="O269" s="8"/>
      <c r="P269" s="8"/>
      <c r="Q269" s="8"/>
      <c r="R269" s="8"/>
      <c r="S269" s="8"/>
      <c r="T269" s="8"/>
      <c r="U269" s="8"/>
      <c r="V269" s="8"/>
    </row>
    <row r="270" spans="2:22" ht="45.75" x14ac:dyDescent="0.25">
      <c r="B270" s="168" t="s">
        <v>971</v>
      </c>
      <c r="C270" s="168" t="s">
        <v>573</v>
      </c>
      <c r="D270" s="168"/>
      <c r="E270" s="168" t="s">
        <v>574</v>
      </c>
      <c r="F270" s="168" t="s">
        <v>250</v>
      </c>
      <c r="G270" s="168" t="s">
        <v>974</v>
      </c>
      <c r="H270" s="168" t="s">
        <v>820</v>
      </c>
      <c r="I270" s="168" t="s">
        <v>739</v>
      </c>
      <c r="J270" s="169">
        <v>114.75</v>
      </c>
      <c r="K270" s="169">
        <v>48771.33</v>
      </c>
      <c r="M270" s="8"/>
      <c r="N270" s="8"/>
      <c r="O270" s="8"/>
      <c r="P270" s="8"/>
      <c r="Q270" s="8"/>
      <c r="R270" s="8"/>
      <c r="S270" s="8"/>
      <c r="T270" s="8"/>
      <c r="U270" s="8"/>
      <c r="V270" s="8"/>
    </row>
    <row r="271" spans="2:22" ht="34.5" x14ac:dyDescent="0.25">
      <c r="B271" s="168" t="s">
        <v>975</v>
      </c>
      <c r="C271" s="168" t="s">
        <v>573</v>
      </c>
      <c r="D271" s="168"/>
      <c r="E271" s="168" t="s">
        <v>574</v>
      </c>
      <c r="F271" s="168" t="s">
        <v>823</v>
      </c>
      <c r="G271" s="168" t="s">
        <v>976</v>
      </c>
      <c r="H271" s="168" t="s">
        <v>820</v>
      </c>
      <c r="I271" s="168" t="s">
        <v>585</v>
      </c>
      <c r="J271" s="169">
        <v>669.15</v>
      </c>
      <c r="K271" s="169">
        <v>49440.480000000003</v>
      </c>
      <c r="M271" s="8"/>
      <c r="N271" s="8"/>
      <c r="O271" s="8"/>
      <c r="P271" s="8"/>
      <c r="Q271" s="8"/>
      <c r="R271" s="8"/>
      <c r="S271" s="8"/>
      <c r="T271" s="8"/>
      <c r="U271" s="8"/>
      <c r="V271" s="8"/>
    </row>
    <row r="272" spans="2:22" ht="34.5" x14ac:dyDescent="0.25">
      <c r="B272" s="168" t="s">
        <v>977</v>
      </c>
      <c r="C272" s="168" t="s">
        <v>573</v>
      </c>
      <c r="D272" s="168"/>
      <c r="E272" s="168" t="s">
        <v>574</v>
      </c>
      <c r="F272" s="168" t="s">
        <v>417</v>
      </c>
      <c r="G272" s="168" t="s">
        <v>978</v>
      </c>
      <c r="H272" s="168" t="s">
        <v>820</v>
      </c>
      <c r="I272" s="168" t="s">
        <v>585</v>
      </c>
      <c r="J272" s="169">
        <v>170</v>
      </c>
      <c r="K272" s="169">
        <v>49610.48</v>
      </c>
      <c r="M272" s="8"/>
      <c r="N272" s="8"/>
      <c r="O272" s="8"/>
      <c r="P272" s="8"/>
      <c r="Q272" s="8"/>
      <c r="R272" s="8"/>
      <c r="S272" s="8"/>
      <c r="T272" s="8"/>
      <c r="U272" s="8"/>
      <c r="V272" s="8"/>
    </row>
    <row r="273" spans="2:22" ht="34.5" x14ac:dyDescent="0.25">
      <c r="B273" s="168" t="s">
        <v>979</v>
      </c>
      <c r="C273" s="168" t="s">
        <v>573</v>
      </c>
      <c r="D273" s="168"/>
      <c r="E273" s="168" t="s">
        <v>574</v>
      </c>
      <c r="F273" s="168" t="s">
        <v>823</v>
      </c>
      <c r="G273" s="168" t="s">
        <v>980</v>
      </c>
      <c r="H273" s="168" t="s">
        <v>820</v>
      </c>
      <c r="I273" s="168" t="s">
        <v>585</v>
      </c>
      <c r="J273" s="169">
        <v>823.5</v>
      </c>
      <c r="K273" s="169">
        <v>50433.98</v>
      </c>
      <c r="M273" s="8"/>
      <c r="N273" s="8"/>
      <c r="O273" s="8"/>
      <c r="P273" s="8"/>
      <c r="Q273" s="8"/>
      <c r="R273" s="8"/>
      <c r="S273" s="8"/>
      <c r="T273" s="8"/>
      <c r="U273" s="8"/>
      <c r="V273" s="8"/>
    </row>
    <row r="274" spans="2:22" ht="34.5" x14ac:dyDescent="0.25">
      <c r="B274" s="168" t="s">
        <v>658</v>
      </c>
      <c r="C274" s="168" t="s">
        <v>573</v>
      </c>
      <c r="D274" s="168"/>
      <c r="E274" s="168" t="s">
        <v>574</v>
      </c>
      <c r="F274" s="168" t="s">
        <v>830</v>
      </c>
      <c r="G274" s="168" t="s">
        <v>981</v>
      </c>
      <c r="H274" s="168" t="s">
        <v>820</v>
      </c>
      <c r="I274" s="168" t="s">
        <v>585</v>
      </c>
      <c r="J274" s="169">
        <v>71.55</v>
      </c>
      <c r="K274" s="169">
        <v>50505.53</v>
      </c>
      <c r="M274" s="8"/>
      <c r="N274" s="8"/>
      <c r="O274" s="8"/>
      <c r="P274" s="8"/>
      <c r="Q274" s="8"/>
      <c r="R274" s="8"/>
      <c r="S274" s="8"/>
      <c r="T274" s="8"/>
      <c r="U274" s="8"/>
      <c r="V274" s="8"/>
    </row>
    <row r="275" spans="2:22" ht="34.5" x14ac:dyDescent="0.25">
      <c r="B275" s="168" t="s">
        <v>658</v>
      </c>
      <c r="C275" s="168" t="s">
        <v>573</v>
      </c>
      <c r="D275" s="168"/>
      <c r="E275" s="168" t="s">
        <v>574</v>
      </c>
      <c r="F275" s="168" t="s">
        <v>830</v>
      </c>
      <c r="G275" s="168" t="s">
        <v>981</v>
      </c>
      <c r="H275" s="168" t="s">
        <v>820</v>
      </c>
      <c r="I275" s="168" t="s">
        <v>585</v>
      </c>
      <c r="J275" s="169">
        <v>71.55</v>
      </c>
      <c r="K275" s="169">
        <v>50577.08</v>
      </c>
      <c r="M275" s="8"/>
      <c r="N275" s="8"/>
      <c r="O275" s="8"/>
      <c r="P275" s="8"/>
      <c r="Q275" s="8"/>
      <c r="R275" s="8"/>
      <c r="S275" s="8"/>
      <c r="T275" s="8"/>
      <c r="U275" s="8"/>
      <c r="V275" s="8"/>
    </row>
    <row r="276" spans="2:22" ht="34.5" x14ac:dyDescent="0.25">
      <c r="B276" s="168" t="s">
        <v>982</v>
      </c>
      <c r="C276" s="168" t="s">
        <v>573</v>
      </c>
      <c r="D276" s="168"/>
      <c r="E276" s="168" t="s">
        <v>574</v>
      </c>
      <c r="F276" s="168" t="s">
        <v>941</v>
      </c>
      <c r="G276" s="168" t="s">
        <v>983</v>
      </c>
      <c r="H276" s="168" t="s">
        <v>820</v>
      </c>
      <c r="I276" s="168" t="s">
        <v>585</v>
      </c>
      <c r="J276" s="169">
        <v>1159.98</v>
      </c>
      <c r="K276" s="169">
        <v>51737.06</v>
      </c>
      <c r="M276" s="8"/>
      <c r="N276" s="8"/>
      <c r="O276" s="8"/>
      <c r="P276" s="8"/>
      <c r="Q276" s="8"/>
      <c r="R276" s="8"/>
      <c r="S276" s="8"/>
      <c r="T276" s="8"/>
      <c r="U276" s="8"/>
      <c r="V276" s="8"/>
    </row>
    <row r="277" spans="2:22" ht="34.5" x14ac:dyDescent="0.25">
      <c r="B277" s="168" t="s">
        <v>984</v>
      </c>
      <c r="C277" s="168" t="s">
        <v>644</v>
      </c>
      <c r="D277" s="168">
        <v>101</v>
      </c>
      <c r="E277" s="168" t="s">
        <v>574</v>
      </c>
      <c r="F277" s="168" t="s">
        <v>985</v>
      </c>
      <c r="G277" s="168" t="s">
        <v>986</v>
      </c>
      <c r="H277" s="168" t="s">
        <v>820</v>
      </c>
      <c r="I277" s="168" t="s">
        <v>648</v>
      </c>
      <c r="J277" s="169">
        <v>80</v>
      </c>
      <c r="K277" s="169">
        <v>51817.06</v>
      </c>
      <c r="M277" s="8"/>
      <c r="N277" s="8"/>
      <c r="O277" s="8"/>
      <c r="P277" s="8"/>
      <c r="Q277" s="8"/>
      <c r="R277" s="8"/>
      <c r="S277" s="8"/>
      <c r="T277" s="8"/>
      <c r="U277" s="8"/>
      <c r="V277" s="8"/>
    </row>
    <row r="278" spans="2:22" ht="34.5" x14ac:dyDescent="0.25">
      <c r="B278" s="168" t="s">
        <v>987</v>
      </c>
      <c r="C278" s="168" t="s">
        <v>716</v>
      </c>
      <c r="D278" s="168"/>
      <c r="E278" s="168" t="s">
        <v>574</v>
      </c>
      <c r="F278" s="168" t="s">
        <v>985</v>
      </c>
      <c r="G278" s="168" t="s">
        <v>988</v>
      </c>
      <c r="H278" s="168" t="s">
        <v>820</v>
      </c>
      <c r="I278" s="168" t="s">
        <v>585</v>
      </c>
      <c r="J278" s="169">
        <v>80</v>
      </c>
      <c r="K278" s="169">
        <v>51897.06</v>
      </c>
      <c r="M278" s="8"/>
      <c r="N278" s="8"/>
      <c r="O278" s="8"/>
      <c r="P278" s="8"/>
      <c r="Q278" s="8"/>
      <c r="R278" s="8"/>
      <c r="S278" s="8"/>
      <c r="T278" s="8"/>
      <c r="U278" s="8"/>
      <c r="V278" s="8"/>
    </row>
    <row r="279" spans="2:22" ht="34.5" x14ac:dyDescent="0.25">
      <c r="B279" s="168" t="s">
        <v>989</v>
      </c>
      <c r="C279" s="168" t="s">
        <v>573</v>
      </c>
      <c r="D279" s="168"/>
      <c r="E279" s="168" t="s">
        <v>574</v>
      </c>
      <c r="F279" s="168" t="s">
        <v>823</v>
      </c>
      <c r="G279" s="168" t="s">
        <v>990</v>
      </c>
      <c r="H279" s="168" t="s">
        <v>820</v>
      </c>
      <c r="I279" s="168" t="s">
        <v>585</v>
      </c>
      <c r="J279" s="169">
        <v>415.96</v>
      </c>
      <c r="K279" s="169">
        <v>52313.02</v>
      </c>
      <c r="M279" s="8"/>
      <c r="N279" s="8"/>
      <c r="O279" s="8"/>
      <c r="P279" s="8"/>
      <c r="Q279" s="8"/>
      <c r="R279" s="8"/>
      <c r="S279" s="8"/>
      <c r="T279" s="8"/>
      <c r="U279" s="8"/>
      <c r="V279" s="8"/>
    </row>
    <row r="280" spans="2:22" ht="34.5" x14ac:dyDescent="0.25">
      <c r="B280" s="168" t="s">
        <v>662</v>
      </c>
      <c r="C280" s="168" t="s">
        <v>573</v>
      </c>
      <c r="D280" s="168"/>
      <c r="E280" s="168" t="s">
        <v>574</v>
      </c>
      <c r="F280" s="168" t="s">
        <v>941</v>
      </c>
      <c r="G280" s="168" t="s">
        <v>991</v>
      </c>
      <c r="H280" s="168" t="s">
        <v>820</v>
      </c>
      <c r="I280" s="168" t="s">
        <v>585</v>
      </c>
      <c r="J280" s="169">
        <v>1332.25</v>
      </c>
      <c r="K280" s="169">
        <v>53645.27</v>
      </c>
      <c r="M280" s="8"/>
      <c r="N280" s="8"/>
      <c r="O280" s="8"/>
      <c r="P280" s="8"/>
      <c r="Q280" s="8"/>
      <c r="R280" s="8"/>
      <c r="S280" s="8"/>
      <c r="T280" s="8"/>
      <c r="U280" s="8"/>
      <c r="V280" s="8"/>
    </row>
    <row r="281" spans="2:22" ht="34.5" x14ac:dyDescent="0.25">
      <c r="B281" s="168" t="s">
        <v>673</v>
      </c>
      <c r="C281" s="168" t="s">
        <v>573</v>
      </c>
      <c r="D281" s="168"/>
      <c r="E281" s="168" t="s">
        <v>574</v>
      </c>
      <c r="F281" s="168" t="s">
        <v>604</v>
      </c>
      <c r="G281" s="168" t="s">
        <v>992</v>
      </c>
      <c r="H281" s="168" t="s">
        <v>820</v>
      </c>
      <c r="I281" s="168" t="s">
        <v>585</v>
      </c>
      <c r="J281" s="169">
        <v>100</v>
      </c>
      <c r="K281" s="169">
        <v>53745.27</v>
      </c>
      <c r="M281" s="8"/>
      <c r="N281" s="8"/>
      <c r="O281" s="8"/>
      <c r="P281" s="8"/>
      <c r="Q281" s="8"/>
      <c r="R281" s="8"/>
      <c r="S281" s="8"/>
      <c r="T281" s="8"/>
      <c r="U281" s="8"/>
      <c r="V281" s="8"/>
    </row>
    <row r="282" spans="2:22" ht="34.5" x14ac:dyDescent="0.25">
      <c r="B282" s="168" t="s">
        <v>993</v>
      </c>
      <c r="C282" s="168" t="s">
        <v>573</v>
      </c>
      <c r="D282" s="168"/>
      <c r="E282" s="168" t="s">
        <v>574</v>
      </c>
      <c r="F282" s="168" t="s">
        <v>994</v>
      </c>
      <c r="G282" s="168" t="s">
        <v>995</v>
      </c>
      <c r="H282" s="168" t="s">
        <v>820</v>
      </c>
      <c r="I282" s="168" t="s">
        <v>585</v>
      </c>
      <c r="J282" s="169">
        <v>150</v>
      </c>
      <c r="K282" s="169">
        <v>53895.27</v>
      </c>
      <c r="M282" s="8"/>
      <c r="N282" s="8"/>
      <c r="O282" s="8"/>
      <c r="P282" s="8"/>
      <c r="Q282" s="8"/>
      <c r="R282" s="8"/>
      <c r="S282" s="8"/>
      <c r="T282" s="8"/>
      <c r="U282" s="8"/>
      <c r="V282" s="8"/>
    </row>
    <row r="283" spans="2:22" ht="34.5" x14ac:dyDescent="0.25">
      <c r="B283" s="168" t="s">
        <v>683</v>
      </c>
      <c r="C283" s="168" t="s">
        <v>573</v>
      </c>
      <c r="D283" s="168"/>
      <c r="E283" s="168" t="s">
        <v>574</v>
      </c>
      <c r="F283" s="168" t="s">
        <v>250</v>
      </c>
      <c r="G283" s="168" t="s">
        <v>996</v>
      </c>
      <c r="H283" s="168" t="s">
        <v>820</v>
      </c>
      <c r="I283" s="168" t="s">
        <v>739</v>
      </c>
      <c r="J283" s="169">
        <v>221.2</v>
      </c>
      <c r="K283" s="169">
        <v>54116.47</v>
      </c>
      <c r="M283" s="8"/>
      <c r="N283" s="8"/>
      <c r="O283" s="8"/>
      <c r="P283" s="8"/>
      <c r="Q283" s="8"/>
      <c r="R283" s="8"/>
      <c r="S283" s="8"/>
      <c r="T283" s="8"/>
      <c r="U283" s="8"/>
      <c r="V283" s="8"/>
    </row>
    <row r="284" spans="2:22" ht="34.5" x14ac:dyDescent="0.25">
      <c r="B284" s="168" t="s">
        <v>689</v>
      </c>
      <c r="C284" s="168" t="s">
        <v>573</v>
      </c>
      <c r="D284" s="168"/>
      <c r="E284" s="168" t="s">
        <v>574</v>
      </c>
      <c r="F284" s="168" t="s">
        <v>941</v>
      </c>
      <c r="G284" s="168" t="s">
        <v>997</v>
      </c>
      <c r="H284" s="168" t="s">
        <v>820</v>
      </c>
      <c r="I284" s="168" t="s">
        <v>585</v>
      </c>
      <c r="J284" s="169">
        <v>734.55</v>
      </c>
      <c r="K284" s="169">
        <v>54851.02</v>
      </c>
      <c r="M284" s="8"/>
      <c r="N284" s="8"/>
      <c r="O284" s="8"/>
      <c r="P284" s="8"/>
      <c r="Q284" s="8"/>
      <c r="R284" s="8"/>
      <c r="S284" s="8"/>
      <c r="T284" s="8"/>
      <c r="U284" s="8"/>
      <c r="V284" s="8"/>
    </row>
    <row r="285" spans="2:22" ht="34.5" x14ac:dyDescent="0.25">
      <c r="B285" s="168" t="s">
        <v>998</v>
      </c>
      <c r="C285" s="168" t="s">
        <v>573</v>
      </c>
      <c r="D285" s="168"/>
      <c r="E285" s="168" t="s">
        <v>574</v>
      </c>
      <c r="F285" s="168" t="s">
        <v>941</v>
      </c>
      <c r="G285" s="168" t="s">
        <v>999</v>
      </c>
      <c r="H285" s="168" t="s">
        <v>820</v>
      </c>
      <c r="I285" s="168" t="s">
        <v>585</v>
      </c>
      <c r="J285" s="169">
        <v>506.18</v>
      </c>
      <c r="K285" s="169">
        <v>55357.2</v>
      </c>
      <c r="M285" s="8"/>
      <c r="N285" s="8"/>
      <c r="O285" s="8"/>
      <c r="P285" s="8"/>
      <c r="Q285" s="8"/>
      <c r="R285" s="8"/>
      <c r="S285" s="8"/>
      <c r="T285" s="8"/>
      <c r="U285" s="8"/>
      <c r="V285" s="8"/>
    </row>
    <row r="286" spans="2:22" ht="34.5" x14ac:dyDescent="0.25">
      <c r="B286" s="168" t="s">
        <v>1000</v>
      </c>
      <c r="C286" s="168" t="s">
        <v>644</v>
      </c>
      <c r="D286" s="168">
        <v>102</v>
      </c>
      <c r="E286" s="168" t="s">
        <v>574</v>
      </c>
      <c r="F286" s="168" t="s">
        <v>985</v>
      </c>
      <c r="G286" s="168" t="s">
        <v>1001</v>
      </c>
      <c r="H286" s="168" t="s">
        <v>820</v>
      </c>
      <c r="I286" s="168" t="s">
        <v>648</v>
      </c>
      <c r="J286" s="169">
        <v>80</v>
      </c>
      <c r="K286" s="169">
        <v>55437.2</v>
      </c>
      <c r="M286" s="8"/>
      <c r="N286" s="8"/>
      <c r="O286" s="8"/>
      <c r="P286" s="8"/>
      <c r="Q286" s="8"/>
      <c r="R286" s="8"/>
      <c r="S286" s="8"/>
      <c r="T286" s="8"/>
      <c r="U286" s="8"/>
      <c r="V286" s="8"/>
    </row>
    <row r="287" spans="2:22" ht="34.5" x14ac:dyDescent="0.25">
      <c r="B287" s="168" t="s">
        <v>1000</v>
      </c>
      <c r="C287" s="168" t="s">
        <v>573</v>
      </c>
      <c r="D287" s="168"/>
      <c r="E287" s="168" t="s">
        <v>574</v>
      </c>
      <c r="F287" s="168" t="s">
        <v>1002</v>
      </c>
      <c r="G287" s="168" t="s">
        <v>1003</v>
      </c>
      <c r="H287" s="168" t="s">
        <v>820</v>
      </c>
      <c r="I287" s="168" t="s">
        <v>585</v>
      </c>
      <c r="J287" s="169">
        <v>74.61</v>
      </c>
      <c r="K287" s="169">
        <v>55511.81</v>
      </c>
      <c r="M287" s="8"/>
      <c r="N287" s="8"/>
      <c r="O287" s="8"/>
      <c r="P287" s="8"/>
      <c r="Q287" s="8"/>
      <c r="R287" s="8"/>
      <c r="S287" s="8"/>
      <c r="T287" s="8"/>
      <c r="U287" s="8"/>
      <c r="V287" s="8"/>
    </row>
    <row r="288" spans="2:22" ht="34.5" x14ac:dyDescent="0.25">
      <c r="B288" s="168" t="s">
        <v>1004</v>
      </c>
      <c r="C288" s="168" t="s">
        <v>573</v>
      </c>
      <c r="D288" s="168"/>
      <c r="E288" s="168" t="s">
        <v>574</v>
      </c>
      <c r="F288" s="168" t="s">
        <v>941</v>
      </c>
      <c r="G288" s="168" t="s">
        <v>1005</v>
      </c>
      <c r="H288" s="168" t="s">
        <v>820</v>
      </c>
      <c r="I288" s="168" t="s">
        <v>585</v>
      </c>
      <c r="J288" s="169">
        <v>1101.47</v>
      </c>
      <c r="K288" s="169">
        <v>56613.279999999999</v>
      </c>
      <c r="M288" s="8"/>
      <c r="N288" s="8"/>
      <c r="O288" s="8"/>
      <c r="P288" s="8"/>
      <c r="Q288" s="8"/>
      <c r="R288" s="8"/>
      <c r="S288" s="8"/>
      <c r="T288" s="8"/>
      <c r="U288" s="8"/>
      <c r="V288" s="8"/>
    </row>
    <row r="289" spans="1:22" ht="34.5" x14ac:dyDescent="0.25">
      <c r="B289" s="168" t="s">
        <v>1006</v>
      </c>
      <c r="C289" s="168" t="s">
        <v>573</v>
      </c>
      <c r="D289" s="168"/>
      <c r="E289" s="168" t="s">
        <v>574</v>
      </c>
      <c r="F289" s="168" t="s">
        <v>941</v>
      </c>
      <c r="G289" s="168" t="s">
        <v>1007</v>
      </c>
      <c r="H289" s="168" t="s">
        <v>820</v>
      </c>
      <c r="I289" s="168" t="s">
        <v>585</v>
      </c>
      <c r="J289" s="169">
        <v>405.11</v>
      </c>
      <c r="K289" s="169">
        <v>57018.39</v>
      </c>
      <c r="M289" s="8"/>
      <c r="N289" s="8"/>
      <c r="O289" s="8"/>
      <c r="P289" s="8"/>
      <c r="Q289" s="8"/>
      <c r="R289" s="8"/>
      <c r="S289" s="8"/>
      <c r="T289" s="8"/>
      <c r="U289" s="8"/>
      <c r="V289" s="8"/>
    </row>
    <row r="290" spans="1:22" ht="34.5" x14ac:dyDescent="0.25">
      <c r="B290" s="168" t="s">
        <v>1008</v>
      </c>
      <c r="C290" s="168" t="s">
        <v>681</v>
      </c>
      <c r="D290" s="168"/>
      <c r="E290" s="168" t="s">
        <v>574</v>
      </c>
      <c r="F290" s="168" t="s">
        <v>941</v>
      </c>
      <c r="G290" s="168" t="s">
        <v>1009</v>
      </c>
      <c r="H290" s="168" t="s">
        <v>820</v>
      </c>
      <c r="I290" s="168" t="s">
        <v>585</v>
      </c>
      <c r="J290" s="169">
        <v>-1101.47</v>
      </c>
      <c r="K290" s="169">
        <v>55916.92</v>
      </c>
      <c r="M290" s="8"/>
      <c r="N290" s="8"/>
      <c r="O290" s="8"/>
      <c r="P290" s="8"/>
      <c r="Q290" s="8"/>
      <c r="R290" s="8"/>
      <c r="S290" s="8"/>
      <c r="T290" s="8"/>
      <c r="U290" s="8"/>
      <c r="V290" s="8"/>
    </row>
    <row r="291" spans="1:22" ht="34.5" x14ac:dyDescent="0.25">
      <c r="B291" s="168" t="s">
        <v>1008</v>
      </c>
      <c r="C291" s="168" t="s">
        <v>681</v>
      </c>
      <c r="D291" s="168"/>
      <c r="E291" s="168" t="s">
        <v>574</v>
      </c>
      <c r="F291" s="168" t="s">
        <v>941</v>
      </c>
      <c r="G291" s="168" t="s">
        <v>1009</v>
      </c>
      <c r="H291" s="168" t="s">
        <v>820</v>
      </c>
      <c r="I291" s="168" t="s">
        <v>585</v>
      </c>
      <c r="J291" s="169">
        <v>-734.55</v>
      </c>
      <c r="K291" s="169">
        <v>55182.37</v>
      </c>
      <c r="M291" s="8"/>
      <c r="N291" s="8"/>
      <c r="O291" s="8"/>
      <c r="P291" s="8"/>
      <c r="Q291" s="8"/>
      <c r="R291" s="8"/>
      <c r="S291" s="8"/>
      <c r="T291" s="8"/>
      <c r="U291" s="8"/>
      <c r="V291" s="8"/>
    </row>
    <row r="292" spans="1:22" ht="34.5" x14ac:dyDescent="0.25">
      <c r="B292" s="168" t="s">
        <v>1008</v>
      </c>
      <c r="C292" s="168" t="s">
        <v>681</v>
      </c>
      <c r="D292" s="168"/>
      <c r="E292" s="168" t="s">
        <v>574</v>
      </c>
      <c r="F292" s="168" t="s">
        <v>941</v>
      </c>
      <c r="G292" s="168" t="s">
        <v>1009</v>
      </c>
      <c r="H292" s="168" t="s">
        <v>820</v>
      </c>
      <c r="I292" s="168" t="s">
        <v>585</v>
      </c>
      <c r="J292" s="169">
        <v>-506.18</v>
      </c>
      <c r="K292" s="169">
        <v>54676.19</v>
      </c>
      <c r="M292" s="8"/>
      <c r="N292" s="8"/>
      <c r="O292" s="8"/>
      <c r="P292" s="8"/>
      <c r="Q292" s="8"/>
      <c r="R292" s="8"/>
      <c r="S292" s="8"/>
      <c r="T292" s="8"/>
      <c r="U292" s="8"/>
      <c r="V292" s="8"/>
    </row>
    <row r="293" spans="1:22" ht="34.5" x14ac:dyDescent="0.25">
      <c r="B293" s="168" t="s">
        <v>1008</v>
      </c>
      <c r="C293" s="168" t="s">
        <v>681</v>
      </c>
      <c r="D293" s="168"/>
      <c r="E293" s="168" t="s">
        <v>574</v>
      </c>
      <c r="F293" s="168" t="s">
        <v>941</v>
      </c>
      <c r="G293" s="168" t="s">
        <v>1009</v>
      </c>
      <c r="H293" s="168" t="s">
        <v>820</v>
      </c>
      <c r="I293" s="168" t="s">
        <v>585</v>
      </c>
      <c r="J293" s="169">
        <v>-405.11</v>
      </c>
      <c r="K293" s="169">
        <v>54271.08</v>
      </c>
      <c r="M293" s="8"/>
      <c r="N293" s="8"/>
      <c r="O293" s="8"/>
      <c r="P293" s="8"/>
      <c r="Q293" s="8"/>
      <c r="R293" s="8"/>
      <c r="S293" s="8"/>
      <c r="T293" s="8"/>
      <c r="U293" s="8"/>
      <c r="V293" s="8"/>
    </row>
    <row r="294" spans="1:22" ht="34.5" x14ac:dyDescent="0.25">
      <c r="A294" s="167" t="s">
        <v>1010</v>
      </c>
      <c r="J294" s="171">
        <v>54271.08</v>
      </c>
      <c r="M294" s="8"/>
      <c r="N294" s="8">
        <f>J294</f>
        <v>54271.08</v>
      </c>
      <c r="O294" s="8"/>
      <c r="P294" s="8"/>
      <c r="Q294" s="8"/>
      <c r="R294" s="8"/>
      <c r="S294" s="8"/>
      <c r="T294" s="8"/>
      <c r="U294" s="8"/>
      <c r="V294" s="8"/>
    </row>
    <row r="295" spans="1:22" ht="23.25" x14ac:dyDescent="0.25">
      <c r="A295" s="167" t="s">
        <v>1011</v>
      </c>
      <c r="M295" s="8"/>
      <c r="N295" s="8"/>
      <c r="O295" s="8"/>
      <c r="P295" s="8"/>
      <c r="Q295" s="8"/>
      <c r="R295" s="8"/>
      <c r="S295" s="8"/>
      <c r="T295" s="8"/>
      <c r="U295" s="8"/>
      <c r="V295" s="8"/>
    </row>
    <row r="296" spans="1:22" ht="23.25" x14ac:dyDescent="0.25">
      <c r="B296" s="168" t="s">
        <v>817</v>
      </c>
      <c r="C296" s="168" t="s">
        <v>644</v>
      </c>
      <c r="D296" s="168">
        <v>21003</v>
      </c>
      <c r="E296" s="168" t="s">
        <v>574</v>
      </c>
      <c r="F296" s="168" t="s">
        <v>1012</v>
      </c>
      <c r="G296" s="168" t="s">
        <v>1013</v>
      </c>
      <c r="H296" s="168" t="s">
        <v>1014</v>
      </c>
      <c r="I296" s="168" t="s">
        <v>648</v>
      </c>
      <c r="J296" s="169">
        <v>70</v>
      </c>
      <c r="K296" s="169">
        <v>70</v>
      </c>
      <c r="M296" s="8"/>
      <c r="N296" s="8"/>
      <c r="O296" s="8"/>
      <c r="P296" s="8"/>
      <c r="Q296" s="8"/>
      <c r="R296" s="8"/>
      <c r="S296" s="8"/>
      <c r="T296" s="8"/>
      <c r="U296" s="8"/>
      <c r="V296" s="8"/>
    </row>
    <row r="297" spans="1:22" ht="23.25" x14ac:dyDescent="0.25">
      <c r="B297" s="168" t="s">
        <v>747</v>
      </c>
      <c r="C297" s="168" t="s">
        <v>644</v>
      </c>
      <c r="D297" s="168">
        <v>408861</v>
      </c>
      <c r="E297" s="168" t="s">
        <v>574</v>
      </c>
      <c r="F297" s="168" t="s">
        <v>1015</v>
      </c>
      <c r="G297" s="168" t="s">
        <v>1016</v>
      </c>
      <c r="H297" s="168" t="s">
        <v>1014</v>
      </c>
      <c r="I297" s="168" t="s">
        <v>648</v>
      </c>
      <c r="J297" s="169">
        <v>0</v>
      </c>
      <c r="K297" s="169">
        <v>70</v>
      </c>
      <c r="M297" s="8"/>
      <c r="N297" s="8"/>
      <c r="O297" s="8"/>
      <c r="P297" s="8"/>
      <c r="Q297" s="8"/>
      <c r="R297" s="8"/>
      <c r="S297" s="8"/>
      <c r="T297" s="8"/>
      <c r="U297" s="8"/>
      <c r="V297" s="8"/>
    </row>
    <row r="298" spans="1:22" ht="23.25" x14ac:dyDescent="0.25">
      <c r="B298" s="168" t="s">
        <v>747</v>
      </c>
      <c r="C298" s="168" t="s">
        <v>644</v>
      </c>
      <c r="D298" s="168">
        <v>408860</v>
      </c>
      <c r="E298" s="168" t="s">
        <v>574</v>
      </c>
      <c r="F298" s="168" t="s">
        <v>1017</v>
      </c>
      <c r="G298" s="168" t="s">
        <v>1018</v>
      </c>
      <c r="H298" s="168" t="s">
        <v>1014</v>
      </c>
      <c r="I298" s="168" t="s">
        <v>648</v>
      </c>
      <c r="J298" s="169">
        <v>81</v>
      </c>
      <c r="K298" s="169">
        <v>151</v>
      </c>
      <c r="M298" s="8"/>
      <c r="N298" s="8"/>
      <c r="O298" s="8"/>
      <c r="P298" s="8"/>
      <c r="Q298" s="8"/>
      <c r="R298" s="8"/>
      <c r="S298" s="8"/>
      <c r="T298" s="8"/>
      <c r="U298" s="8"/>
      <c r="V298" s="8"/>
    </row>
    <row r="299" spans="1:22" ht="23.25" x14ac:dyDescent="0.25">
      <c r="B299" s="168" t="s">
        <v>747</v>
      </c>
      <c r="C299" s="168" t="s">
        <v>644</v>
      </c>
      <c r="D299" s="168">
        <v>408861</v>
      </c>
      <c r="E299" s="168" t="s">
        <v>574</v>
      </c>
      <c r="F299" s="168" t="s">
        <v>1015</v>
      </c>
      <c r="G299" s="168" t="s">
        <v>1019</v>
      </c>
      <c r="H299" s="168" t="s">
        <v>1014</v>
      </c>
      <c r="I299" s="168" t="s">
        <v>648</v>
      </c>
      <c r="J299" s="169">
        <v>81</v>
      </c>
      <c r="K299" s="169">
        <v>232</v>
      </c>
      <c r="M299" s="8"/>
      <c r="N299" s="8"/>
      <c r="O299" s="8"/>
      <c r="P299" s="8"/>
      <c r="Q299" s="8"/>
      <c r="R299" s="8"/>
      <c r="S299" s="8"/>
      <c r="T299" s="8"/>
      <c r="U299" s="8"/>
      <c r="V299" s="8"/>
    </row>
    <row r="300" spans="1:22" ht="23.25" x14ac:dyDescent="0.25">
      <c r="B300" s="168" t="s">
        <v>747</v>
      </c>
      <c r="C300" s="168" t="s">
        <v>644</v>
      </c>
      <c r="D300" s="168">
        <v>408859</v>
      </c>
      <c r="E300" s="168" t="s">
        <v>574</v>
      </c>
      <c r="F300" s="168" t="s">
        <v>1020</v>
      </c>
      <c r="G300" s="168" t="s">
        <v>1021</v>
      </c>
      <c r="H300" s="168" t="s">
        <v>1014</v>
      </c>
      <c r="I300" s="168" t="s">
        <v>648</v>
      </c>
      <c r="J300" s="169">
        <v>81</v>
      </c>
      <c r="K300" s="169">
        <v>313</v>
      </c>
      <c r="M300" s="8"/>
      <c r="N300" s="8"/>
      <c r="O300" s="8"/>
      <c r="P300" s="8"/>
      <c r="Q300" s="8"/>
      <c r="R300" s="8"/>
      <c r="S300" s="8"/>
      <c r="T300" s="8"/>
      <c r="U300" s="8"/>
      <c r="V300" s="8"/>
    </row>
    <row r="301" spans="1:22" ht="23.25" x14ac:dyDescent="0.25">
      <c r="B301" s="168" t="s">
        <v>747</v>
      </c>
      <c r="C301" s="168" t="s">
        <v>644</v>
      </c>
      <c r="D301" s="168">
        <v>408859</v>
      </c>
      <c r="E301" s="168" t="s">
        <v>574</v>
      </c>
      <c r="F301" s="168" t="s">
        <v>1020</v>
      </c>
      <c r="G301" s="168" t="s">
        <v>1021</v>
      </c>
      <c r="H301" s="168" t="s">
        <v>1014</v>
      </c>
      <c r="I301" s="168" t="s">
        <v>648</v>
      </c>
      <c r="J301" s="169">
        <v>81</v>
      </c>
      <c r="K301" s="169">
        <v>394</v>
      </c>
      <c r="M301" s="8"/>
      <c r="N301" s="8"/>
      <c r="O301" s="8"/>
      <c r="P301" s="8"/>
      <c r="Q301" s="8"/>
      <c r="R301" s="8"/>
      <c r="S301" s="8"/>
      <c r="T301" s="8"/>
      <c r="U301" s="8"/>
      <c r="V301" s="8"/>
    </row>
    <row r="302" spans="1:22" ht="23.25" x14ac:dyDescent="0.25">
      <c r="B302" s="168" t="s">
        <v>747</v>
      </c>
      <c r="C302" s="168" t="s">
        <v>644</v>
      </c>
      <c r="D302" s="168">
        <v>408861</v>
      </c>
      <c r="E302" s="168" t="s">
        <v>574</v>
      </c>
      <c r="F302" s="168" t="s">
        <v>1015</v>
      </c>
      <c r="G302" s="168" t="s">
        <v>1019</v>
      </c>
      <c r="H302" s="168" t="s">
        <v>1014</v>
      </c>
      <c r="I302" s="168" t="s">
        <v>648</v>
      </c>
      <c r="J302" s="169">
        <v>100.61</v>
      </c>
      <c r="K302" s="169">
        <v>494.61</v>
      </c>
      <c r="M302" s="8"/>
      <c r="N302" s="8"/>
      <c r="O302" s="8"/>
      <c r="P302" s="8"/>
      <c r="Q302" s="8"/>
      <c r="R302" s="8"/>
      <c r="S302" s="8"/>
      <c r="T302" s="8"/>
      <c r="U302" s="8"/>
      <c r="V302" s="8"/>
    </row>
    <row r="303" spans="1:22" ht="23.25" x14ac:dyDescent="0.25">
      <c r="B303" s="168" t="s">
        <v>747</v>
      </c>
      <c r="C303" s="168" t="s">
        <v>644</v>
      </c>
      <c r="D303" s="168">
        <v>408861</v>
      </c>
      <c r="E303" s="168" t="s">
        <v>574</v>
      </c>
      <c r="F303" s="168" t="s">
        <v>1015</v>
      </c>
      <c r="G303" s="168" t="s">
        <v>1016</v>
      </c>
      <c r="H303" s="168" t="s">
        <v>1014</v>
      </c>
      <c r="I303" s="168" t="s">
        <v>648</v>
      </c>
      <c r="J303" s="169">
        <v>108</v>
      </c>
      <c r="K303" s="169">
        <v>602.61</v>
      </c>
      <c r="M303" s="8"/>
      <c r="N303" s="8"/>
      <c r="O303" s="8"/>
      <c r="P303" s="8"/>
      <c r="Q303" s="8"/>
      <c r="R303" s="8"/>
      <c r="S303" s="8"/>
      <c r="T303" s="8"/>
      <c r="U303" s="8"/>
      <c r="V303" s="8"/>
    </row>
    <row r="304" spans="1:22" ht="23.25" x14ac:dyDescent="0.25">
      <c r="B304" s="168" t="s">
        <v>747</v>
      </c>
      <c r="C304" s="168" t="s">
        <v>644</v>
      </c>
      <c r="D304" s="168">
        <v>408860</v>
      </c>
      <c r="E304" s="168" t="s">
        <v>574</v>
      </c>
      <c r="F304" s="168" t="s">
        <v>1017</v>
      </c>
      <c r="G304" s="168" t="s">
        <v>1022</v>
      </c>
      <c r="H304" s="168" t="s">
        <v>1014</v>
      </c>
      <c r="I304" s="168" t="s">
        <v>648</v>
      </c>
      <c r="J304" s="169">
        <v>121.82</v>
      </c>
      <c r="K304" s="169">
        <v>724.43</v>
      </c>
      <c r="M304" s="8"/>
      <c r="N304" s="8"/>
      <c r="O304" s="8"/>
      <c r="P304" s="8"/>
      <c r="Q304" s="8"/>
      <c r="R304" s="8"/>
      <c r="S304" s="8"/>
      <c r="T304" s="8"/>
      <c r="U304" s="8"/>
      <c r="V304" s="8"/>
    </row>
    <row r="305" spans="2:22" ht="23.25" x14ac:dyDescent="0.25">
      <c r="B305" s="168" t="s">
        <v>747</v>
      </c>
      <c r="C305" s="168" t="s">
        <v>644</v>
      </c>
      <c r="D305" s="168">
        <v>408861</v>
      </c>
      <c r="E305" s="168" t="s">
        <v>574</v>
      </c>
      <c r="F305" s="168" t="s">
        <v>1015</v>
      </c>
      <c r="G305" s="168" t="s">
        <v>1016</v>
      </c>
      <c r="H305" s="168" t="s">
        <v>1014</v>
      </c>
      <c r="I305" s="168" t="s">
        <v>648</v>
      </c>
      <c r="J305" s="169">
        <v>121.94</v>
      </c>
      <c r="K305" s="169">
        <v>846.37</v>
      </c>
      <c r="M305" s="8"/>
      <c r="N305" s="8"/>
      <c r="O305" s="8"/>
      <c r="P305" s="8"/>
      <c r="Q305" s="8"/>
      <c r="R305" s="8"/>
      <c r="S305" s="8"/>
      <c r="T305" s="8"/>
      <c r="U305" s="8"/>
      <c r="V305" s="8"/>
    </row>
    <row r="306" spans="2:22" ht="23.25" x14ac:dyDescent="0.25">
      <c r="B306" s="168" t="s">
        <v>747</v>
      </c>
      <c r="C306" s="168" t="s">
        <v>644</v>
      </c>
      <c r="D306" s="168">
        <v>408861</v>
      </c>
      <c r="E306" s="168" t="s">
        <v>574</v>
      </c>
      <c r="F306" s="168" t="s">
        <v>1015</v>
      </c>
      <c r="G306" s="168" t="s">
        <v>1016</v>
      </c>
      <c r="H306" s="168" t="s">
        <v>1014</v>
      </c>
      <c r="I306" s="168" t="s">
        <v>648</v>
      </c>
      <c r="J306" s="169">
        <v>124.47</v>
      </c>
      <c r="K306" s="169">
        <v>970.84</v>
      </c>
      <c r="M306" s="8"/>
      <c r="N306" s="8"/>
      <c r="O306" s="8"/>
      <c r="P306" s="8"/>
      <c r="Q306" s="8"/>
      <c r="R306" s="8"/>
      <c r="S306" s="8"/>
      <c r="T306" s="8"/>
      <c r="U306" s="8"/>
      <c r="V306" s="8"/>
    </row>
    <row r="307" spans="2:22" ht="23.25" x14ac:dyDescent="0.25">
      <c r="B307" s="168" t="s">
        <v>747</v>
      </c>
      <c r="C307" s="168" t="s">
        <v>644</v>
      </c>
      <c r="D307" s="168">
        <v>408861</v>
      </c>
      <c r="E307" s="168" t="s">
        <v>574</v>
      </c>
      <c r="F307" s="168" t="s">
        <v>1015</v>
      </c>
      <c r="G307" s="168" t="s">
        <v>1016</v>
      </c>
      <c r="H307" s="168" t="s">
        <v>1014</v>
      </c>
      <c r="I307" s="168" t="s">
        <v>648</v>
      </c>
      <c r="J307" s="169">
        <v>126.88</v>
      </c>
      <c r="K307" s="169">
        <v>1097.72</v>
      </c>
      <c r="M307" s="8"/>
      <c r="N307" s="8"/>
      <c r="O307" s="8"/>
      <c r="P307" s="8"/>
      <c r="Q307" s="8"/>
      <c r="R307" s="8"/>
      <c r="S307" s="8"/>
      <c r="T307" s="8"/>
      <c r="U307" s="8"/>
      <c r="V307" s="8"/>
    </row>
    <row r="308" spans="2:22" ht="23.25" x14ac:dyDescent="0.25">
      <c r="B308" s="168" t="s">
        <v>747</v>
      </c>
      <c r="C308" s="168" t="s">
        <v>644</v>
      </c>
      <c r="D308" s="168">
        <v>408861</v>
      </c>
      <c r="E308" s="168" t="s">
        <v>574</v>
      </c>
      <c r="F308" s="168" t="s">
        <v>1015</v>
      </c>
      <c r="G308" s="168" t="s">
        <v>1016</v>
      </c>
      <c r="H308" s="168" t="s">
        <v>1014</v>
      </c>
      <c r="I308" s="168" t="s">
        <v>648</v>
      </c>
      <c r="J308" s="169">
        <v>128.53</v>
      </c>
      <c r="K308" s="169">
        <v>1226.25</v>
      </c>
      <c r="M308" s="8"/>
      <c r="N308" s="8"/>
      <c r="O308" s="8"/>
      <c r="P308" s="8"/>
      <c r="Q308" s="8"/>
      <c r="R308" s="8"/>
      <c r="S308" s="8"/>
      <c r="T308" s="8"/>
      <c r="U308" s="8"/>
      <c r="V308" s="8"/>
    </row>
    <row r="309" spans="2:22" ht="23.25" x14ac:dyDescent="0.25">
      <c r="B309" s="168" t="s">
        <v>747</v>
      </c>
      <c r="C309" s="168" t="s">
        <v>644</v>
      </c>
      <c r="D309" s="168">
        <v>408861</v>
      </c>
      <c r="E309" s="168" t="s">
        <v>574</v>
      </c>
      <c r="F309" s="168" t="s">
        <v>1015</v>
      </c>
      <c r="G309" s="168" t="s">
        <v>1016</v>
      </c>
      <c r="H309" s="168" t="s">
        <v>1014</v>
      </c>
      <c r="I309" s="168" t="s">
        <v>648</v>
      </c>
      <c r="J309" s="169">
        <v>0</v>
      </c>
      <c r="K309" s="169">
        <v>1226.25</v>
      </c>
      <c r="M309" s="8"/>
      <c r="N309" s="8"/>
      <c r="O309" s="8"/>
      <c r="P309" s="8"/>
      <c r="Q309" s="8"/>
      <c r="R309" s="8"/>
      <c r="S309" s="8"/>
      <c r="T309" s="8"/>
      <c r="U309" s="8"/>
      <c r="V309" s="8"/>
    </row>
    <row r="310" spans="2:22" ht="23.25" x14ac:dyDescent="0.25">
      <c r="B310" s="168" t="s">
        <v>747</v>
      </c>
      <c r="C310" s="168" t="s">
        <v>644</v>
      </c>
      <c r="D310" s="168">
        <v>408861</v>
      </c>
      <c r="E310" s="168" t="s">
        <v>574</v>
      </c>
      <c r="F310" s="168" t="s">
        <v>1015</v>
      </c>
      <c r="G310" s="168" t="s">
        <v>1016</v>
      </c>
      <c r="H310" s="168" t="s">
        <v>1014</v>
      </c>
      <c r="I310" s="168" t="s">
        <v>648</v>
      </c>
      <c r="J310" s="169">
        <v>132.13</v>
      </c>
      <c r="K310" s="169">
        <v>1358.38</v>
      </c>
      <c r="M310" s="8"/>
      <c r="N310" s="8"/>
      <c r="O310" s="8"/>
      <c r="P310" s="8"/>
      <c r="Q310" s="8"/>
      <c r="R310" s="8"/>
      <c r="S310" s="8"/>
      <c r="T310" s="8"/>
      <c r="U310" s="8"/>
      <c r="V310" s="8"/>
    </row>
    <row r="311" spans="2:22" ht="23.25" x14ac:dyDescent="0.25">
      <c r="B311" s="168" t="s">
        <v>747</v>
      </c>
      <c r="C311" s="168" t="s">
        <v>644</v>
      </c>
      <c r="D311" s="168">
        <v>408860</v>
      </c>
      <c r="E311" s="168" t="s">
        <v>574</v>
      </c>
      <c r="F311" s="168" t="s">
        <v>1017</v>
      </c>
      <c r="G311" s="168" t="s">
        <v>1022</v>
      </c>
      <c r="H311" s="168" t="s">
        <v>1014</v>
      </c>
      <c r="I311" s="168" t="s">
        <v>648</v>
      </c>
      <c r="J311" s="169">
        <v>156.81</v>
      </c>
      <c r="K311" s="169">
        <v>1515.19</v>
      </c>
      <c r="M311" s="8"/>
      <c r="N311" s="8"/>
      <c r="O311" s="8"/>
      <c r="P311" s="8"/>
      <c r="Q311" s="8"/>
      <c r="R311" s="8"/>
      <c r="S311" s="8"/>
      <c r="T311" s="8"/>
      <c r="U311" s="8"/>
      <c r="V311" s="8"/>
    </row>
    <row r="312" spans="2:22" ht="23.25" x14ac:dyDescent="0.25">
      <c r="B312" s="168" t="s">
        <v>747</v>
      </c>
      <c r="C312" s="168" t="s">
        <v>644</v>
      </c>
      <c r="D312" s="168">
        <v>408860</v>
      </c>
      <c r="E312" s="168" t="s">
        <v>574</v>
      </c>
      <c r="F312" s="168" t="s">
        <v>1017</v>
      </c>
      <c r="G312" s="168" t="s">
        <v>1018</v>
      </c>
      <c r="H312" s="168" t="s">
        <v>1014</v>
      </c>
      <c r="I312" s="168" t="s">
        <v>648</v>
      </c>
      <c r="J312" s="169">
        <v>138.19</v>
      </c>
      <c r="K312" s="169">
        <v>1653.38</v>
      </c>
      <c r="M312" s="8"/>
      <c r="N312" s="8"/>
      <c r="O312" s="8"/>
      <c r="P312" s="8"/>
      <c r="Q312" s="8"/>
      <c r="R312" s="8"/>
      <c r="S312" s="8"/>
      <c r="T312" s="8"/>
      <c r="U312" s="8"/>
      <c r="V312" s="8"/>
    </row>
    <row r="313" spans="2:22" ht="57" x14ac:dyDescent="0.25">
      <c r="B313" s="168" t="s">
        <v>578</v>
      </c>
      <c r="C313" s="168" t="s">
        <v>573</v>
      </c>
      <c r="D313" s="168"/>
      <c r="E313" s="168" t="s">
        <v>574</v>
      </c>
      <c r="F313" s="168" t="s">
        <v>1023</v>
      </c>
      <c r="G313" s="168" t="s">
        <v>1024</v>
      </c>
      <c r="H313" s="168" t="s">
        <v>1014</v>
      </c>
      <c r="I313" s="168" t="s">
        <v>585</v>
      </c>
      <c r="J313" s="169">
        <v>295</v>
      </c>
      <c r="K313" s="169">
        <v>1948.38</v>
      </c>
      <c r="M313" s="8"/>
      <c r="N313" s="8"/>
      <c r="O313" s="8"/>
      <c r="P313" s="8"/>
      <c r="Q313" s="8"/>
      <c r="R313" s="8"/>
      <c r="S313" s="8"/>
      <c r="T313" s="8"/>
      <c r="U313" s="8"/>
      <c r="V313" s="8"/>
    </row>
    <row r="314" spans="2:22" ht="57" x14ac:dyDescent="0.25">
      <c r="B314" s="168" t="s">
        <v>750</v>
      </c>
      <c r="C314" s="168" t="s">
        <v>573</v>
      </c>
      <c r="D314" s="168"/>
      <c r="E314" s="168" t="s">
        <v>574</v>
      </c>
      <c r="F314" s="168" t="s">
        <v>1023</v>
      </c>
      <c r="G314" s="168" t="s">
        <v>1025</v>
      </c>
      <c r="H314" s="168" t="s">
        <v>1014</v>
      </c>
      <c r="I314" s="168" t="s">
        <v>585</v>
      </c>
      <c r="J314" s="169">
        <v>32.97</v>
      </c>
      <c r="K314" s="169">
        <v>1981.35</v>
      </c>
      <c r="M314" s="8"/>
      <c r="N314" s="8"/>
      <c r="O314" s="8"/>
      <c r="P314" s="8"/>
      <c r="Q314" s="8"/>
      <c r="R314" s="8"/>
      <c r="S314" s="8"/>
      <c r="T314" s="8"/>
      <c r="U314" s="8"/>
      <c r="V314" s="8"/>
    </row>
    <row r="315" spans="2:22" ht="57" x14ac:dyDescent="0.25">
      <c r="B315" s="168" t="s">
        <v>843</v>
      </c>
      <c r="C315" s="168" t="s">
        <v>573</v>
      </c>
      <c r="D315" s="168"/>
      <c r="E315" s="168" t="s">
        <v>574</v>
      </c>
      <c r="F315" s="168" t="s">
        <v>1023</v>
      </c>
      <c r="G315" s="168" t="s">
        <v>1026</v>
      </c>
      <c r="H315" s="168" t="s">
        <v>1014</v>
      </c>
      <c r="I315" s="168" t="s">
        <v>585</v>
      </c>
      <c r="J315" s="169">
        <v>11.97</v>
      </c>
      <c r="K315" s="169">
        <v>1993.32</v>
      </c>
      <c r="M315" s="8"/>
      <c r="N315" s="8"/>
      <c r="O315" s="8"/>
      <c r="P315" s="8"/>
      <c r="Q315" s="8"/>
      <c r="R315" s="8"/>
      <c r="S315" s="8"/>
      <c r="T315" s="8"/>
      <c r="U315" s="8"/>
      <c r="V315" s="8"/>
    </row>
    <row r="316" spans="2:22" ht="57" x14ac:dyDescent="0.25">
      <c r="B316" s="168" t="s">
        <v>853</v>
      </c>
      <c r="C316" s="168" t="s">
        <v>573</v>
      </c>
      <c r="D316" s="168"/>
      <c r="E316" s="168" t="s">
        <v>574</v>
      </c>
      <c r="F316" s="168" t="s">
        <v>1023</v>
      </c>
      <c r="G316" s="168" t="s">
        <v>1027</v>
      </c>
      <c r="H316" s="168" t="s">
        <v>1014</v>
      </c>
      <c r="I316" s="168" t="s">
        <v>585</v>
      </c>
      <c r="J316" s="169">
        <v>13.8</v>
      </c>
      <c r="K316" s="169">
        <v>2007.12</v>
      </c>
      <c r="M316" s="8"/>
      <c r="N316" s="8"/>
      <c r="O316" s="8"/>
      <c r="P316" s="8"/>
      <c r="Q316" s="8"/>
      <c r="R316" s="8"/>
      <c r="S316" s="8"/>
      <c r="T316" s="8"/>
      <c r="U316" s="8"/>
      <c r="V316" s="8"/>
    </row>
    <row r="317" spans="2:22" ht="23.25" x14ac:dyDescent="0.25">
      <c r="B317" s="168" t="s">
        <v>729</v>
      </c>
      <c r="C317" s="168" t="s">
        <v>573</v>
      </c>
      <c r="D317" s="168"/>
      <c r="E317" s="168" t="s">
        <v>574</v>
      </c>
      <c r="F317" s="168" t="s">
        <v>570</v>
      </c>
      <c r="G317" s="168" t="s">
        <v>1028</v>
      </c>
      <c r="H317" s="168" t="s">
        <v>1014</v>
      </c>
      <c r="I317" s="168" t="s">
        <v>577</v>
      </c>
      <c r="J317" s="169">
        <v>36.840000000000003</v>
      </c>
      <c r="K317" s="169">
        <v>2043.96</v>
      </c>
      <c r="M317" s="8"/>
      <c r="N317" s="8"/>
      <c r="O317" s="8"/>
      <c r="P317" s="8"/>
      <c r="Q317" s="8"/>
      <c r="R317" s="8"/>
      <c r="S317" s="8"/>
      <c r="T317" s="8"/>
      <c r="U317" s="8"/>
      <c r="V317" s="8"/>
    </row>
    <row r="318" spans="2:22" ht="57" x14ac:dyDescent="0.25">
      <c r="B318" s="168" t="s">
        <v>589</v>
      </c>
      <c r="C318" s="168" t="s">
        <v>644</v>
      </c>
      <c r="D318" s="168">
        <v>21395</v>
      </c>
      <c r="E318" s="168" t="s">
        <v>574</v>
      </c>
      <c r="F318" s="168" t="s">
        <v>1012</v>
      </c>
      <c r="G318" s="168" t="s">
        <v>1029</v>
      </c>
      <c r="H318" s="168" t="s">
        <v>1014</v>
      </c>
      <c r="I318" s="168" t="s">
        <v>648</v>
      </c>
      <c r="J318" s="169">
        <v>60</v>
      </c>
      <c r="K318" s="169">
        <v>2103.96</v>
      </c>
      <c r="M318" s="8"/>
      <c r="N318" s="8"/>
      <c r="O318" s="8"/>
      <c r="P318" s="8"/>
      <c r="Q318" s="8"/>
      <c r="R318" s="8"/>
      <c r="S318" s="8"/>
      <c r="T318" s="8"/>
      <c r="U318" s="8"/>
      <c r="V318" s="8"/>
    </row>
    <row r="319" spans="2:22" ht="23.25" x14ac:dyDescent="0.25">
      <c r="B319" s="168" t="s">
        <v>862</v>
      </c>
      <c r="C319" s="168" t="s">
        <v>573</v>
      </c>
      <c r="D319" s="168"/>
      <c r="E319" s="168" t="s">
        <v>574</v>
      </c>
      <c r="F319" s="168" t="s">
        <v>1030</v>
      </c>
      <c r="G319" s="168" t="s">
        <v>1031</v>
      </c>
      <c r="H319" s="168" t="s">
        <v>1014</v>
      </c>
      <c r="I319" s="168" t="s">
        <v>577</v>
      </c>
      <c r="J319" s="169">
        <v>2390</v>
      </c>
      <c r="K319" s="169">
        <v>4493.96</v>
      </c>
      <c r="M319" s="8"/>
      <c r="N319" s="8"/>
      <c r="O319" s="8"/>
      <c r="P319" s="8"/>
      <c r="Q319" s="8"/>
      <c r="R319" s="8"/>
      <c r="S319" s="8"/>
      <c r="T319" s="8"/>
      <c r="U319" s="8"/>
      <c r="V319" s="8"/>
    </row>
    <row r="320" spans="2:22" ht="57" x14ac:dyDescent="0.25">
      <c r="B320" s="168" t="s">
        <v>864</v>
      </c>
      <c r="C320" s="168" t="s">
        <v>573</v>
      </c>
      <c r="D320" s="168"/>
      <c r="E320" s="168" t="s">
        <v>574</v>
      </c>
      <c r="F320" s="168" t="s">
        <v>1023</v>
      </c>
      <c r="G320" s="168" t="s">
        <v>1032</v>
      </c>
      <c r="H320" s="168" t="s">
        <v>1014</v>
      </c>
      <c r="I320" s="168" t="s">
        <v>585</v>
      </c>
      <c r="J320" s="169">
        <v>295</v>
      </c>
      <c r="K320" s="169">
        <v>4788.96</v>
      </c>
      <c r="M320" s="8"/>
      <c r="N320" s="8"/>
      <c r="O320" s="8"/>
      <c r="P320" s="8"/>
      <c r="Q320" s="8"/>
      <c r="R320" s="8"/>
      <c r="S320" s="8"/>
      <c r="T320" s="8"/>
      <c r="U320" s="8"/>
      <c r="V320" s="8"/>
    </row>
    <row r="321" spans="2:22" ht="57" x14ac:dyDescent="0.25">
      <c r="B321" s="168" t="s">
        <v>868</v>
      </c>
      <c r="C321" s="168" t="s">
        <v>573</v>
      </c>
      <c r="D321" s="168"/>
      <c r="E321" s="168" t="s">
        <v>574</v>
      </c>
      <c r="F321" s="168" t="s">
        <v>1023</v>
      </c>
      <c r="G321" s="168" t="s">
        <v>1033</v>
      </c>
      <c r="H321" s="168" t="s">
        <v>1014</v>
      </c>
      <c r="I321" s="168" t="s">
        <v>585</v>
      </c>
      <c r="J321" s="169">
        <v>9.11</v>
      </c>
      <c r="K321" s="169">
        <v>4798.07</v>
      </c>
      <c r="M321" s="8"/>
      <c r="N321" s="8"/>
      <c r="O321" s="8"/>
      <c r="P321" s="8"/>
      <c r="Q321" s="8"/>
      <c r="R321" s="8"/>
      <c r="S321" s="8"/>
      <c r="T321" s="8"/>
      <c r="U321" s="8"/>
      <c r="V321" s="8"/>
    </row>
    <row r="322" spans="2:22" ht="57" x14ac:dyDescent="0.25">
      <c r="B322" s="168" t="s">
        <v>874</v>
      </c>
      <c r="C322" s="168" t="s">
        <v>573</v>
      </c>
      <c r="D322" s="168"/>
      <c r="E322" s="168" t="s">
        <v>574</v>
      </c>
      <c r="F322" s="168" t="s">
        <v>1023</v>
      </c>
      <c r="G322" s="168" t="s">
        <v>1034</v>
      </c>
      <c r="H322" s="168" t="s">
        <v>1014</v>
      </c>
      <c r="I322" s="168" t="s">
        <v>585</v>
      </c>
      <c r="J322" s="169">
        <v>11.28</v>
      </c>
      <c r="K322" s="169">
        <v>4809.3500000000004</v>
      </c>
      <c r="M322" s="8"/>
      <c r="N322" s="8"/>
      <c r="O322" s="8"/>
      <c r="P322" s="8"/>
      <c r="Q322" s="8"/>
      <c r="R322" s="8"/>
      <c r="S322" s="8"/>
      <c r="T322" s="8"/>
      <c r="U322" s="8"/>
      <c r="V322" s="8"/>
    </row>
    <row r="323" spans="2:22" ht="57" x14ac:dyDescent="0.25">
      <c r="B323" s="168" t="s">
        <v>1035</v>
      </c>
      <c r="C323" s="168" t="s">
        <v>573</v>
      </c>
      <c r="D323" s="168"/>
      <c r="E323" s="168" t="s">
        <v>574</v>
      </c>
      <c r="F323" s="168" t="s">
        <v>1023</v>
      </c>
      <c r="G323" s="168" t="s">
        <v>1036</v>
      </c>
      <c r="H323" s="168" t="s">
        <v>1014</v>
      </c>
      <c r="I323" s="168" t="s">
        <v>585</v>
      </c>
      <c r="J323" s="169">
        <v>9.11</v>
      </c>
      <c r="K323" s="169">
        <v>4818.46</v>
      </c>
      <c r="M323" s="8"/>
      <c r="N323" s="8"/>
      <c r="O323" s="8"/>
      <c r="P323" s="8"/>
      <c r="Q323" s="8"/>
      <c r="R323" s="8"/>
      <c r="S323" s="8"/>
      <c r="T323" s="8"/>
      <c r="U323" s="8"/>
      <c r="V323" s="8"/>
    </row>
    <row r="324" spans="2:22" ht="57" x14ac:dyDescent="0.25">
      <c r="B324" s="168" t="s">
        <v>882</v>
      </c>
      <c r="C324" s="168" t="s">
        <v>573</v>
      </c>
      <c r="D324" s="168"/>
      <c r="E324" s="168" t="s">
        <v>574</v>
      </c>
      <c r="F324" s="168" t="s">
        <v>1023</v>
      </c>
      <c r="G324" s="168" t="s">
        <v>1037</v>
      </c>
      <c r="H324" s="168" t="s">
        <v>1014</v>
      </c>
      <c r="I324" s="168" t="s">
        <v>585</v>
      </c>
      <c r="J324" s="169">
        <v>28.16</v>
      </c>
      <c r="K324" s="169">
        <v>4846.62</v>
      </c>
      <c r="M324" s="8"/>
      <c r="N324" s="8"/>
      <c r="O324" s="8"/>
      <c r="P324" s="8"/>
      <c r="Q324" s="8"/>
      <c r="R324" s="8"/>
      <c r="S324" s="8"/>
      <c r="T324" s="8"/>
      <c r="U324" s="8"/>
      <c r="V324" s="8"/>
    </row>
    <row r="325" spans="2:22" ht="23.25" x14ac:dyDescent="0.25">
      <c r="B325" s="168" t="s">
        <v>598</v>
      </c>
      <c r="C325" s="168" t="s">
        <v>644</v>
      </c>
      <c r="D325" s="168">
        <v>21692</v>
      </c>
      <c r="E325" s="168" t="s">
        <v>574</v>
      </c>
      <c r="F325" s="168" t="s">
        <v>1012</v>
      </c>
      <c r="G325" s="168"/>
      <c r="H325" s="168" t="s">
        <v>1014</v>
      </c>
      <c r="I325" s="168" t="s">
        <v>648</v>
      </c>
      <c r="J325" s="169">
        <v>0</v>
      </c>
      <c r="K325" s="169">
        <v>4846.62</v>
      </c>
      <c r="M325" s="8"/>
      <c r="N325" s="8"/>
      <c r="O325" s="8"/>
      <c r="P325" s="8"/>
      <c r="Q325" s="8"/>
      <c r="R325" s="8"/>
      <c r="S325" s="8"/>
      <c r="T325" s="8"/>
      <c r="U325" s="8"/>
      <c r="V325" s="8"/>
    </row>
    <row r="326" spans="2:22" ht="23.25" x14ac:dyDescent="0.25">
      <c r="B326" s="168" t="s">
        <v>598</v>
      </c>
      <c r="C326" s="168" t="s">
        <v>644</v>
      </c>
      <c r="D326" s="168">
        <v>21692</v>
      </c>
      <c r="E326" s="168" t="s">
        <v>574</v>
      </c>
      <c r="F326" s="168" t="s">
        <v>1012</v>
      </c>
      <c r="G326" s="168"/>
      <c r="H326" s="168" t="s">
        <v>1014</v>
      </c>
      <c r="I326" s="168" t="s">
        <v>648</v>
      </c>
      <c r="J326" s="169">
        <v>0</v>
      </c>
      <c r="K326" s="169">
        <v>4846.62</v>
      </c>
      <c r="M326" s="8"/>
      <c r="N326" s="8"/>
      <c r="O326" s="8"/>
      <c r="P326" s="8"/>
      <c r="Q326" s="8"/>
      <c r="R326" s="8"/>
      <c r="S326" s="8"/>
      <c r="T326" s="8"/>
      <c r="U326" s="8"/>
      <c r="V326" s="8"/>
    </row>
    <row r="327" spans="2:22" ht="45.75" x14ac:dyDescent="0.25">
      <c r="B327" s="168" t="s">
        <v>598</v>
      </c>
      <c r="C327" s="168" t="s">
        <v>644</v>
      </c>
      <c r="D327" s="168">
        <v>21692</v>
      </c>
      <c r="E327" s="168" t="s">
        <v>574</v>
      </c>
      <c r="F327" s="168" t="s">
        <v>1012</v>
      </c>
      <c r="G327" s="168" t="s">
        <v>1038</v>
      </c>
      <c r="H327" s="168" t="s">
        <v>1014</v>
      </c>
      <c r="I327" s="168" t="s">
        <v>648</v>
      </c>
      <c r="J327" s="169">
        <v>130</v>
      </c>
      <c r="K327" s="169">
        <v>4976.62</v>
      </c>
      <c r="M327" s="8"/>
      <c r="N327" s="8"/>
      <c r="O327" s="8"/>
      <c r="P327" s="8"/>
      <c r="Q327" s="8"/>
      <c r="R327" s="8"/>
      <c r="S327" s="8"/>
      <c r="T327" s="8"/>
      <c r="U327" s="8"/>
      <c r="V327" s="8"/>
    </row>
    <row r="328" spans="2:22" ht="57" x14ac:dyDescent="0.25">
      <c r="B328" s="168" t="s">
        <v>765</v>
      </c>
      <c r="C328" s="168" t="s">
        <v>573</v>
      </c>
      <c r="D328" s="168"/>
      <c r="E328" s="168" t="s">
        <v>574</v>
      </c>
      <c r="F328" s="168" t="s">
        <v>1023</v>
      </c>
      <c r="G328" s="168" t="s">
        <v>1039</v>
      </c>
      <c r="H328" s="168" t="s">
        <v>1014</v>
      </c>
      <c r="I328" s="168" t="s">
        <v>585</v>
      </c>
      <c r="J328" s="169">
        <v>295</v>
      </c>
      <c r="K328" s="169">
        <v>5271.62</v>
      </c>
      <c r="M328" s="8"/>
      <c r="N328" s="8"/>
      <c r="O328" s="8"/>
      <c r="P328" s="8"/>
      <c r="Q328" s="8"/>
      <c r="R328" s="8"/>
      <c r="S328" s="8"/>
      <c r="T328" s="8"/>
      <c r="U328" s="8"/>
      <c r="V328" s="8"/>
    </row>
    <row r="329" spans="2:22" ht="57" x14ac:dyDescent="0.25">
      <c r="B329" s="168" t="s">
        <v>601</v>
      </c>
      <c r="C329" s="168" t="s">
        <v>573</v>
      </c>
      <c r="D329" s="168"/>
      <c r="E329" s="168" t="s">
        <v>574</v>
      </c>
      <c r="F329" s="168" t="s">
        <v>1023</v>
      </c>
      <c r="G329" s="168" t="s">
        <v>1040</v>
      </c>
      <c r="H329" s="168" t="s">
        <v>1014</v>
      </c>
      <c r="I329" s="168" t="s">
        <v>585</v>
      </c>
      <c r="J329" s="169">
        <v>27.51</v>
      </c>
      <c r="K329" s="169">
        <v>5299.13</v>
      </c>
      <c r="M329" s="8"/>
      <c r="N329" s="8"/>
      <c r="O329" s="8"/>
      <c r="P329" s="8"/>
      <c r="Q329" s="8"/>
      <c r="R329" s="8"/>
      <c r="S329" s="8"/>
      <c r="T329" s="8"/>
      <c r="U329" s="8"/>
      <c r="V329" s="8"/>
    </row>
    <row r="330" spans="2:22" ht="23.25" x14ac:dyDescent="0.25">
      <c r="B330" s="168" t="s">
        <v>1041</v>
      </c>
      <c r="C330" s="168" t="s">
        <v>573</v>
      </c>
      <c r="D330" s="168"/>
      <c r="E330" s="168" t="s">
        <v>574</v>
      </c>
      <c r="F330" s="168" t="s">
        <v>570</v>
      </c>
      <c r="G330" s="168" t="s">
        <v>1042</v>
      </c>
      <c r="H330" s="168" t="s">
        <v>1014</v>
      </c>
      <c r="I330" s="168" t="s">
        <v>577</v>
      </c>
      <c r="J330" s="169">
        <v>36.19</v>
      </c>
      <c r="K330" s="169">
        <v>5335.32</v>
      </c>
      <c r="M330" s="8"/>
      <c r="N330" s="8"/>
      <c r="O330" s="8"/>
      <c r="P330" s="8"/>
      <c r="Q330" s="8"/>
      <c r="R330" s="8"/>
      <c r="S330" s="8"/>
      <c r="T330" s="8"/>
      <c r="U330" s="8"/>
      <c r="V330" s="8"/>
    </row>
    <row r="331" spans="2:22" ht="57" x14ac:dyDescent="0.25">
      <c r="B331" s="168" t="s">
        <v>893</v>
      </c>
      <c r="C331" s="168" t="s">
        <v>573</v>
      </c>
      <c r="D331" s="168"/>
      <c r="E331" s="168" t="s">
        <v>574</v>
      </c>
      <c r="F331" s="168" t="s">
        <v>1023</v>
      </c>
      <c r="G331" s="168" t="s">
        <v>1043</v>
      </c>
      <c r="H331" s="168" t="s">
        <v>1014</v>
      </c>
      <c r="I331" s="168" t="s">
        <v>585</v>
      </c>
      <c r="J331" s="169">
        <v>56.36</v>
      </c>
      <c r="K331" s="169">
        <v>5391.68</v>
      </c>
      <c r="M331" s="8"/>
      <c r="N331" s="8"/>
      <c r="O331" s="8"/>
      <c r="P331" s="8"/>
      <c r="Q331" s="8"/>
      <c r="R331" s="8"/>
      <c r="S331" s="8"/>
      <c r="T331" s="8"/>
      <c r="U331" s="8"/>
      <c r="V331" s="8"/>
    </row>
    <row r="332" spans="2:22" ht="23.25" x14ac:dyDescent="0.25">
      <c r="B332" s="168" t="s">
        <v>606</v>
      </c>
      <c r="C332" s="168" t="s">
        <v>863</v>
      </c>
      <c r="D332" s="168"/>
      <c r="E332" s="168" t="s">
        <v>574</v>
      </c>
      <c r="F332" s="168" t="s">
        <v>1044</v>
      </c>
      <c r="G332" s="168" t="s">
        <v>1044</v>
      </c>
      <c r="H332" s="168" t="s">
        <v>1014</v>
      </c>
      <c r="I332" s="168" t="s">
        <v>577</v>
      </c>
      <c r="J332" s="169">
        <v>-587.5</v>
      </c>
      <c r="K332" s="169">
        <v>4804.18</v>
      </c>
      <c r="M332" s="8"/>
      <c r="N332" s="8"/>
      <c r="O332" s="8"/>
      <c r="P332" s="8"/>
      <c r="Q332" s="8"/>
      <c r="R332" s="8"/>
      <c r="S332" s="8"/>
      <c r="T332" s="8"/>
      <c r="U332" s="8"/>
      <c r="V332" s="8"/>
    </row>
    <row r="333" spans="2:22" ht="57" x14ac:dyDescent="0.25">
      <c r="B333" s="168" t="s">
        <v>1045</v>
      </c>
      <c r="C333" s="168" t="s">
        <v>573</v>
      </c>
      <c r="D333" s="168"/>
      <c r="E333" s="168" t="s">
        <v>574</v>
      </c>
      <c r="F333" s="168" t="s">
        <v>1023</v>
      </c>
      <c r="G333" s="168" t="s">
        <v>1046</v>
      </c>
      <c r="H333" s="168" t="s">
        <v>1014</v>
      </c>
      <c r="I333" s="168" t="s">
        <v>585</v>
      </c>
      <c r="J333" s="169">
        <v>22.59</v>
      </c>
      <c r="K333" s="169">
        <v>4826.7700000000004</v>
      </c>
      <c r="M333" s="8"/>
      <c r="N333" s="8"/>
      <c r="O333" s="8"/>
      <c r="P333" s="8"/>
      <c r="Q333" s="8"/>
      <c r="R333" s="8"/>
      <c r="S333" s="8"/>
      <c r="T333" s="8"/>
      <c r="U333" s="8"/>
      <c r="V333" s="8"/>
    </row>
    <row r="334" spans="2:22" ht="23.25" x14ac:dyDescent="0.25">
      <c r="B334" s="168" t="s">
        <v>768</v>
      </c>
      <c r="C334" s="168" t="s">
        <v>573</v>
      </c>
      <c r="D334" s="168"/>
      <c r="E334" s="168" t="s">
        <v>574</v>
      </c>
      <c r="F334" s="168" t="s">
        <v>1047</v>
      </c>
      <c r="G334" s="168" t="s">
        <v>1048</v>
      </c>
      <c r="H334" s="168" t="s">
        <v>1014</v>
      </c>
      <c r="I334" s="168" t="s">
        <v>602</v>
      </c>
      <c r="J334" s="169">
        <v>19.43</v>
      </c>
      <c r="K334" s="169">
        <v>4846.2</v>
      </c>
      <c r="M334" s="8"/>
      <c r="N334" s="8"/>
      <c r="O334" s="8"/>
      <c r="P334" s="8"/>
      <c r="Q334" s="8"/>
      <c r="R334" s="8"/>
      <c r="S334" s="8"/>
      <c r="T334" s="8"/>
      <c r="U334" s="8"/>
      <c r="V334" s="8"/>
    </row>
    <row r="335" spans="2:22" ht="57" x14ac:dyDescent="0.25">
      <c r="B335" s="168" t="s">
        <v>1049</v>
      </c>
      <c r="C335" s="168" t="s">
        <v>573</v>
      </c>
      <c r="D335" s="168"/>
      <c r="E335" s="168" t="s">
        <v>574</v>
      </c>
      <c r="F335" s="168" t="s">
        <v>1023</v>
      </c>
      <c r="G335" s="168" t="s">
        <v>1050</v>
      </c>
      <c r="H335" s="168" t="s">
        <v>1014</v>
      </c>
      <c r="I335" s="168" t="s">
        <v>585</v>
      </c>
      <c r="J335" s="169">
        <v>19.95</v>
      </c>
      <c r="K335" s="169">
        <v>4866.1499999999996</v>
      </c>
      <c r="M335" s="8"/>
      <c r="N335" s="8"/>
      <c r="O335" s="8"/>
      <c r="P335" s="8"/>
      <c r="Q335" s="8"/>
      <c r="R335" s="8"/>
      <c r="S335" s="8"/>
      <c r="T335" s="8"/>
      <c r="U335" s="8"/>
      <c r="V335" s="8"/>
    </row>
    <row r="336" spans="2:22" ht="23.25" x14ac:dyDescent="0.25">
      <c r="B336" s="168" t="s">
        <v>900</v>
      </c>
      <c r="C336" s="168" t="s">
        <v>644</v>
      </c>
      <c r="D336" s="168">
        <v>22008</v>
      </c>
      <c r="E336" s="168" t="s">
        <v>574</v>
      </c>
      <c r="F336" s="168" t="s">
        <v>1012</v>
      </c>
      <c r="G336" s="168"/>
      <c r="H336" s="168" t="s">
        <v>1014</v>
      </c>
      <c r="I336" s="168" t="s">
        <v>648</v>
      </c>
      <c r="J336" s="169">
        <v>0</v>
      </c>
      <c r="K336" s="169">
        <v>4866.1499999999996</v>
      </c>
      <c r="M336" s="8"/>
      <c r="N336" s="8"/>
      <c r="O336" s="8"/>
      <c r="P336" s="8"/>
      <c r="Q336" s="8"/>
      <c r="R336" s="8"/>
      <c r="S336" s="8"/>
      <c r="T336" s="8"/>
      <c r="U336" s="8"/>
      <c r="V336" s="8"/>
    </row>
    <row r="337" spans="2:22" ht="23.25" x14ac:dyDescent="0.25">
      <c r="B337" s="168" t="s">
        <v>900</v>
      </c>
      <c r="C337" s="168" t="s">
        <v>644</v>
      </c>
      <c r="D337" s="168">
        <v>22008</v>
      </c>
      <c r="E337" s="168" t="s">
        <v>574</v>
      </c>
      <c r="F337" s="168" t="s">
        <v>1012</v>
      </c>
      <c r="G337" s="168"/>
      <c r="H337" s="168" t="s">
        <v>1014</v>
      </c>
      <c r="I337" s="168" t="s">
        <v>648</v>
      </c>
      <c r="J337" s="169">
        <v>0</v>
      </c>
      <c r="K337" s="169">
        <v>4866.1499999999996</v>
      </c>
      <c r="M337" s="8"/>
      <c r="N337" s="8"/>
      <c r="O337" s="8"/>
      <c r="P337" s="8"/>
      <c r="Q337" s="8"/>
      <c r="R337" s="8"/>
      <c r="S337" s="8"/>
      <c r="T337" s="8"/>
      <c r="U337" s="8"/>
      <c r="V337" s="8"/>
    </row>
    <row r="338" spans="2:22" ht="57" x14ac:dyDescent="0.25">
      <c r="B338" s="168" t="s">
        <v>900</v>
      </c>
      <c r="C338" s="168" t="s">
        <v>644</v>
      </c>
      <c r="D338" s="168">
        <v>22008</v>
      </c>
      <c r="E338" s="168" t="s">
        <v>574</v>
      </c>
      <c r="F338" s="168" t="s">
        <v>1012</v>
      </c>
      <c r="G338" s="168" t="s">
        <v>1051</v>
      </c>
      <c r="H338" s="168" t="s">
        <v>1014</v>
      </c>
      <c r="I338" s="168" t="s">
        <v>648</v>
      </c>
      <c r="J338" s="169">
        <v>30</v>
      </c>
      <c r="K338" s="169">
        <v>4896.1499999999996</v>
      </c>
      <c r="M338" s="8"/>
      <c r="N338" s="8"/>
      <c r="O338" s="8"/>
      <c r="P338" s="8"/>
      <c r="Q338" s="8"/>
      <c r="R338" s="8"/>
      <c r="S338" s="8"/>
      <c r="T338" s="8"/>
      <c r="U338" s="8"/>
      <c r="V338" s="8"/>
    </row>
    <row r="339" spans="2:22" ht="57" x14ac:dyDescent="0.25">
      <c r="B339" s="168" t="s">
        <v>901</v>
      </c>
      <c r="C339" s="168" t="s">
        <v>573</v>
      </c>
      <c r="D339" s="168"/>
      <c r="E339" s="168" t="s">
        <v>574</v>
      </c>
      <c r="F339" s="168" t="s">
        <v>1023</v>
      </c>
      <c r="G339" s="168" t="s">
        <v>1052</v>
      </c>
      <c r="H339" s="168" t="s">
        <v>1014</v>
      </c>
      <c r="I339" s="168" t="s">
        <v>585</v>
      </c>
      <c r="J339" s="169">
        <v>16.940000000000001</v>
      </c>
      <c r="K339" s="169">
        <v>4913.09</v>
      </c>
      <c r="M339" s="8"/>
      <c r="N339" s="8"/>
      <c r="O339" s="8"/>
      <c r="P339" s="8"/>
      <c r="Q339" s="8"/>
      <c r="R339" s="8"/>
      <c r="S339" s="8"/>
      <c r="T339" s="8"/>
      <c r="U339" s="8"/>
      <c r="V339" s="8"/>
    </row>
    <row r="340" spans="2:22" ht="57" x14ac:dyDescent="0.25">
      <c r="B340" s="168" t="s">
        <v>775</v>
      </c>
      <c r="C340" s="168" t="s">
        <v>573</v>
      </c>
      <c r="D340" s="168"/>
      <c r="E340" s="168" t="s">
        <v>574</v>
      </c>
      <c r="F340" s="168" t="s">
        <v>1023</v>
      </c>
      <c r="G340" s="168" t="s">
        <v>1053</v>
      </c>
      <c r="H340" s="168" t="s">
        <v>1014</v>
      </c>
      <c r="I340" s="168" t="s">
        <v>585</v>
      </c>
      <c r="J340" s="169">
        <v>295</v>
      </c>
      <c r="K340" s="169">
        <v>5208.09</v>
      </c>
      <c r="M340" s="8"/>
      <c r="N340" s="8"/>
      <c r="O340" s="8"/>
      <c r="P340" s="8"/>
      <c r="Q340" s="8"/>
      <c r="R340" s="8"/>
      <c r="S340" s="8"/>
      <c r="T340" s="8"/>
      <c r="U340" s="8"/>
      <c r="V340" s="8"/>
    </row>
    <row r="341" spans="2:22" ht="57" x14ac:dyDescent="0.25">
      <c r="B341" s="168" t="s">
        <v>737</v>
      </c>
      <c r="C341" s="168" t="s">
        <v>573</v>
      </c>
      <c r="D341" s="168"/>
      <c r="E341" s="168" t="s">
        <v>574</v>
      </c>
      <c r="F341" s="168" t="s">
        <v>1023</v>
      </c>
      <c r="G341" s="168" t="s">
        <v>1054</v>
      </c>
      <c r="H341" s="168" t="s">
        <v>1014</v>
      </c>
      <c r="I341" s="168" t="s">
        <v>585</v>
      </c>
      <c r="J341" s="169">
        <v>13.05</v>
      </c>
      <c r="K341" s="169">
        <v>5221.1400000000003</v>
      </c>
      <c r="M341" s="8"/>
      <c r="N341" s="8"/>
      <c r="O341" s="8"/>
      <c r="P341" s="8"/>
      <c r="Q341" s="8"/>
      <c r="R341" s="8"/>
      <c r="S341" s="8"/>
      <c r="T341" s="8"/>
      <c r="U341" s="8"/>
      <c r="V341" s="8"/>
    </row>
    <row r="342" spans="2:22" ht="57" x14ac:dyDescent="0.25">
      <c r="B342" s="168" t="s">
        <v>1055</v>
      </c>
      <c r="C342" s="168" t="s">
        <v>573</v>
      </c>
      <c r="D342" s="168"/>
      <c r="E342" s="168" t="s">
        <v>574</v>
      </c>
      <c r="F342" s="168" t="s">
        <v>1023</v>
      </c>
      <c r="G342" s="168" t="s">
        <v>1056</v>
      </c>
      <c r="H342" s="168" t="s">
        <v>1014</v>
      </c>
      <c r="I342" s="168" t="s">
        <v>585</v>
      </c>
      <c r="J342" s="169">
        <v>6.86</v>
      </c>
      <c r="K342" s="169">
        <v>5228</v>
      </c>
      <c r="M342" s="8"/>
      <c r="N342" s="8"/>
      <c r="O342" s="8"/>
      <c r="P342" s="8"/>
      <c r="Q342" s="8"/>
      <c r="R342" s="8"/>
      <c r="S342" s="8"/>
      <c r="T342" s="8"/>
      <c r="U342" s="8"/>
      <c r="V342" s="8"/>
    </row>
    <row r="343" spans="2:22" ht="57" x14ac:dyDescent="0.25">
      <c r="B343" s="168" t="s">
        <v>1057</v>
      </c>
      <c r="C343" s="168" t="s">
        <v>573</v>
      </c>
      <c r="D343" s="168"/>
      <c r="E343" s="168" t="s">
        <v>574</v>
      </c>
      <c r="F343" s="168" t="s">
        <v>1023</v>
      </c>
      <c r="G343" s="168" t="s">
        <v>1058</v>
      </c>
      <c r="H343" s="168" t="s">
        <v>1014</v>
      </c>
      <c r="I343" s="168" t="s">
        <v>585</v>
      </c>
      <c r="J343" s="169">
        <v>20.87</v>
      </c>
      <c r="K343" s="169">
        <v>5248.87</v>
      </c>
      <c r="M343" s="8"/>
      <c r="N343" s="8"/>
      <c r="O343" s="8"/>
      <c r="P343" s="8"/>
      <c r="Q343" s="8"/>
      <c r="R343" s="8"/>
      <c r="S343" s="8"/>
      <c r="T343" s="8"/>
      <c r="U343" s="8"/>
      <c r="V343" s="8"/>
    </row>
    <row r="344" spans="2:22" ht="23.25" x14ac:dyDescent="0.25">
      <c r="B344" s="168" t="s">
        <v>615</v>
      </c>
      <c r="C344" s="168" t="s">
        <v>644</v>
      </c>
      <c r="D344" s="168">
        <v>3446</v>
      </c>
      <c r="E344" s="168" t="s">
        <v>574</v>
      </c>
      <c r="F344" s="168" t="s">
        <v>1059</v>
      </c>
      <c r="G344" s="168" t="s">
        <v>1060</v>
      </c>
      <c r="H344" s="168" t="s">
        <v>1014</v>
      </c>
      <c r="I344" s="168" t="s">
        <v>648</v>
      </c>
      <c r="J344" s="169">
        <v>2880</v>
      </c>
      <c r="K344" s="169">
        <v>8128.87</v>
      </c>
      <c r="M344" s="8"/>
      <c r="N344" s="8"/>
      <c r="O344" s="8"/>
      <c r="P344" s="8"/>
      <c r="Q344" s="8"/>
      <c r="R344" s="8"/>
      <c r="S344" s="8"/>
      <c r="T344" s="8"/>
      <c r="U344" s="8"/>
      <c r="V344" s="8"/>
    </row>
    <row r="345" spans="2:22" ht="57" x14ac:dyDescent="0.25">
      <c r="B345" s="168" t="s">
        <v>1061</v>
      </c>
      <c r="C345" s="168" t="s">
        <v>573</v>
      </c>
      <c r="D345" s="168"/>
      <c r="E345" s="168" t="s">
        <v>574</v>
      </c>
      <c r="F345" s="168" t="s">
        <v>1023</v>
      </c>
      <c r="G345" s="168" t="s">
        <v>1062</v>
      </c>
      <c r="H345" s="168" t="s">
        <v>1014</v>
      </c>
      <c r="I345" s="168" t="s">
        <v>585</v>
      </c>
      <c r="J345" s="169">
        <v>295</v>
      </c>
      <c r="K345" s="169">
        <v>8423.8700000000008</v>
      </c>
      <c r="M345" s="8"/>
      <c r="N345" s="8"/>
      <c r="O345" s="8"/>
      <c r="P345" s="8"/>
      <c r="Q345" s="8"/>
      <c r="R345" s="8"/>
      <c r="S345" s="8"/>
      <c r="T345" s="8"/>
      <c r="U345" s="8"/>
      <c r="V345" s="8"/>
    </row>
    <row r="346" spans="2:22" ht="57" x14ac:dyDescent="0.25">
      <c r="B346" s="168" t="s">
        <v>619</v>
      </c>
      <c r="C346" s="168" t="s">
        <v>573</v>
      </c>
      <c r="D346" s="168"/>
      <c r="E346" s="168" t="s">
        <v>574</v>
      </c>
      <c r="F346" s="168" t="s">
        <v>1023</v>
      </c>
      <c r="G346" s="168" t="s">
        <v>1063</v>
      </c>
      <c r="H346" s="168" t="s">
        <v>1014</v>
      </c>
      <c r="I346" s="168" t="s">
        <v>585</v>
      </c>
      <c r="J346" s="169">
        <v>6.86</v>
      </c>
      <c r="K346" s="169">
        <v>8430.73</v>
      </c>
      <c r="M346" s="8"/>
      <c r="N346" s="8"/>
      <c r="O346" s="8"/>
      <c r="P346" s="8"/>
      <c r="Q346" s="8"/>
      <c r="R346" s="8"/>
      <c r="S346" s="8"/>
      <c r="T346" s="8"/>
      <c r="U346" s="8"/>
      <c r="V346" s="8"/>
    </row>
    <row r="347" spans="2:22" ht="68.25" x14ac:dyDescent="0.25">
      <c r="B347" s="168" t="s">
        <v>624</v>
      </c>
      <c r="C347" s="168" t="s">
        <v>573</v>
      </c>
      <c r="D347" s="168"/>
      <c r="E347" s="168" t="s">
        <v>574</v>
      </c>
      <c r="F347" s="168" t="s">
        <v>1023</v>
      </c>
      <c r="G347" s="168" t="s">
        <v>1064</v>
      </c>
      <c r="H347" s="168" t="s">
        <v>1014</v>
      </c>
      <c r="I347" s="168" t="s">
        <v>585</v>
      </c>
      <c r="J347" s="169">
        <v>52.45</v>
      </c>
      <c r="K347" s="169">
        <v>8483.18</v>
      </c>
      <c r="M347" s="8"/>
      <c r="N347" s="8"/>
      <c r="O347" s="8"/>
      <c r="P347" s="8"/>
      <c r="Q347" s="8"/>
      <c r="R347" s="8"/>
      <c r="S347" s="8"/>
      <c r="T347" s="8"/>
      <c r="U347" s="8"/>
      <c r="V347" s="8"/>
    </row>
    <row r="348" spans="2:22" ht="68.25" x14ac:dyDescent="0.25">
      <c r="B348" s="168" t="s">
        <v>1065</v>
      </c>
      <c r="C348" s="168" t="s">
        <v>573</v>
      </c>
      <c r="D348" s="168"/>
      <c r="E348" s="168" t="s">
        <v>574</v>
      </c>
      <c r="F348" s="168" t="s">
        <v>1023</v>
      </c>
      <c r="G348" s="168" t="s">
        <v>1066</v>
      </c>
      <c r="H348" s="168" t="s">
        <v>1014</v>
      </c>
      <c r="I348" s="168" t="s">
        <v>585</v>
      </c>
      <c r="J348" s="169">
        <v>295</v>
      </c>
      <c r="K348" s="169">
        <v>8778.18</v>
      </c>
      <c r="M348" s="8"/>
      <c r="N348" s="8"/>
      <c r="O348" s="8"/>
      <c r="P348" s="8"/>
      <c r="Q348" s="8"/>
      <c r="R348" s="8"/>
      <c r="S348" s="8"/>
      <c r="T348" s="8"/>
      <c r="U348" s="8"/>
      <c r="V348" s="8"/>
    </row>
    <row r="349" spans="2:22" ht="68.25" x14ac:dyDescent="0.25">
      <c r="B349" s="168" t="s">
        <v>1067</v>
      </c>
      <c r="C349" s="168" t="s">
        <v>573</v>
      </c>
      <c r="D349" s="168"/>
      <c r="E349" s="168" t="s">
        <v>574</v>
      </c>
      <c r="F349" s="168" t="s">
        <v>1023</v>
      </c>
      <c r="G349" s="168" t="s">
        <v>1068</v>
      </c>
      <c r="H349" s="168" t="s">
        <v>1014</v>
      </c>
      <c r="I349" s="168" t="s">
        <v>585</v>
      </c>
      <c r="J349" s="169">
        <v>139.94999999999999</v>
      </c>
      <c r="K349" s="169">
        <v>8918.1299999999992</v>
      </c>
      <c r="M349" s="8"/>
      <c r="N349" s="8"/>
      <c r="O349" s="8"/>
      <c r="P349" s="8"/>
      <c r="Q349" s="8"/>
      <c r="R349" s="8"/>
      <c r="S349" s="8"/>
      <c r="T349" s="8"/>
      <c r="U349" s="8"/>
      <c r="V349" s="8"/>
    </row>
    <row r="350" spans="2:22" ht="68.25" x14ac:dyDescent="0.25">
      <c r="B350" s="168" t="s">
        <v>1069</v>
      </c>
      <c r="C350" s="168" t="s">
        <v>573</v>
      </c>
      <c r="D350" s="168"/>
      <c r="E350" s="168" t="s">
        <v>574</v>
      </c>
      <c r="F350" s="168" t="s">
        <v>1023</v>
      </c>
      <c r="G350" s="168" t="s">
        <v>1070</v>
      </c>
      <c r="H350" s="168" t="s">
        <v>1014</v>
      </c>
      <c r="I350" s="168" t="s">
        <v>585</v>
      </c>
      <c r="J350" s="169">
        <v>34.26</v>
      </c>
      <c r="K350" s="169">
        <v>8952.39</v>
      </c>
      <c r="M350" s="8"/>
      <c r="N350" s="8"/>
      <c r="O350" s="8"/>
      <c r="P350" s="8"/>
      <c r="Q350" s="8"/>
      <c r="R350" s="8"/>
      <c r="S350" s="8"/>
      <c r="T350" s="8"/>
      <c r="U350" s="8"/>
      <c r="V350" s="8"/>
    </row>
    <row r="351" spans="2:22" ht="68.25" x14ac:dyDescent="0.25">
      <c r="B351" s="168" t="s">
        <v>1071</v>
      </c>
      <c r="C351" s="168" t="s">
        <v>573</v>
      </c>
      <c r="D351" s="168"/>
      <c r="E351" s="168" t="s">
        <v>574</v>
      </c>
      <c r="F351" s="168" t="s">
        <v>1023</v>
      </c>
      <c r="G351" s="168" t="s">
        <v>1072</v>
      </c>
      <c r="H351" s="168" t="s">
        <v>1014</v>
      </c>
      <c r="I351" s="168" t="s">
        <v>585</v>
      </c>
      <c r="J351" s="169">
        <v>295</v>
      </c>
      <c r="K351" s="169">
        <v>9247.39</v>
      </c>
      <c r="M351" s="8"/>
      <c r="N351" s="8"/>
      <c r="O351" s="8"/>
      <c r="P351" s="8"/>
      <c r="Q351" s="8"/>
      <c r="R351" s="8"/>
      <c r="S351" s="8"/>
      <c r="T351" s="8"/>
      <c r="U351" s="8"/>
      <c r="V351" s="8"/>
    </row>
    <row r="352" spans="2:22" ht="68.25" x14ac:dyDescent="0.25">
      <c r="B352" s="168" t="s">
        <v>1006</v>
      </c>
      <c r="C352" s="168" t="s">
        <v>573</v>
      </c>
      <c r="D352" s="168"/>
      <c r="E352" s="168" t="s">
        <v>574</v>
      </c>
      <c r="F352" s="168" t="s">
        <v>1023</v>
      </c>
      <c r="G352" s="168" t="s">
        <v>1073</v>
      </c>
      <c r="H352" s="168" t="s">
        <v>1014</v>
      </c>
      <c r="I352" s="168" t="s">
        <v>585</v>
      </c>
      <c r="J352" s="169">
        <v>14.54</v>
      </c>
      <c r="K352" s="169">
        <v>9261.93</v>
      </c>
      <c r="M352" s="8"/>
      <c r="N352" s="8"/>
      <c r="O352" s="8"/>
      <c r="P352" s="8"/>
      <c r="Q352" s="8"/>
      <c r="R352" s="8"/>
      <c r="S352" s="8"/>
      <c r="T352" s="8"/>
      <c r="U352" s="8"/>
      <c r="V352" s="8"/>
    </row>
    <row r="353" spans="1:22" ht="34.5" x14ac:dyDescent="0.25">
      <c r="A353" s="167" t="s">
        <v>1074</v>
      </c>
      <c r="J353" s="171">
        <v>9261.93</v>
      </c>
      <c r="M353" s="8"/>
      <c r="N353" s="8"/>
      <c r="O353" s="8">
        <f>J353</f>
        <v>9261.93</v>
      </c>
      <c r="P353" s="8"/>
      <c r="Q353" s="8"/>
      <c r="R353" s="8"/>
      <c r="S353" s="8"/>
      <c r="T353" s="8"/>
      <c r="U353" s="8"/>
      <c r="V353" s="8"/>
    </row>
    <row r="354" spans="1:22" ht="34.5" x14ac:dyDescent="0.25">
      <c r="A354" s="167" t="s">
        <v>1075</v>
      </c>
      <c r="M354" s="8"/>
      <c r="N354" s="8"/>
      <c r="O354" s="8"/>
      <c r="P354" s="8"/>
      <c r="Q354" s="8"/>
      <c r="R354" s="8"/>
      <c r="S354" s="8"/>
      <c r="T354" s="8"/>
      <c r="U354" s="8"/>
      <c r="V354" s="8"/>
    </row>
    <row r="355" spans="1:22" ht="34.5" x14ac:dyDescent="0.25">
      <c r="B355" s="168" t="s">
        <v>1076</v>
      </c>
      <c r="C355" s="168" t="s">
        <v>573</v>
      </c>
      <c r="D355" s="168"/>
      <c r="E355" s="168" t="s">
        <v>574</v>
      </c>
      <c r="F355" s="168" t="s">
        <v>1077</v>
      </c>
      <c r="G355" s="168" t="s">
        <v>1078</v>
      </c>
      <c r="H355" s="168" t="s">
        <v>1079</v>
      </c>
      <c r="I355" s="168" t="s">
        <v>585</v>
      </c>
      <c r="J355" s="169">
        <v>72.290000000000006</v>
      </c>
      <c r="K355" s="169">
        <v>72.290000000000006</v>
      </c>
      <c r="M355" s="8"/>
      <c r="N355" s="8"/>
      <c r="O355" s="8"/>
      <c r="P355" s="8"/>
      <c r="Q355" s="8"/>
      <c r="R355" s="8"/>
      <c r="S355" s="8"/>
      <c r="T355" s="8"/>
      <c r="U355" s="8"/>
      <c r="V355" s="8"/>
    </row>
    <row r="356" spans="1:22" ht="34.5" x14ac:dyDescent="0.25">
      <c r="B356" s="168" t="s">
        <v>1080</v>
      </c>
      <c r="C356" s="168" t="s">
        <v>573</v>
      </c>
      <c r="D356" s="168"/>
      <c r="E356" s="168" t="s">
        <v>574</v>
      </c>
      <c r="F356" s="168" t="s">
        <v>1077</v>
      </c>
      <c r="G356" s="168" t="s">
        <v>1081</v>
      </c>
      <c r="H356" s="168" t="s">
        <v>1079</v>
      </c>
      <c r="I356" s="168" t="s">
        <v>581</v>
      </c>
      <c r="J356" s="169">
        <v>35.15</v>
      </c>
      <c r="K356" s="169">
        <v>107.44</v>
      </c>
      <c r="M356" s="8"/>
      <c r="N356" s="8"/>
      <c r="O356" s="8"/>
      <c r="P356" s="8"/>
      <c r="Q356" s="8"/>
      <c r="R356" s="8"/>
      <c r="S356" s="8"/>
      <c r="T356" s="8"/>
      <c r="U356" s="8"/>
      <c r="V356" s="8"/>
    </row>
    <row r="357" spans="1:22" ht="34.5" x14ac:dyDescent="0.25">
      <c r="B357" s="168" t="s">
        <v>1082</v>
      </c>
      <c r="C357" s="168" t="s">
        <v>573</v>
      </c>
      <c r="D357" s="168"/>
      <c r="E357" s="168" t="s">
        <v>574</v>
      </c>
      <c r="F357" s="168" t="s">
        <v>1077</v>
      </c>
      <c r="G357" s="168" t="s">
        <v>1083</v>
      </c>
      <c r="H357" s="168" t="s">
        <v>1079</v>
      </c>
      <c r="I357" s="168" t="s">
        <v>577</v>
      </c>
      <c r="J357" s="169">
        <v>10.49</v>
      </c>
      <c r="K357" s="169">
        <v>117.93</v>
      </c>
      <c r="M357" s="8"/>
      <c r="N357" s="8"/>
      <c r="O357" s="8"/>
      <c r="P357" s="8"/>
      <c r="Q357" s="8"/>
      <c r="R357" s="8"/>
      <c r="S357" s="8"/>
      <c r="T357" s="8"/>
      <c r="U357" s="8"/>
      <c r="V357" s="8"/>
    </row>
    <row r="358" spans="1:22" ht="34.5" x14ac:dyDescent="0.25">
      <c r="B358" s="168" t="s">
        <v>912</v>
      </c>
      <c r="C358" s="168" t="s">
        <v>573</v>
      </c>
      <c r="D358" s="168"/>
      <c r="E358" s="168" t="s">
        <v>574</v>
      </c>
      <c r="F358" s="168" t="s">
        <v>1077</v>
      </c>
      <c r="G358" s="168" t="s">
        <v>1084</v>
      </c>
      <c r="H358" s="168" t="s">
        <v>1079</v>
      </c>
      <c r="I358" s="168" t="s">
        <v>577</v>
      </c>
      <c r="J358" s="169">
        <v>25.98</v>
      </c>
      <c r="K358" s="169">
        <v>143.91</v>
      </c>
      <c r="M358" s="8"/>
      <c r="N358" s="8"/>
      <c r="O358" s="8"/>
      <c r="P358" s="8"/>
      <c r="Q358" s="8"/>
      <c r="R358" s="8"/>
      <c r="S358" s="8"/>
      <c r="T358" s="8"/>
      <c r="U358" s="8"/>
      <c r="V358" s="8"/>
    </row>
    <row r="359" spans="1:22" ht="34.5" x14ac:dyDescent="0.25">
      <c r="B359" s="168" t="s">
        <v>1061</v>
      </c>
      <c r="C359" s="168" t="s">
        <v>573</v>
      </c>
      <c r="D359" s="168"/>
      <c r="E359" s="168" t="s">
        <v>574</v>
      </c>
      <c r="F359" s="168" t="s">
        <v>1077</v>
      </c>
      <c r="G359" s="168" t="s">
        <v>1084</v>
      </c>
      <c r="H359" s="168" t="s">
        <v>1079</v>
      </c>
      <c r="I359" s="168" t="s">
        <v>577</v>
      </c>
      <c r="J359" s="169">
        <v>30.37</v>
      </c>
      <c r="K359" s="169">
        <v>174.28</v>
      </c>
      <c r="M359" s="8"/>
      <c r="N359" s="8"/>
      <c r="O359" s="8"/>
      <c r="P359" s="8"/>
      <c r="Q359" s="8"/>
      <c r="R359" s="8"/>
      <c r="S359" s="8"/>
      <c r="T359" s="8"/>
      <c r="U359" s="8"/>
      <c r="V359" s="8"/>
    </row>
    <row r="360" spans="1:22" ht="34.5" x14ac:dyDescent="0.25">
      <c r="B360" s="168" t="s">
        <v>927</v>
      </c>
      <c r="C360" s="168" t="s">
        <v>573</v>
      </c>
      <c r="D360" s="168"/>
      <c r="E360" s="168" t="s">
        <v>574</v>
      </c>
      <c r="F360" s="168" t="s">
        <v>1077</v>
      </c>
      <c r="G360" s="168" t="s">
        <v>1085</v>
      </c>
      <c r="H360" s="168" t="s">
        <v>1079</v>
      </c>
      <c r="I360" s="168" t="s">
        <v>577</v>
      </c>
      <c r="J360" s="169">
        <v>4.1900000000000004</v>
      </c>
      <c r="K360" s="169">
        <v>178.47</v>
      </c>
      <c r="M360" s="8"/>
      <c r="N360" s="8"/>
      <c r="O360" s="8"/>
      <c r="P360" s="8"/>
      <c r="Q360" s="8"/>
      <c r="R360" s="8"/>
      <c r="S360" s="8"/>
      <c r="T360" s="8"/>
      <c r="U360" s="8"/>
      <c r="V360" s="8"/>
    </row>
    <row r="361" spans="1:22" ht="45.75" x14ac:dyDescent="0.25">
      <c r="A361" s="167" t="s">
        <v>1086</v>
      </c>
      <c r="J361" s="171">
        <v>178.47</v>
      </c>
      <c r="M361" s="8"/>
      <c r="N361" s="8"/>
      <c r="O361" s="8">
        <f>J361</f>
        <v>178.47</v>
      </c>
      <c r="P361" s="8"/>
      <c r="Q361" s="8"/>
      <c r="R361" s="8"/>
      <c r="S361" s="8"/>
      <c r="T361" s="8"/>
      <c r="U361" s="8"/>
      <c r="V361" s="8"/>
    </row>
    <row r="362" spans="1:22" ht="45.75" x14ac:dyDescent="0.25">
      <c r="A362" s="167" t="s">
        <v>1087</v>
      </c>
      <c r="J362" s="171">
        <v>9440.4</v>
      </c>
      <c r="M362" s="8"/>
      <c r="N362" s="8"/>
      <c r="O362" s="8"/>
      <c r="P362" s="8"/>
      <c r="Q362" s="8"/>
      <c r="R362" s="8"/>
      <c r="S362" s="8"/>
      <c r="T362" s="8"/>
      <c r="U362" s="8"/>
      <c r="V362" s="8"/>
    </row>
    <row r="363" spans="1:22" ht="34.5" x14ac:dyDescent="0.25">
      <c r="A363" s="167" t="s">
        <v>1088</v>
      </c>
      <c r="M363" s="8"/>
      <c r="N363" s="8"/>
      <c r="O363" s="8"/>
      <c r="P363" s="8"/>
      <c r="Q363" s="8"/>
      <c r="R363" s="8"/>
      <c r="S363" s="8"/>
      <c r="T363" s="8"/>
      <c r="U363" s="8"/>
      <c r="V363" s="8"/>
    </row>
    <row r="364" spans="1:22" ht="34.5" x14ac:dyDescent="0.25">
      <c r="B364" s="168" t="s">
        <v>1089</v>
      </c>
      <c r="C364" s="168" t="s">
        <v>573</v>
      </c>
      <c r="D364" s="168"/>
      <c r="E364" s="168" t="s">
        <v>574</v>
      </c>
      <c r="F364" s="168" t="s">
        <v>1090</v>
      </c>
      <c r="G364" s="168" t="s">
        <v>1091</v>
      </c>
      <c r="H364" s="168" t="s">
        <v>1092</v>
      </c>
      <c r="I364" s="168" t="s">
        <v>577</v>
      </c>
      <c r="J364" s="169">
        <v>9.99</v>
      </c>
      <c r="K364" s="169">
        <v>9.99</v>
      </c>
      <c r="M364" s="8"/>
      <c r="N364" s="8"/>
      <c r="O364" s="8"/>
      <c r="P364" s="8"/>
      <c r="Q364" s="8"/>
      <c r="R364" s="8"/>
      <c r="S364" s="8"/>
      <c r="T364" s="8"/>
      <c r="U364" s="8"/>
      <c r="V364" s="8"/>
    </row>
    <row r="365" spans="1:22" ht="68.25" x14ac:dyDescent="0.25">
      <c r="B365" s="168" t="s">
        <v>586</v>
      </c>
      <c r="C365" s="168" t="s">
        <v>573</v>
      </c>
      <c r="D365" s="168"/>
      <c r="E365" s="168" t="s">
        <v>574</v>
      </c>
      <c r="F365" s="168" t="s">
        <v>250</v>
      </c>
      <c r="G365" s="168" t="s">
        <v>1093</v>
      </c>
      <c r="H365" s="168" t="s">
        <v>1092</v>
      </c>
      <c r="I365" s="168" t="s">
        <v>739</v>
      </c>
      <c r="J365" s="169">
        <v>12.94</v>
      </c>
      <c r="K365" s="169">
        <v>22.93</v>
      </c>
      <c r="M365" s="8"/>
      <c r="N365" s="8"/>
      <c r="O365" s="8"/>
      <c r="P365" s="8"/>
      <c r="Q365" s="8"/>
      <c r="R365" s="8"/>
      <c r="S365" s="8"/>
      <c r="T365" s="8"/>
      <c r="U365" s="8"/>
      <c r="V365" s="8"/>
    </row>
    <row r="366" spans="1:22" ht="79.5" x14ac:dyDescent="0.25">
      <c r="B366" s="168" t="s">
        <v>1076</v>
      </c>
      <c r="C366" s="168" t="s">
        <v>573</v>
      </c>
      <c r="D366" s="168"/>
      <c r="E366" s="168" t="s">
        <v>574</v>
      </c>
      <c r="F366" s="168" t="s">
        <v>250</v>
      </c>
      <c r="G366" s="168" t="s">
        <v>1094</v>
      </c>
      <c r="H366" s="168" t="s">
        <v>1092</v>
      </c>
      <c r="I366" s="168" t="s">
        <v>739</v>
      </c>
      <c r="J366" s="169">
        <v>10.81</v>
      </c>
      <c r="K366" s="169">
        <v>33.74</v>
      </c>
      <c r="M366" s="8"/>
      <c r="N366" s="8"/>
      <c r="O366" s="8"/>
      <c r="P366" s="8"/>
      <c r="Q366" s="8"/>
      <c r="R366" s="8"/>
      <c r="S366" s="8"/>
      <c r="T366" s="8"/>
      <c r="U366" s="8"/>
      <c r="V366" s="8"/>
    </row>
    <row r="367" spans="1:22" ht="34.5" x14ac:dyDescent="0.25">
      <c r="B367" s="168" t="s">
        <v>1095</v>
      </c>
      <c r="C367" s="168" t="s">
        <v>573</v>
      </c>
      <c r="D367" s="168"/>
      <c r="E367" s="168" t="s">
        <v>574</v>
      </c>
      <c r="F367" s="168" t="s">
        <v>1090</v>
      </c>
      <c r="G367" s="168" t="s">
        <v>1091</v>
      </c>
      <c r="H367" s="168" t="s">
        <v>1092</v>
      </c>
      <c r="I367" s="168" t="s">
        <v>577</v>
      </c>
      <c r="J367" s="169">
        <v>9.99</v>
      </c>
      <c r="K367" s="169">
        <v>43.73</v>
      </c>
      <c r="M367" s="8"/>
      <c r="N367" s="8"/>
      <c r="O367" s="8"/>
      <c r="P367" s="8"/>
      <c r="Q367" s="8"/>
      <c r="R367" s="8"/>
      <c r="S367" s="8"/>
      <c r="T367" s="8"/>
      <c r="U367" s="8"/>
      <c r="V367" s="8"/>
    </row>
    <row r="368" spans="1:22" ht="34.5" x14ac:dyDescent="0.25">
      <c r="B368" s="168" t="s">
        <v>733</v>
      </c>
      <c r="C368" s="168" t="s">
        <v>573</v>
      </c>
      <c r="D368" s="168"/>
      <c r="E368" s="168" t="s">
        <v>574</v>
      </c>
      <c r="F368" s="168" t="s">
        <v>1090</v>
      </c>
      <c r="G368" s="168" t="s">
        <v>1091</v>
      </c>
      <c r="H368" s="168" t="s">
        <v>1092</v>
      </c>
      <c r="I368" s="168" t="s">
        <v>577</v>
      </c>
      <c r="J368" s="169">
        <v>9.99</v>
      </c>
      <c r="K368" s="169">
        <v>53.72</v>
      </c>
      <c r="M368" s="8"/>
      <c r="N368" s="8"/>
      <c r="O368" s="8"/>
      <c r="P368" s="8"/>
      <c r="Q368" s="8"/>
      <c r="R368" s="8"/>
      <c r="S368" s="8"/>
      <c r="T368" s="8"/>
      <c r="U368" s="8"/>
      <c r="V368" s="8"/>
    </row>
    <row r="369" spans="1:26" ht="34.5" x14ac:dyDescent="0.25">
      <c r="B369" s="168" t="s">
        <v>711</v>
      </c>
      <c r="C369" s="168" t="s">
        <v>573</v>
      </c>
      <c r="D369" s="168"/>
      <c r="E369" s="168" t="s">
        <v>574</v>
      </c>
      <c r="F369" s="168" t="s">
        <v>1090</v>
      </c>
      <c r="G369" s="168" t="s">
        <v>1091</v>
      </c>
      <c r="H369" s="168" t="s">
        <v>1092</v>
      </c>
      <c r="I369" s="168" t="s">
        <v>577</v>
      </c>
      <c r="J369" s="169">
        <v>9.99</v>
      </c>
      <c r="K369" s="169">
        <v>63.71</v>
      </c>
      <c r="M369" s="8"/>
      <c r="N369" s="8"/>
      <c r="O369" s="8"/>
      <c r="P369" s="8"/>
      <c r="Q369" s="8"/>
      <c r="R369" s="8"/>
      <c r="S369" s="8"/>
      <c r="T369" s="8"/>
      <c r="U369" s="8"/>
      <c r="V369" s="8"/>
    </row>
    <row r="370" spans="1:26" ht="34.5" x14ac:dyDescent="0.25">
      <c r="B370" s="168" t="s">
        <v>1057</v>
      </c>
      <c r="C370" s="168" t="s">
        <v>573</v>
      </c>
      <c r="D370" s="168"/>
      <c r="E370" s="168" t="s">
        <v>574</v>
      </c>
      <c r="F370" s="168" t="s">
        <v>1096</v>
      </c>
      <c r="G370" s="168" t="s">
        <v>1097</v>
      </c>
      <c r="H370" s="168" t="s">
        <v>1092</v>
      </c>
      <c r="I370" s="168" t="s">
        <v>742</v>
      </c>
      <c r="J370" s="169">
        <v>71.88</v>
      </c>
      <c r="K370" s="169">
        <v>135.59</v>
      </c>
      <c r="M370" s="8"/>
      <c r="N370" s="8"/>
      <c r="O370" s="8"/>
      <c r="P370" s="8"/>
      <c r="Q370" s="8"/>
      <c r="R370" s="8"/>
      <c r="S370" s="8"/>
      <c r="T370" s="8"/>
      <c r="U370" s="8"/>
      <c r="V370" s="8"/>
    </row>
    <row r="371" spans="1:26" ht="34.5" x14ac:dyDescent="0.25">
      <c r="B371" s="168" t="s">
        <v>1061</v>
      </c>
      <c r="C371" s="168" t="s">
        <v>573</v>
      </c>
      <c r="D371" s="168"/>
      <c r="E371" s="168" t="s">
        <v>574</v>
      </c>
      <c r="F371" s="168" t="s">
        <v>1090</v>
      </c>
      <c r="G371" s="168" t="s">
        <v>1091</v>
      </c>
      <c r="H371" s="168" t="s">
        <v>1092</v>
      </c>
      <c r="I371" s="168" t="s">
        <v>577</v>
      </c>
      <c r="J371" s="169">
        <v>9.99</v>
      </c>
      <c r="K371" s="169">
        <v>145.58000000000001</v>
      </c>
      <c r="M371" s="8"/>
      <c r="N371" s="8"/>
      <c r="O371" s="8"/>
      <c r="P371" s="8"/>
      <c r="Q371" s="8"/>
      <c r="R371" s="8"/>
      <c r="S371" s="8"/>
      <c r="T371" s="8"/>
      <c r="U371" s="8"/>
      <c r="V371" s="8"/>
    </row>
    <row r="372" spans="1:26" ht="34.5" x14ac:dyDescent="0.25">
      <c r="B372" s="168" t="s">
        <v>930</v>
      </c>
      <c r="C372" s="168" t="s">
        <v>573</v>
      </c>
      <c r="D372" s="168"/>
      <c r="E372" s="168" t="s">
        <v>574</v>
      </c>
      <c r="F372" s="168" t="s">
        <v>1090</v>
      </c>
      <c r="G372" s="168" t="s">
        <v>1098</v>
      </c>
      <c r="H372" s="168" t="s">
        <v>1092</v>
      </c>
      <c r="I372" s="168" t="s">
        <v>577</v>
      </c>
      <c r="J372" s="169">
        <v>9.99</v>
      </c>
      <c r="K372" s="169">
        <v>155.57</v>
      </c>
      <c r="M372" s="8"/>
      <c r="N372" s="8"/>
      <c r="O372" s="8"/>
      <c r="P372" s="8"/>
      <c r="Q372" s="8"/>
      <c r="R372" s="8"/>
      <c r="S372" s="8"/>
      <c r="T372" s="8"/>
      <c r="U372" s="8"/>
      <c r="V372" s="8"/>
    </row>
    <row r="373" spans="1:26" ht="34.5" x14ac:dyDescent="0.25">
      <c r="B373" s="168" t="s">
        <v>635</v>
      </c>
      <c r="C373" s="168" t="s">
        <v>573</v>
      </c>
      <c r="D373" s="168"/>
      <c r="E373" s="168" t="s">
        <v>574</v>
      </c>
      <c r="F373" s="168"/>
      <c r="G373" s="168" t="s">
        <v>1099</v>
      </c>
      <c r="H373" s="168" t="s">
        <v>1092</v>
      </c>
      <c r="I373" s="168" t="s">
        <v>585</v>
      </c>
      <c r="J373" s="169">
        <v>2000</v>
      </c>
      <c r="K373" s="169">
        <v>2155.5700000000002</v>
      </c>
      <c r="M373" s="8"/>
      <c r="N373" s="8"/>
      <c r="O373" s="8"/>
      <c r="P373" s="8"/>
      <c r="Q373" s="8"/>
      <c r="R373" s="8"/>
      <c r="S373" s="8"/>
      <c r="T373" s="8"/>
      <c r="U373" s="8"/>
      <c r="V373" s="8"/>
    </row>
    <row r="374" spans="1:26" ht="34.5" x14ac:dyDescent="0.25">
      <c r="B374" s="168" t="s">
        <v>971</v>
      </c>
      <c r="C374" s="168" t="s">
        <v>573</v>
      </c>
      <c r="D374" s="168"/>
      <c r="E374" s="168" t="s">
        <v>574</v>
      </c>
      <c r="F374" s="168"/>
      <c r="G374" s="168" t="s">
        <v>1100</v>
      </c>
      <c r="H374" s="168" t="s">
        <v>1092</v>
      </c>
      <c r="I374" s="168" t="s">
        <v>585</v>
      </c>
      <c r="J374" s="169">
        <v>2000</v>
      </c>
      <c r="K374" s="169">
        <v>4155.57</v>
      </c>
      <c r="M374" s="8"/>
      <c r="N374" s="8"/>
      <c r="O374" s="8"/>
      <c r="P374" s="8"/>
      <c r="Q374" s="8"/>
      <c r="R374" s="8"/>
      <c r="S374" s="8"/>
      <c r="T374" s="8"/>
      <c r="U374" s="8"/>
      <c r="V374" s="8"/>
    </row>
    <row r="375" spans="1:26" ht="34.5" x14ac:dyDescent="0.25">
      <c r="A375" s="167" t="s">
        <v>1101</v>
      </c>
      <c r="J375" s="171">
        <v>4155.57</v>
      </c>
      <c r="M375" s="8"/>
      <c r="N375" s="8"/>
      <c r="O375" s="8"/>
      <c r="P375" s="8">
        <f>J375</f>
        <v>4155.57</v>
      </c>
      <c r="Q375" s="8"/>
      <c r="R375" s="8"/>
      <c r="S375" s="8"/>
      <c r="T375" s="8"/>
      <c r="U375" s="8"/>
      <c r="V375" s="8"/>
    </row>
    <row r="376" spans="1:26" ht="57" x14ac:dyDescent="0.25">
      <c r="A376" s="167" t="s">
        <v>1102</v>
      </c>
      <c r="J376" s="171">
        <v>120729.75</v>
      </c>
      <c r="M376" s="8"/>
      <c r="N376" s="8"/>
      <c r="O376" s="8"/>
      <c r="P376" s="8"/>
      <c r="Q376" s="8"/>
      <c r="R376" s="8"/>
      <c r="S376" s="8"/>
      <c r="T376" s="8"/>
      <c r="U376" s="8"/>
      <c r="V376" s="8"/>
    </row>
    <row r="377" spans="1:26" x14ac:dyDescent="0.25">
      <c r="A377" s="167" t="s">
        <v>1103</v>
      </c>
      <c r="J377" s="171">
        <v>120729.75</v>
      </c>
      <c r="M377" s="8">
        <f>SUM(M7:M376)</f>
        <v>8845.35</v>
      </c>
      <c r="N377" s="8">
        <f t="shared" ref="N377:Z377" si="10">SUM(N7:N376)</f>
        <v>54271.08</v>
      </c>
      <c r="O377" s="8">
        <f t="shared" si="10"/>
        <v>9440.4</v>
      </c>
      <c r="P377" s="8">
        <f t="shared" si="10"/>
        <v>4155.57</v>
      </c>
      <c r="Q377" s="8">
        <f t="shared" si="10"/>
        <v>10371.149999999998</v>
      </c>
      <c r="R377" s="8">
        <f t="shared" si="10"/>
        <v>9689.4600000000009</v>
      </c>
      <c r="S377" s="8">
        <f t="shared" si="10"/>
        <v>530.20000000000005</v>
      </c>
      <c r="T377" s="8">
        <f t="shared" si="10"/>
        <v>2267.2200000000003</v>
      </c>
      <c r="U377" s="8">
        <f t="shared" si="10"/>
        <v>2816.38</v>
      </c>
      <c r="V377" s="8">
        <f t="shared" si="10"/>
        <v>639.09</v>
      </c>
      <c r="W377" s="8">
        <f t="shared" si="10"/>
        <v>4639.33</v>
      </c>
      <c r="X377" s="8">
        <f t="shared" si="10"/>
        <v>359.52000000000004</v>
      </c>
      <c r="Y377" s="8">
        <f t="shared" si="10"/>
        <v>2705</v>
      </c>
      <c r="Z377" s="8">
        <f t="shared" si="10"/>
        <v>10000</v>
      </c>
    </row>
    <row r="378" spans="1:26" x14ac:dyDescent="0.25">
      <c r="M378" s="8"/>
      <c r="N378" s="8"/>
      <c r="O378" s="8"/>
      <c r="P378" s="8"/>
      <c r="Q378" s="8"/>
      <c r="R378" s="8"/>
      <c r="S378" s="8"/>
      <c r="T378" s="8"/>
      <c r="U378" s="8"/>
      <c r="V378" s="8"/>
    </row>
    <row r="379" spans="1:26" x14ac:dyDescent="0.25">
      <c r="M379" s="8"/>
      <c r="N379" s="8"/>
      <c r="O379" s="8"/>
      <c r="P379" s="8"/>
      <c r="Q379" s="8"/>
      <c r="R379" s="8"/>
      <c r="S379" s="8"/>
      <c r="T379" s="8"/>
      <c r="U379" s="8"/>
      <c r="V379" s="8"/>
    </row>
    <row r="380" spans="1:26" x14ac:dyDescent="0.25">
      <c r="A380" s="266" t="s">
        <v>1104</v>
      </c>
      <c r="B380" s="264"/>
      <c r="C380" s="264"/>
      <c r="D380" s="264"/>
      <c r="E380" s="264"/>
      <c r="F380" s="264"/>
      <c r="G380" s="264"/>
      <c r="H380" s="264"/>
      <c r="I380" s="264"/>
      <c r="J380" s="264"/>
      <c r="K380" s="264"/>
    </row>
  </sheetData>
  <mergeCells count="4">
    <mergeCell ref="A1:K1"/>
    <mergeCell ref="A2:K2"/>
    <mergeCell ref="A3:K3"/>
    <mergeCell ref="A380:K38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C279-1914-4B95-A94B-61DEFD29BC13}">
  <dimension ref="A1:K339"/>
  <sheetViews>
    <sheetView workbookViewId="0">
      <selection activeCell="AS53" sqref="AS53"/>
    </sheetView>
  </sheetViews>
  <sheetFormatPr defaultColWidth="8.85546875" defaultRowHeight="15" x14ac:dyDescent="0.25"/>
  <cols>
    <col min="1" max="1" width="23.140625" customWidth="1"/>
    <col min="2" max="2" width="9.42578125" customWidth="1"/>
    <col min="3" max="3" width="16.28515625" customWidth="1"/>
    <col min="4" max="5" width="7.7109375" customWidth="1"/>
    <col min="6" max="6" width="24.85546875" customWidth="1"/>
    <col min="7" max="7" width="86.85546875" customWidth="1"/>
    <col min="8" max="8" width="11.140625" customWidth="1"/>
    <col min="9" max="9" width="34.42578125" customWidth="1"/>
    <col min="10" max="10" width="10.28515625" customWidth="1"/>
    <col min="11" max="11" width="7.7109375" customWidth="1"/>
  </cols>
  <sheetData>
    <row r="1" spans="1:11" ht="18" x14ac:dyDescent="0.25">
      <c r="A1" s="263" t="s">
        <v>146</v>
      </c>
      <c r="B1" s="264"/>
      <c r="C1" s="264"/>
      <c r="D1" s="264"/>
      <c r="E1" s="264"/>
      <c r="F1" s="264"/>
      <c r="G1" s="264"/>
      <c r="H1" s="264"/>
      <c r="I1" s="264"/>
      <c r="J1" s="264"/>
      <c r="K1" s="264"/>
    </row>
    <row r="2" spans="1:11" ht="18" x14ac:dyDescent="0.25">
      <c r="A2" s="263" t="s">
        <v>548</v>
      </c>
      <c r="B2" s="264"/>
      <c r="C2" s="264"/>
      <c r="D2" s="264"/>
      <c r="E2" s="264"/>
      <c r="F2" s="264"/>
      <c r="G2" s="264"/>
      <c r="H2" s="264"/>
      <c r="I2" s="264"/>
      <c r="J2" s="264"/>
      <c r="K2" s="264"/>
    </row>
    <row r="3" spans="1:11" x14ac:dyDescent="0.25">
      <c r="A3" s="265" t="s">
        <v>549</v>
      </c>
      <c r="B3" s="264"/>
      <c r="C3" s="264"/>
      <c r="D3" s="264"/>
      <c r="E3" s="264"/>
      <c r="F3" s="264"/>
      <c r="G3" s="264"/>
      <c r="H3" s="264"/>
      <c r="I3" s="264"/>
      <c r="J3" s="264"/>
      <c r="K3" s="264"/>
    </row>
    <row r="5" spans="1:11" x14ac:dyDescent="0.25">
      <c r="B5" s="37" t="s">
        <v>550</v>
      </c>
      <c r="C5" s="37" t="s">
        <v>551</v>
      </c>
      <c r="D5" s="37" t="s">
        <v>552</v>
      </c>
      <c r="E5" s="37" t="s">
        <v>553</v>
      </c>
      <c r="F5" s="37" t="s">
        <v>554</v>
      </c>
      <c r="G5" s="37" t="s">
        <v>555</v>
      </c>
      <c r="H5" s="37" t="s">
        <v>556</v>
      </c>
      <c r="I5" s="37" t="s">
        <v>557</v>
      </c>
      <c r="J5" s="37" t="s">
        <v>558</v>
      </c>
      <c r="K5" s="37" t="s">
        <v>559</v>
      </c>
    </row>
    <row r="6" spans="1:11" x14ac:dyDescent="0.25">
      <c r="A6" s="167" t="s">
        <v>167</v>
      </c>
    </row>
    <row r="7" spans="1:11" x14ac:dyDescent="0.25">
      <c r="B7" s="168" t="s">
        <v>572</v>
      </c>
      <c r="C7" s="168" t="s">
        <v>573</v>
      </c>
      <c r="D7" s="168"/>
      <c r="E7" s="168" t="s">
        <v>574</v>
      </c>
      <c r="F7" s="168" t="s">
        <v>1105</v>
      </c>
      <c r="G7" s="168" t="s">
        <v>1106</v>
      </c>
      <c r="H7" s="168" t="s">
        <v>1107</v>
      </c>
      <c r="I7" s="168" t="s">
        <v>581</v>
      </c>
      <c r="J7" s="169">
        <v>22.91</v>
      </c>
      <c r="K7" s="169">
        <v>22.91</v>
      </c>
    </row>
    <row r="8" spans="1:11" x14ac:dyDescent="0.25">
      <c r="B8" s="168" t="s">
        <v>572</v>
      </c>
      <c r="C8" s="168" t="s">
        <v>573</v>
      </c>
      <c r="D8" s="168"/>
      <c r="E8" s="168" t="s">
        <v>574</v>
      </c>
      <c r="F8" s="168" t="s">
        <v>1108</v>
      </c>
      <c r="G8" s="168" t="s">
        <v>1109</v>
      </c>
      <c r="H8" s="168" t="s">
        <v>1107</v>
      </c>
      <c r="I8" s="168" t="s">
        <v>581</v>
      </c>
      <c r="J8" s="169">
        <v>16</v>
      </c>
      <c r="K8" s="169">
        <v>38.909999999999997</v>
      </c>
    </row>
    <row r="9" spans="1:11" x14ac:dyDescent="0.25">
      <c r="B9" s="168" t="s">
        <v>1110</v>
      </c>
      <c r="C9" s="168" t="s">
        <v>573</v>
      </c>
      <c r="D9" s="168"/>
      <c r="E9" s="168" t="s">
        <v>574</v>
      </c>
      <c r="F9" s="168" t="s">
        <v>1108</v>
      </c>
      <c r="G9" s="168" t="s">
        <v>1111</v>
      </c>
      <c r="H9" s="168" t="s">
        <v>1107</v>
      </c>
      <c r="I9" s="168" t="s">
        <v>581</v>
      </c>
      <c r="J9" s="169">
        <v>1.99</v>
      </c>
      <c r="K9" s="169">
        <v>40.9</v>
      </c>
    </row>
    <row r="10" spans="1:11" x14ac:dyDescent="0.25">
      <c r="B10" s="168" t="s">
        <v>1110</v>
      </c>
      <c r="C10" s="168" t="s">
        <v>573</v>
      </c>
      <c r="D10" s="168"/>
      <c r="E10" s="168" t="s">
        <v>574</v>
      </c>
      <c r="F10" s="168" t="s">
        <v>1108</v>
      </c>
      <c r="G10" s="168" t="s">
        <v>1112</v>
      </c>
      <c r="H10" s="168" t="s">
        <v>1107</v>
      </c>
      <c r="I10" s="168" t="s">
        <v>602</v>
      </c>
      <c r="J10" s="169">
        <v>26.59</v>
      </c>
      <c r="K10" s="169">
        <v>67.489999999999995</v>
      </c>
    </row>
    <row r="11" spans="1:11" x14ac:dyDescent="0.25">
      <c r="B11" s="168" t="s">
        <v>1110</v>
      </c>
      <c r="C11" s="168" t="s">
        <v>573</v>
      </c>
      <c r="D11" s="168"/>
      <c r="E11" s="168" t="s">
        <v>574</v>
      </c>
      <c r="F11" s="168" t="s">
        <v>1108</v>
      </c>
      <c r="G11" s="168" t="s">
        <v>1111</v>
      </c>
      <c r="H11" s="168" t="s">
        <v>1107</v>
      </c>
      <c r="I11" s="168" t="s">
        <v>581</v>
      </c>
      <c r="J11" s="169">
        <v>29.55</v>
      </c>
      <c r="K11" s="169">
        <v>97.04</v>
      </c>
    </row>
    <row r="12" spans="1:11" x14ac:dyDescent="0.25">
      <c r="B12" s="168" t="s">
        <v>1113</v>
      </c>
      <c r="C12" s="168" t="s">
        <v>573</v>
      </c>
      <c r="D12" s="168"/>
      <c r="E12" s="168" t="s">
        <v>574</v>
      </c>
      <c r="F12" s="168" t="s">
        <v>1114</v>
      </c>
      <c r="G12" s="168" t="s">
        <v>1115</v>
      </c>
      <c r="H12" s="168" t="s">
        <v>1107</v>
      </c>
      <c r="I12" s="168" t="s">
        <v>581</v>
      </c>
      <c r="J12" s="169">
        <v>18.47</v>
      </c>
      <c r="K12" s="169">
        <v>115.51</v>
      </c>
    </row>
    <row r="13" spans="1:11" x14ac:dyDescent="0.25">
      <c r="B13" s="168" t="s">
        <v>1113</v>
      </c>
      <c r="C13" s="168" t="s">
        <v>573</v>
      </c>
      <c r="D13" s="168"/>
      <c r="E13" s="168" t="s">
        <v>574</v>
      </c>
      <c r="F13" s="168" t="s">
        <v>1114</v>
      </c>
      <c r="G13" s="168" t="s">
        <v>1115</v>
      </c>
      <c r="H13" s="168" t="s">
        <v>1107</v>
      </c>
      <c r="I13" s="168" t="s">
        <v>581</v>
      </c>
      <c r="J13" s="169">
        <v>27.99</v>
      </c>
      <c r="K13" s="169">
        <v>143.5</v>
      </c>
    </row>
    <row r="14" spans="1:11" x14ac:dyDescent="0.25">
      <c r="B14" s="168" t="s">
        <v>747</v>
      </c>
      <c r="C14" s="168" t="s">
        <v>573</v>
      </c>
      <c r="D14" s="168"/>
      <c r="E14" s="168" t="s">
        <v>574</v>
      </c>
      <c r="F14" s="168" t="s">
        <v>1105</v>
      </c>
      <c r="G14" s="168" t="s">
        <v>1116</v>
      </c>
      <c r="H14" s="168" t="s">
        <v>1107</v>
      </c>
      <c r="I14" s="168" t="s">
        <v>581</v>
      </c>
      <c r="J14" s="169">
        <v>12.76</v>
      </c>
      <c r="K14" s="169">
        <v>156.26</v>
      </c>
    </row>
    <row r="15" spans="1:11" x14ac:dyDescent="0.25">
      <c r="B15" s="168" t="s">
        <v>1089</v>
      </c>
      <c r="C15" s="168" t="s">
        <v>573</v>
      </c>
      <c r="D15" s="168"/>
      <c r="E15" s="168" t="s">
        <v>574</v>
      </c>
      <c r="F15" s="168" t="s">
        <v>1108</v>
      </c>
      <c r="G15" s="168" t="s">
        <v>1117</v>
      </c>
      <c r="H15" s="168" t="s">
        <v>1107</v>
      </c>
      <c r="I15" s="168" t="s">
        <v>581</v>
      </c>
      <c r="J15" s="169">
        <v>10.06</v>
      </c>
      <c r="K15" s="169">
        <v>166.32</v>
      </c>
    </row>
    <row r="16" spans="1:11" x14ac:dyDescent="0.25">
      <c r="B16" s="168" t="s">
        <v>1089</v>
      </c>
      <c r="C16" s="168" t="s">
        <v>573</v>
      </c>
      <c r="D16" s="168"/>
      <c r="E16" s="168" t="s">
        <v>574</v>
      </c>
      <c r="F16" s="168" t="s">
        <v>1105</v>
      </c>
      <c r="G16" s="168" t="s">
        <v>1118</v>
      </c>
      <c r="H16" s="168" t="s">
        <v>1107</v>
      </c>
      <c r="I16" s="168" t="s">
        <v>581</v>
      </c>
      <c r="J16" s="169">
        <v>11.99</v>
      </c>
      <c r="K16" s="169">
        <v>178.31</v>
      </c>
    </row>
    <row r="17" spans="2:11" x14ac:dyDescent="0.25">
      <c r="B17" s="168" t="s">
        <v>1089</v>
      </c>
      <c r="C17" s="168" t="s">
        <v>573</v>
      </c>
      <c r="D17" s="168"/>
      <c r="E17" s="168" t="s">
        <v>574</v>
      </c>
      <c r="F17" s="168" t="s">
        <v>1105</v>
      </c>
      <c r="G17" s="168" t="s">
        <v>1119</v>
      </c>
      <c r="H17" s="168" t="s">
        <v>1107</v>
      </c>
      <c r="I17" s="168" t="s">
        <v>581</v>
      </c>
      <c r="J17" s="169">
        <v>12.78</v>
      </c>
      <c r="K17" s="169">
        <v>191.09</v>
      </c>
    </row>
    <row r="18" spans="2:11" x14ac:dyDescent="0.25">
      <c r="B18" s="168" t="s">
        <v>578</v>
      </c>
      <c r="C18" s="168" t="s">
        <v>573</v>
      </c>
      <c r="D18" s="168"/>
      <c r="E18" s="168" t="s">
        <v>574</v>
      </c>
      <c r="F18" s="168" t="s">
        <v>1108</v>
      </c>
      <c r="G18" s="168" t="s">
        <v>1120</v>
      </c>
      <c r="H18" s="168" t="s">
        <v>1107</v>
      </c>
      <c r="I18" s="168" t="s">
        <v>602</v>
      </c>
      <c r="J18" s="169">
        <v>44.92</v>
      </c>
      <c r="K18" s="169">
        <v>236.01</v>
      </c>
    </row>
    <row r="19" spans="2:11" x14ac:dyDescent="0.25">
      <c r="B19" s="168" t="s">
        <v>1121</v>
      </c>
      <c r="C19" s="168" t="s">
        <v>573</v>
      </c>
      <c r="D19" s="168"/>
      <c r="E19" s="168" t="s">
        <v>574</v>
      </c>
      <c r="F19" s="168" t="s">
        <v>1108</v>
      </c>
      <c r="G19" s="168" t="s">
        <v>1117</v>
      </c>
      <c r="H19" s="168" t="s">
        <v>1107</v>
      </c>
      <c r="I19" s="168" t="s">
        <v>581</v>
      </c>
      <c r="J19" s="169">
        <v>3.56</v>
      </c>
      <c r="K19" s="169">
        <v>239.57</v>
      </c>
    </row>
    <row r="20" spans="2:11" x14ac:dyDescent="0.25">
      <c r="B20" s="168" t="s">
        <v>1121</v>
      </c>
      <c r="C20" s="168" t="s">
        <v>573</v>
      </c>
      <c r="D20" s="168"/>
      <c r="E20" s="168" t="s">
        <v>574</v>
      </c>
      <c r="F20" s="168" t="s">
        <v>1105</v>
      </c>
      <c r="G20" s="168" t="s">
        <v>1116</v>
      </c>
      <c r="H20" s="168" t="s">
        <v>1107</v>
      </c>
      <c r="I20" s="168" t="s">
        <v>581</v>
      </c>
      <c r="J20" s="169">
        <v>13.73</v>
      </c>
      <c r="K20" s="169">
        <v>253.3</v>
      </c>
    </row>
    <row r="21" spans="2:11" x14ac:dyDescent="0.25">
      <c r="B21" s="168" t="s">
        <v>822</v>
      </c>
      <c r="C21" s="168" t="s">
        <v>573</v>
      </c>
      <c r="D21" s="168"/>
      <c r="E21" s="168" t="s">
        <v>574</v>
      </c>
      <c r="F21" s="168" t="s">
        <v>1108</v>
      </c>
      <c r="G21" s="168" t="s">
        <v>1117</v>
      </c>
      <c r="H21" s="168" t="s">
        <v>1107</v>
      </c>
      <c r="I21" s="168" t="s">
        <v>581</v>
      </c>
      <c r="J21" s="169">
        <v>3.56</v>
      </c>
      <c r="K21" s="169">
        <v>256.86</v>
      </c>
    </row>
    <row r="22" spans="2:11" x14ac:dyDescent="0.25">
      <c r="B22" s="168" t="s">
        <v>822</v>
      </c>
      <c r="C22" s="168" t="s">
        <v>573</v>
      </c>
      <c r="D22" s="168"/>
      <c r="E22" s="168" t="s">
        <v>574</v>
      </c>
      <c r="F22" s="168" t="s">
        <v>1122</v>
      </c>
      <c r="G22" s="168" t="s">
        <v>1123</v>
      </c>
      <c r="H22" s="168" t="s">
        <v>1107</v>
      </c>
      <c r="I22" s="168" t="s">
        <v>577</v>
      </c>
      <c r="J22" s="169">
        <v>281.95</v>
      </c>
      <c r="K22" s="169">
        <v>538.80999999999995</v>
      </c>
    </row>
    <row r="23" spans="2:11" x14ac:dyDescent="0.25">
      <c r="B23" s="168" t="s">
        <v>822</v>
      </c>
      <c r="C23" s="168" t="s">
        <v>573</v>
      </c>
      <c r="D23" s="168"/>
      <c r="E23" s="168" t="s">
        <v>574</v>
      </c>
      <c r="F23" s="168" t="s">
        <v>1122</v>
      </c>
      <c r="G23" s="168" t="s">
        <v>1124</v>
      </c>
      <c r="H23" s="168" t="s">
        <v>1107</v>
      </c>
      <c r="I23" s="168" t="s">
        <v>577</v>
      </c>
      <c r="J23" s="169">
        <v>281.95</v>
      </c>
      <c r="K23" s="169">
        <v>820.76</v>
      </c>
    </row>
    <row r="24" spans="2:11" x14ac:dyDescent="0.25">
      <c r="B24" s="168" t="s">
        <v>822</v>
      </c>
      <c r="C24" s="168" t="s">
        <v>573</v>
      </c>
      <c r="D24" s="168"/>
      <c r="E24" s="168" t="s">
        <v>574</v>
      </c>
      <c r="F24" s="168" t="s">
        <v>1122</v>
      </c>
      <c r="G24" s="168" t="s">
        <v>1125</v>
      </c>
      <c r="H24" s="168" t="s">
        <v>1107</v>
      </c>
      <c r="I24" s="168" t="s">
        <v>577</v>
      </c>
      <c r="J24" s="169">
        <v>281.95</v>
      </c>
      <c r="K24" s="169">
        <v>1102.71</v>
      </c>
    </row>
    <row r="25" spans="2:11" x14ac:dyDescent="0.25">
      <c r="B25" s="168" t="s">
        <v>822</v>
      </c>
      <c r="C25" s="168" t="s">
        <v>573</v>
      </c>
      <c r="D25" s="168"/>
      <c r="E25" s="168" t="s">
        <v>574</v>
      </c>
      <c r="F25" s="168" t="s">
        <v>1122</v>
      </c>
      <c r="G25" s="168" t="s">
        <v>1126</v>
      </c>
      <c r="H25" s="168" t="s">
        <v>1107</v>
      </c>
      <c r="I25" s="168" t="s">
        <v>577</v>
      </c>
      <c r="J25" s="169">
        <v>281.95</v>
      </c>
      <c r="K25" s="169">
        <v>1384.66</v>
      </c>
    </row>
    <row r="26" spans="2:11" x14ac:dyDescent="0.25">
      <c r="B26" s="168" t="s">
        <v>1127</v>
      </c>
      <c r="C26" s="168" t="s">
        <v>573</v>
      </c>
      <c r="D26" s="168"/>
      <c r="E26" s="168" t="s">
        <v>574</v>
      </c>
      <c r="F26" s="168" t="s">
        <v>1128</v>
      </c>
      <c r="G26" s="168" t="s">
        <v>1129</v>
      </c>
      <c r="H26" s="168" t="s">
        <v>1107</v>
      </c>
      <c r="I26" s="168" t="s">
        <v>581</v>
      </c>
      <c r="J26" s="169">
        <v>11.2</v>
      </c>
      <c r="K26" s="169">
        <v>1395.86</v>
      </c>
    </row>
    <row r="27" spans="2:11" x14ac:dyDescent="0.25">
      <c r="B27" s="168" t="s">
        <v>1127</v>
      </c>
      <c r="C27" s="168" t="s">
        <v>573</v>
      </c>
      <c r="D27" s="168"/>
      <c r="E27" s="168" t="s">
        <v>574</v>
      </c>
      <c r="F27" s="168" t="s">
        <v>1128</v>
      </c>
      <c r="G27" s="168" t="s">
        <v>1130</v>
      </c>
      <c r="H27" s="168" t="s">
        <v>1107</v>
      </c>
      <c r="I27" s="168" t="s">
        <v>581</v>
      </c>
      <c r="J27" s="169">
        <v>11.2</v>
      </c>
      <c r="K27" s="169">
        <v>1407.06</v>
      </c>
    </row>
    <row r="28" spans="2:11" x14ac:dyDescent="0.25">
      <c r="B28" s="168" t="s">
        <v>1127</v>
      </c>
      <c r="C28" s="168" t="s">
        <v>573</v>
      </c>
      <c r="D28" s="168"/>
      <c r="E28" s="168" t="s">
        <v>574</v>
      </c>
      <c r="F28" s="168" t="s">
        <v>1131</v>
      </c>
      <c r="G28" s="168" t="s">
        <v>1132</v>
      </c>
      <c r="H28" s="168" t="s">
        <v>1107</v>
      </c>
      <c r="I28" s="168" t="s">
        <v>581</v>
      </c>
      <c r="J28" s="169">
        <v>12.98</v>
      </c>
      <c r="K28" s="169">
        <v>1420.04</v>
      </c>
    </row>
    <row r="29" spans="2:11" x14ac:dyDescent="0.25">
      <c r="B29" s="168" t="s">
        <v>1127</v>
      </c>
      <c r="C29" s="168" t="s">
        <v>573</v>
      </c>
      <c r="D29" s="168"/>
      <c r="E29" s="168" t="s">
        <v>574</v>
      </c>
      <c r="F29" s="168" t="s">
        <v>1108</v>
      </c>
      <c r="G29" s="168" t="s">
        <v>1109</v>
      </c>
      <c r="H29" s="168" t="s">
        <v>1107</v>
      </c>
      <c r="I29" s="168" t="s">
        <v>581</v>
      </c>
      <c r="J29" s="169">
        <v>51.28</v>
      </c>
      <c r="K29" s="169">
        <v>1471.32</v>
      </c>
    </row>
    <row r="30" spans="2:11" x14ac:dyDescent="0.25">
      <c r="B30" s="168" t="s">
        <v>834</v>
      </c>
      <c r="C30" s="168" t="s">
        <v>573</v>
      </c>
      <c r="D30" s="168"/>
      <c r="E30" s="168" t="s">
        <v>574</v>
      </c>
      <c r="F30" s="168" t="s">
        <v>1108</v>
      </c>
      <c r="G30" s="168" t="s">
        <v>1109</v>
      </c>
      <c r="H30" s="168" t="s">
        <v>1107</v>
      </c>
      <c r="I30" s="168" t="s">
        <v>581</v>
      </c>
      <c r="J30" s="169">
        <v>3.24</v>
      </c>
      <c r="K30" s="169">
        <v>1474.56</v>
      </c>
    </row>
    <row r="31" spans="2:11" x14ac:dyDescent="0.25">
      <c r="B31" s="168" t="s">
        <v>582</v>
      </c>
      <c r="C31" s="168" t="s">
        <v>863</v>
      </c>
      <c r="D31" s="168"/>
      <c r="E31" s="168" t="s">
        <v>574</v>
      </c>
      <c r="F31" s="168" t="s">
        <v>1133</v>
      </c>
      <c r="G31" s="168" t="s">
        <v>1134</v>
      </c>
      <c r="H31" s="168" t="s">
        <v>1107</v>
      </c>
      <c r="I31" s="168" t="s">
        <v>602</v>
      </c>
      <c r="J31" s="169">
        <v>-183.68</v>
      </c>
      <c r="K31" s="169">
        <v>1290.8800000000001</v>
      </c>
    </row>
    <row r="32" spans="2:11" x14ac:dyDescent="0.25">
      <c r="B32" s="168" t="s">
        <v>582</v>
      </c>
      <c r="C32" s="168" t="s">
        <v>573</v>
      </c>
      <c r="D32" s="168"/>
      <c r="E32" s="168" t="s">
        <v>574</v>
      </c>
      <c r="F32" s="168" t="s">
        <v>1105</v>
      </c>
      <c r="G32" s="168" t="s">
        <v>1135</v>
      </c>
      <c r="H32" s="168" t="s">
        <v>1107</v>
      </c>
      <c r="I32" s="168" t="s">
        <v>585</v>
      </c>
      <c r="J32" s="169">
        <v>20.149999999999999</v>
      </c>
      <c r="K32" s="169">
        <v>1311.03</v>
      </c>
    </row>
    <row r="33" spans="2:11" x14ac:dyDescent="0.25">
      <c r="B33" s="168" t="s">
        <v>582</v>
      </c>
      <c r="C33" s="168" t="s">
        <v>573</v>
      </c>
      <c r="D33" s="168"/>
      <c r="E33" s="168" t="s">
        <v>574</v>
      </c>
      <c r="F33" s="168" t="s">
        <v>1105</v>
      </c>
      <c r="G33" s="168" t="s">
        <v>1136</v>
      </c>
      <c r="H33" s="168" t="s">
        <v>1107</v>
      </c>
      <c r="I33" s="168" t="s">
        <v>585</v>
      </c>
      <c r="J33" s="169">
        <v>126.43</v>
      </c>
      <c r="K33" s="169">
        <v>1437.46</v>
      </c>
    </row>
    <row r="34" spans="2:11" x14ac:dyDescent="0.25">
      <c r="B34" s="168" t="s">
        <v>721</v>
      </c>
      <c r="C34" s="168" t="s">
        <v>573</v>
      </c>
      <c r="D34" s="168"/>
      <c r="E34" s="168" t="s">
        <v>574</v>
      </c>
      <c r="F34" s="168" t="s">
        <v>1137</v>
      </c>
      <c r="G34" s="168" t="s">
        <v>1138</v>
      </c>
      <c r="H34" s="168" t="s">
        <v>1107</v>
      </c>
      <c r="I34" s="168" t="s">
        <v>742</v>
      </c>
      <c r="J34" s="169">
        <v>25</v>
      </c>
      <c r="K34" s="169">
        <v>1462.46</v>
      </c>
    </row>
    <row r="35" spans="2:11" x14ac:dyDescent="0.25">
      <c r="B35" s="168" t="s">
        <v>721</v>
      </c>
      <c r="C35" s="168" t="s">
        <v>573</v>
      </c>
      <c r="D35" s="168"/>
      <c r="E35" s="168" t="s">
        <v>574</v>
      </c>
      <c r="F35" s="168" t="s">
        <v>1139</v>
      </c>
      <c r="G35" s="168" t="s">
        <v>1140</v>
      </c>
      <c r="H35" s="168" t="s">
        <v>1107</v>
      </c>
      <c r="I35" s="168" t="s">
        <v>742</v>
      </c>
      <c r="J35" s="169">
        <v>50</v>
      </c>
      <c r="K35" s="169">
        <v>1512.46</v>
      </c>
    </row>
    <row r="36" spans="2:11" x14ac:dyDescent="0.25">
      <c r="B36" s="168" t="s">
        <v>721</v>
      </c>
      <c r="C36" s="168" t="s">
        <v>573</v>
      </c>
      <c r="D36" s="168"/>
      <c r="E36" s="168" t="s">
        <v>574</v>
      </c>
      <c r="F36" s="168" t="s">
        <v>1105</v>
      </c>
      <c r="G36" s="168" t="s">
        <v>1141</v>
      </c>
      <c r="H36" s="168" t="s">
        <v>1107</v>
      </c>
      <c r="I36" s="168" t="s">
        <v>585</v>
      </c>
      <c r="J36" s="169">
        <v>32.07</v>
      </c>
      <c r="K36" s="169">
        <v>1544.53</v>
      </c>
    </row>
    <row r="37" spans="2:11" x14ac:dyDescent="0.25">
      <c r="B37" s="168" t="s">
        <v>1142</v>
      </c>
      <c r="C37" s="168" t="s">
        <v>573</v>
      </c>
      <c r="D37" s="168"/>
      <c r="E37" s="168" t="s">
        <v>574</v>
      </c>
      <c r="F37" s="168" t="s">
        <v>1133</v>
      </c>
      <c r="G37" s="168" t="s">
        <v>1134</v>
      </c>
      <c r="H37" s="168" t="s">
        <v>1107</v>
      </c>
      <c r="I37" s="168" t="s">
        <v>602</v>
      </c>
      <c r="J37" s="169">
        <v>811.96</v>
      </c>
      <c r="K37" s="169">
        <v>2356.4899999999998</v>
      </c>
    </row>
    <row r="38" spans="2:11" x14ac:dyDescent="0.25">
      <c r="B38" s="168" t="s">
        <v>1142</v>
      </c>
      <c r="C38" s="168" t="s">
        <v>573</v>
      </c>
      <c r="D38" s="168"/>
      <c r="E38" s="168" t="s">
        <v>574</v>
      </c>
      <c r="F38" s="168" t="s">
        <v>1143</v>
      </c>
      <c r="G38" s="168" t="s">
        <v>1144</v>
      </c>
      <c r="H38" s="168" t="s">
        <v>1107</v>
      </c>
      <c r="I38" s="168" t="s">
        <v>577</v>
      </c>
      <c r="J38" s="169">
        <v>9.98</v>
      </c>
      <c r="K38" s="169">
        <v>2366.4699999999998</v>
      </c>
    </row>
    <row r="39" spans="2:11" x14ac:dyDescent="0.25">
      <c r="B39" s="168" t="s">
        <v>1142</v>
      </c>
      <c r="C39" s="168" t="s">
        <v>573</v>
      </c>
      <c r="D39" s="168"/>
      <c r="E39" s="168" t="s">
        <v>574</v>
      </c>
      <c r="F39" s="168" t="s">
        <v>1133</v>
      </c>
      <c r="G39" s="168" t="s">
        <v>1134</v>
      </c>
      <c r="H39" s="168" t="s">
        <v>1107</v>
      </c>
      <c r="I39" s="168" t="s">
        <v>602</v>
      </c>
      <c r="J39" s="169">
        <v>902.48</v>
      </c>
      <c r="K39" s="169">
        <v>3268.95</v>
      </c>
    </row>
    <row r="40" spans="2:11" x14ac:dyDescent="0.25">
      <c r="B40" s="168" t="s">
        <v>583</v>
      </c>
      <c r="C40" s="168" t="s">
        <v>573</v>
      </c>
      <c r="D40" s="168"/>
      <c r="E40" s="168" t="s">
        <v>574</v>
      </c>
      <c r="F40" s="168"/>
      <c r="G40" s="168" t="s">
        <v>1145</v>
      </c>
      <c r="H40" s="168" t="s">
        <v>1107</v>
      </c>
      <c r="I40" s="168" t="s">
        <v>585</v>
      </c>
      <c r="J40" s="169">
        <v>36.369999999999997</v>
      </c>
      <c r="K40" s="169">
        <v>3305.32</v>
      </c>
    </row>
    <row r="41" spans="2:11" x14ac:dyDescent="0.25">
      <c r="B41" s="168" t="s">
        <v>583</v>
      </c>
      <c r="C41" s="168" t="s">
        <v>573</v>
      </c>
      <c r="D41" s="168"/>
      <c r="E41" s="168" t="s">
        <v>574</v>
      </c>
      <c r="F41" s="168" t="s">
        <v>1105</v>
      </c>
      <c r="G41" s="168" t="s">
        <v>1146</v>
      </c>
      <c r="H41" s="168" t="s">
        <v>1107</v>
      </c>
      <c r="I41" s="168" t="s">
        <v>585</v>
      </c>
      <c r="J41" s="169">
        <v>67.5</v>
      </c>
      <c r="K41" s="169">
        <v>3372.82</v>
      </c>
    </row>
    <row r="42" spans="2:11" x14ac:dyDescent="0.25">
      <c r="B42" s="168" t="s">
        <v>583</v>
      </c>
      <c r="C42" s="168" t="s">
        <v>573</v>
      </c>
      <c r="D42" s="168"/>
      <c r="E42" s="168" t="s">
        <v>574</v>
      </c>
      <c r="F42" s="168" t="s">
        <v>1105</v>
      </c>
      <c r="G42" s="168" t="s">
        <v>1147</v>
      </c>
      <c r="H42" s="168" t="s">
        <v>1107</v>
      </c>
      <c r="I42" s="168" t="s">
        <v>577</v>
      </c>
      <c r="J42" s="169">
        <v>45.9</v>
      </c>
      <c r="K42" s="169">
        <v>3418.72</v>
      </c>
    </row>
    <row r="43" spans="2:11" x14ac:dyDescent="0.25">
      <c r="B43" s="168" t="s">
        <v>853</v>
      </c>
      <c r="C43" s="168" t="s">
        <v>573</v>
      </c>
      <c r="D43" s="168"/>
      <c r="E43" s="168" t="s">
        <v>574</v>
      </c>
      <c r="F43" s="168" t="s">
        <v>1105</v>
      </c>
      <c r="G43" s="168" t="s">
        <v>1148</v>
      </c>
      <c r="H43" s="168" t="s">
        <v>1107</v>
      </c>
      <c r="I43" s="168" t="s">
        <v>577</v>
      </c>
      <c r="J43" s="169">
        <v>20.73</v>
      </c>
      <c r="K43" s="169">
        <v>3439.45</v>
      </c>
    </row>
    <row r="44" spans="2:11" x14ac:dyDescent="0.25">
      <c r="B44" s="168" t="s">
        <v>1149</v>
      </c>
      <c r="C44" s="168" t="s">
        <v>573</v>
      </c>
      <c r="D44" s="168"/>
      <c r="E44" s="168" t="s">
        <v>574</v>
      </c>
      <c r="F44" s="168" t="s">
        <v>1108</v>
      </c>
      <c r="G44" s="168" t="s">
        <v>1109</v>
      </c>
      <c r="H44" s="168" t="s">
        <v>1107</v>
      </c>
      <c r="I44" s="168" t="s">
        <v>581</v>
      </c>
      <c r="J44" s="169">
        <v>49.03</v>
      </c>
      <c r="K44" s="169">
        <v>3488.48</v>
      </c>
    </row>
    <row r="45" spans="2:11" x14ac:dyDescent="0.25">
      <c r="B45" s="168" t="s">
        <v>757</v>
      </c>
      <c r="C45" s="168" t="s">
        <v>573</v>
      </c>
      <c r="D45" s="168"/>
      <c r="E45" s="168" t="s">
        <v>574</v>
      </c>
      <c r="F45" s="168" t="s">
        <v>1105</v>
      </c>
      <c r="G45" s="168" t="s">
        <v>1150</v>
      </c>
      <c r="H45" s="168" t="s">
        <v>1107</v>
      </c>
      <c r="I45" s="168" t="s">
        <v>577</v>
      </c>
      <c r="J45" s="169">
        <v>12.99</v>
      </c>
      <c r="K45" s="169">
        <v>3501.47</v>
      </c>
    </row>
    <row r="46" spans="2:11" x14ac:dyDescent="0.25">
      <c r="B46" s="168" t="s">
        <v>757</v>
      </c>
      <c r="C46" s="168" t="s">
        <v>573</v>
      </c>
      <c r="D46" s="168"/>
      <c r="E46" s="168" t="s">
        <v>574</v>
      </c>
      <c r="F46" s="168" t="s">
        <v>1105</v>
      </c>
      <c r="G46" s="168" t="s">
        <v>1151</v>
      </c>
      <c r="H46" s="168" t="s">
        <v>1107</v>
      </c>
      <c r="I46" s="168" t="s">
        <v>577</v>
      </c>
      <c r="J46" s="169">
        <v>29.39</v>
      </c>
      <c r="K46" s="169">
        <v>3530.86</v>
      </c>
    </row>
    <row r="47" spans="2:11" x14ac:dyDescent="0.25">
      <c r="B47" s="168" t="s">
        <v>854</v>
      </c>
      <c r="C47" s="168" t="s">
        <v>573</v>
      </c>
      <c r="D47" s="168"/>
      <c r="E47" s="168" t="s">
        <v>574</v>
      </c>
      <c r="F47" s="168" t="s">
        <v>1105</v>
      </c>
      <c r="G47" s="168" t="s">
        <v>1152</v>
      </c>
      <c r="H47" s="168" t="s">
        <v>1107</v>
      </c>
      <c r="I47" s="168" t="s">
        <v>577</v>
      </c>
      <c r="J47" s="169">
        <v>14.99</v>
      </c>
      <c r="K47" s="169">
        <v>3545.85</v>
      </c>
    </row>
    <row r="48" spans="2:11" x14ac:dyDescent="0.25">
      <c r="B48" s="168" t="s">
        <v>586</v>
      </c>
      <c r="C48" s="168" t="s">
        <v>573</v>
      </c>
      <c r="D48" s="168"/>
      <c r="E48" s="168" t="s">
        <v>574</v>
      </c>
      <c r="F48" s="168" t="s">
        <v>1131</v>
      </c>
      <c r="G48" s="168" t="s">
        <v>1153</v>
      </c>
      <c r="H48" s="168" t="s">
        <v>1107</v>
      </c>
      <c r="I48" s="168" t="s">
        <v>577</v>
      </c>
      <c r="J48" s="169">
        <v>20</v>
      </c>
      <c r="K48" s="169">
        <v>3565.85</v>
      </c>
    </row>
    <row r="49" spans="2:11" x14ac:dyDescent="0.25">
      <c r="B49" s="168" t="s">
        <v>586</v>
      </c>
      <c r="C49" s="168" t="s">
        <v>573</v>
      </c>
      <c r="D49" s="168"/>
      <c r="E49" s="168" t="s">
        <v>574</v>
      </c>
      <c r="F49" s="168" t="s">
        <v>1137</v>
      </c>
      <c r="G49" s="168" t="s">
        <v>1154</v>
      </c>
      <c r="H49" s="168" t="s">
        <v>1107</v>
      </c>
      <c r="I49" s="168" t="s">
        <v>742</v>
      </c>
      <c r="J49" s="169">
        <v>16.57</v>
      </c>
      <c r="K49" s="169">
        <v>3582.42</v>
      </c>
    </row>
    <row r="50" spans="2:11" x14ac:dyDescent="0.25">
      <c r="B50" s="168" t="s">
        <v>586</v>
      </c>
      <c r="C50" s="168" t="s">
        <v>573</v>
      </c>
      <c r="D50" s="168"/>
      <c r="E50" s="168" t="s">
        <v>574</v>
      </c>
      <c r="F50" s="168" t="s">
        <v>1108</v>
      </c>
      <c r="G50" s="168" t="s">
        <v>1109</v>
      </c>
      <c r="H50" s="168" t="s">
        <v>1107</v>
      </c>
      <c r="I50" s="168" t="s">
        <v>581</v>
      </c>
      <c r="J50" s="169">
        <v>24.66</v>
      </c>
      <c r="K50" s="169">
        <v>3607.08</v>
      </c>
    </row>
    <row r="51" spans="2:11" x14ac:dyDescent="0.25">
      <c r="B51" s="168" t="s">
        <v>589</v>
      </c>
      <c r="C51" s="168" t="s">
        <v>573</v>
      </c>
      <c r="D51" s="168"/>
      <c r="E51" s="168" t="s">
        <v>574</v>
      </c>
      <c r="F51" s="168" t="s">
        <v>1105</v>
      </c>
      <c r="G51" s="168" t="s">
        <v>1155</v>
      </c>
      <c r="H51" s="168" t="s">
        <v>1107</v>
      </c>
      <c r="I51" s="168" t="s">
        <v>577</v>
      </c>
      <c r="J51" s="169">
        <v>24.99</v>
      </c>
      <c r="K51" s="169">
        <v>3632.07</v>
      </c>
    </row>
    <row r="52" spans="2:11" x14ac:dyDescent="0.25">
      <c r="B52" s="168" t="s">
        <v>861</v>
      </c>
      <c r="C52" s="168" t="s">
        <v>573</v>
      </c>
      <c r="D52" s="168"/>
      <c r="E52" s="168" t="s">
        <v>574</v>
      </c>
      <c r="F52" s="168" t="s">
        <v>1108</v>
      </c>
      <c r="G52" s="168" t="s">
        <v>1109</v>
      </c>
      <c r="H52" s="168" t="s">
        <v>1107</v>
      </c>
      <c r="I52" s="168" t="s">
        <v>581</v>
      </c>
      <c r="J52" s="169">
        <v>67.489999999999995</v>
      </c>
      <c r="K52" s="169">
        <v>3699.56</v>
      </c>
    </row>
    <row r="53" spans="2:11" x14ac:dyDescent="0.25">
      <c r="B53" s="168" t="s">
        <v>1076</v>
      </c>
      <c r="C53" s="168" t="s">
        <v>573</v>
      </c>
      <c r="D53" s="168"/>
      <c r="E53" s="168" t="s">
        <v>574</v>
      </c>
      <c r="F53" s="168" t="s">
        <v>1156</v>
      </c>
      <c r="G53" s="168" t="s">
        <v>1157</v>
      </c>
      <c r="H53" s="168" t="s">
        <v>1107</v>
      </c>
      <c r="I53" s="168" t="s">
        <v>742</v>
      </c>
      <c r="J53" s="169">
        <v>5</v>
      </c>
      <c r="K53" s="169">
        <v>3704.56</v>
      </c>
    </row>
    <row r="54" spans="2:11" x14ac:dyDescent="0.25">
      <c r="B54" s="168" t="s">
        <v>1076</v>
      </c>
      <c r="C54" s="168" t="s">
        <v>573</v>
      </c>
      <c r="D54" s="168"/>
      <c r="E54" s="168" t="s">
        <v>574</v>
      </c>
      <c r="F54" s="168" t="s">
        <v>1158</v>
      </c>
      <c r="G54" s="168" t="s">
        <v>1159</v>
      </c>
      <c r="H54" s="168" t="s">
        <v>1107</v>
      </c>
      <c r="I54" s="168" t="s">
        <v>742</v>
      </c>
      <c r="J54" s="169">
        <v>78</v>
      </c>
      <c r="K54" s="169">
        <v>3782.56</v>
      </c>
    </row>
    <row r="55" spans="2:11" x14ac:dyDescent="0.25">
      <c r="B55" s="168" t="s">
        <v>864</v>
      </c>
      <c r="C55" s="168" t="s">
        <v>573</v>
      </c>
      <c r="D55" s="168"/>
      <c r="E55" s="168" t="s">
        <v>574</v>
      </c>
      <c r="F55" s="168" t="s">
        <v>1160</v>
      </c>
      <c r="G55" s="168" t="s">
        <v>1161</v>
      </c>
      <c r="H55" s="168" t="s">
        <v>1107</v>
      </c>
      <c r="I55" s="168" t="s">
        <v>577</v>
      </c>
      <c r="J55" s="169">
        <v>32.950000000000003</v>
      </c>
      <c r="K55" s="169">
        <v>3815.51</v>
      </c>
    </row>
    <row r="56" spans="2:11" x14ac:dyDescent="0.25">
      <c r="B56" s="168" t="s">
        <v>864</v>
      </c>
      <c r="C56" s="168" t="s">
        <v>573</v>
      </c>
      <c r="D56" s="168"/>
      <c r="E56" s="168" t="s">
        <v>574</v>
      </c>
      <c r="F56" s="168" t="s">
        <v>1105</v>
      </c>
      <c r="G56" s="168" t="s">
        <v>1162</v>
      </c>
      <c r="H56" s="168" t="s">
        <v>1107</v>
      </c>
      <c r="I56" s="168" t="s">
        <v>577</v>
      </c>
      <c r="J56" s="169">
        <v>39.99</v>
      </c>
      <c r="K56" s="169">
        <v>3855.5</v>
      </c>
    </row>
    <row r="57" spans="2:11" x14ac:dyDescent="0.25">
      <c r="B57" s="168" t="s">
        <v>1095</v>
      </c>
      <c r="C57" s="168" t="s">
        <v>573</v>
      </c>
      <c r="D57" s="168"/>
      <c r="E57" s="168" t="s">
        <v>574</v>
      </c>
      <c r="F57" s="168" t="s">
        <v>1163</v>
      </c>
      <c r="G57" s="168" t="s">
        <v>1163</v>
      </c>
      <c r="H57" s="168" t="s">
        <v>1107</v>
      </c>
      <c r="I57" s="168" t="s">
        <v>581</v>
      </c>
      <c r="J57" s="169">
        <v>8.98</v>
      </c>
      <c r="K57" s="169">
        <v>3864.48</v>
      </c>
    </row>
    <row r="58" spans="2:11" x14ac:dyDescent="0.25">
      <c r="B58" s="168" t="s">
        <v>870</v>
      </c>
      <c r="C58" s="168" t="s">
        <v>573</v>
      </c>
      <c r="D58" s="168"/>
      <c r="E58" s="168" t="s">
        <v>574</v>
      </c>
      <c r="F58" s="168" t="s">
        <v>1164</v>
      </c>
      <c r="G58" s="168" t="s">
        <v>1165</v>
      </c>
      <c r="H58" s="168" t="s">
        <v>1107</v>
      </c>
      <c r="I58" s="168" t="s">
        <v>742</v>
      </c>
      <c r="J58" s="169">
        <v>21.96</v>
      </c>
      <c r="K58" s="169">
        <v>3886.44</v>
      </c>
    </row>
    <row r="59" spans="2:11" x14ac:dyDescent="0.25">
      <c r="B59" s="168" t="s">
        <v>870</v>
      </c>
      <c r="C59" s="168" t="s">
        <v>573</v>
      </c>
      <c r="D59" s="168"/>
      <c r="E59" s="168" t="s">
        <v>574</v>
      </c>
      <c r="F59" s="168" t="s">
        <v>1164</v>
      </c>
      <c r="G59" s="168" t="s">
        <v>1165</v>
      </c>
      <c r="H59" s="168" t="s">
        <v>1107</v>
      </c>
      <c r="I59" s="168" t="s">
        <v>742</v>
      </c>
      <c r="J59" s="169">
        <v>27.45</v>
      </c>
      <c r="K59" s="169">
        <v>3913.89</v>
      </c>
    </row>
    <row r="60" spans="2:11" x14ac:dyDescent="0.25">
      <c r="B60" s="168" t="s">
        <v>870</v>
      </c>
      <c r="C60" s="168" t="s">
        <v>573</v>
      </c>
      <c r="D60" s="168"/>
      <c r="E60" s="168" t="s">
        <v>574</v>
      </c>
      <c r="F60" s="168" t="s">
        <v>1105</v>
      </c>
      <c r="G60" s="168" t="s">
        <v>1166</v>
      </c>
      <c r="H60" s="168" t="s">
        <v>1107</v>
      </c>
      <c r="I60" s="168" t="s">
        <v>585</v>
      </c>
      <c r="J60" s="169">
        <v>117.25</v>
      </c>
      <c r="K60" s="169">
        <v>4031.14</v>
      </c>
    </row>
    <row r="61" spans="2:11" x14ac:dyDescent="0.25">
      <c r="B61" s="168" t="s">
        <v>759</v>
      </c>
      <c r="C61" s="168" t="s">
        <v>573</v>
      </c>
      <c r="D61" s="168"/>
      <c r="E61" s="168" t="s">
        <v>574</v>
      </c>
      <c r="F61" s="168" t="s">
        <v>1167</v>
      </c>
      <c r="G61" s="168" t="s">
        <v>1168</v>
      </c>
      <c r="H61" s="168" t="s">
        <v>1107</v>
      </c>
      <c r="I61" s="168" t="s">
        <v>585</v>
      </c>
      <c r="J61" s="169">
        <v>42.29</v>
      </c>
      <c r="K61" s="169">
        <v>4073.43</v>
      </c>
    </row>
    <row r="62" spans="2:11" x14ac:dyDescent="0.25">
      <c r="B62" s="168" t="s">
        <v>1169</v>
      </c>
      <c r="C62" s="168" t="s">
        <v>573</v>
      </c>
      <c r="D62" s="168"/>
      <c r="E62" s="168" t="s">
        <v>574</v>
      </c>
      <c r="F62" s="168" t="s">
        <v>1137</v>
      </c>
      <c r="G62" s="168" t="s">
        <v>1170</v>
      </c>
      <c r="H62" s="168" t="s">
        <v>1107</v>
      </c>
      <c r="I62" s="168" t="s">
        <v>577</v>
      </c>
      <c r="J62" s="169">
        <v>30</v>
      </c>
      <c r="K62" s="169">
        <v>4103.43</v>
      </c>
    </row>
    <row r="63" spans="2:11" x14ac:dyDescent="0.25">
      <c r="B63" s="168" t="s">
        <v>1169</v>
      </c>
      <c r="C63" s="168" t="s">
        <v>573</v>
      </c>
      <c r="D63" s="168"/>
      <c r="E63" s="168" t="s">
        <v>574</v>
      </c>
      <c r="F63" s="168" t="s">
        <v>1105</v>
      </c>
      <c r="G63" s="168" t="s">
        <v>1171</v>
      </c>
      <c r="H63" s="168" t="s">
        <v>1107</v>
      </c>
      <c r="I63" s="168" t="s">
        <v>577</v>
      </c>
      <c r="J63" s="169">
        <v>13.99</v>
      </c>
      <c r="K63" s="169">
        <v>4117.42</v>
      </c>
    </row>
    <row r="64" spans="2:11" x14ac:dyDescent="0.25">
      <c r="B64" s="168" t="s">
        <v>1169</v>
      </c>
      <c r="C64" s="168" t="s">
        <v>573</v>
      </c>
      <c r="D64" s="168"/>
      <c r="E64" s="168" t="s">
        <v>574</v>
      </c>
      <c r="F64" s="168" t="s">
        <v>1164</v>
      </c>
      <c r="G64" s="168" t="s">
        <v>1165</v>
      </c>
      <c r="H64" s="168" t="s">
        <v>1107</v>
      </c>
      <c r="I64" s="168" t="s">
        <v>742</v>
      </c>
      <c r="J64" s="169">
        <v>7.78</v>
      </c>
      <c r="K64" s="169">
        <v>4125.2</v>
      </c>
    </row>
    <row r="65" spans="2:11" x14ac:dyDescent="0.25">
      <c r="B65" s="168" t="s">
        <v>1169</v>
      </c>
      <c r="C65" s="168" t="s">
        <v>573</v>
      </c>
      <c r="D65" s="168"/>
      <c r="E65" s="168" t="s">
        <v>574</v>
      </c>
      <c r="F65" s="168" t="s">
        <v>1172</v>
      </c>
      <c r="G65" s="168" t="s">
        <v>1173</v>
      </c>
      <c r="H65" s="168" t="s">
        <v>1107</v>
      </c>
      <c r="I65" s="168" t="s">
        <v>581</v>
      </c>
      <c r="J65" s="169">
        <v>58.75</v>
      </c>
      <c r="K65" s="169">
        <v>4183.95</v>
      </c>
    </row>
    <row r="66" spans="2:11" x14ac:dyDescent="0.25">
      <c r="B66" s="168" t="s">
        <v>1169</v>
      </c>
      <c r="C66" s="168" t="s">
        <v>573</v>
      </c>
      <c r="D66" s="168"/>
      <c r="E66" s="168" t="s">
        <v>574</v>
      </c>
      <c r="F66" s="168"/>
      <c r="G66" s="168" t="s">
        <v>1174</v>
      </c>
      <c r="H66" s="168" t="s">
        <v>1107</v>
      </c>
      <c r="I66" s="168" t="s">
        <v>581</v>
      </c>
      <c r="J66" s="169">
        <v>77.28</v>
      </c>
      <c r="K66" s="169">
        <v>4261.2299999999996</v>
      </c>
    </row>
    <row r="67" spans="2:11" x14ac:dyDescent="0.25">
      <c r="B67" s="168" t="s">
        <v>760</v>
      </c>
      <c r="C67" s="168" t="s">
        <v>573</v>
      </c>
      <c r="D67" s="168"/>
      <c r="E67" s="168" t="s">
        <v>574</v>
      </c>
      <c r="F67" s="168" t="s">
        <v>1105</v>
      </c>
      <c r="G67" s="168" t="s">
        <v>1175</v>
      </c>
      <c r="H67" s="168" t="s">
        <v>1107</v>
      </c>
      <c r="I67" s="168" t="s">
        <v>585</v>
      </c>
      <c r="J67" s="169">
        <v>102.46</v>
      </c>
      <c r="K67" s="169">
        <v>4363.6899999999996</v>
      </c>
    </row>
    <row r="68" spans="2:11" x14ac:dyDescent="0.25">
      <c r="B68" s="168" t="s">
        <v>878</v>
      </c>
      <c r="C68" s="168" t="s">
        <v>573</v>
      </c>
      <c r="D68" s="168"/>
      <c r="E68" s="168" t="s">
        <v>574</v>
      </c>
      <c r="F68" s="168" t="s">
        <v>1105</v>
      </c>
      <c r="G68" s="168" t="s">
        <v>1176</v>
      </c>
      <c r="H68" s="168" t="s">
        <v>1107</v>
      </c>
      <c r="I68" s="168" t="s">
        <v>577</v>
      </c>
      <c r="J68" s="169">
        <v>16.36</v>
      </c>
      <c r="K68" s="169">
        <v>4380.05</v>
      </c>
    </row>
    <row r="69" spans="2:11" x14ac:dyDescent="0.25">
      <c r="B69" s="168" t="s">
        <v>762</v>
      </c>
      <c r="C69" s="168" t="s">
        <v>573</v>
      </c>
      <c r="D69" s="168"/>
      <c r="E69" s="168" t="s">
        <v>574</v>
      </c>
      <c r="F69" s="168" t="s">
        <v>1131</v>
      </c>
      <c r="G69" s="168" t="s">
        <v>1177</v>
      </c>
      <c r="H69" s="168" t="s">
        <v>1107</v>
      </c>
      <c r="I69" s="168" t="s">
        <v>577</v>
      </c>
      <c r="J69" s="169">
        <v>30</v>
      </c>
      <c r="K69" s="169">
        <v>4410.05</v>
      </c>
    </row>
    <row r="70" spans="2:11" x14ac:dyDescent="0.25">
      <c r="B70" s="168" t="s">
        <v>731</v>
      </c>
      <c r="C70" s="168" t="s">
        <v>573</v>
      </c>
      <c r="D70" s="168"/>
      <c r="E70" s="168" t="s">
        <v>574</v>
      </c>
      <c r="F70" s="168" t="s">
        <v>1137</v>
      </c>
      <c r="G70" s="168" t="s">
        <v>1178</v>
      </c>
      <c r="H70" s="168" t="s">
        <v>1107</v>
      </c>
      <c r="I70" s="168" t="s">
        <v>581</v>
      </c>
      <c r="J70" s="169">
        <v>26.26</v>
      </c>
      <c r="K70" s="169">
        <v>4436.3100000000004</v>
      </c>
    </row>
    <row r="71" spans="2:11" x14ac:dyDescent="0.25">
      <c r="B71" s="168" t="s">
        <v>880</v>
      </c>
      <c r="C71" s="168" t="s">
        <v>573</v>
      </c>
      <c r="D71" s="168"/>
      <c r="E71" s="168" t="s">
        <v>574</v>
      </c>
      <c r="F71" s="168" t="s">
        <v>1131</v>
      </c>
      <c r="G71" s="168" t="s">
        <v>1179</v>
      </c>
      <c r="H71" s="168" t="s">
        <v>1107</v>
      </c>
      <c r="I71" s="168" t="s">
        <v>581</v>
      </c>
      <c r="J71" s="169">
        <v>18.78</v>
      </c>
      <c r="K71" s="169">
        <v>4455.09</v>
      </c>
    </row>
    <row r="72" spans="2:11" x14ac:dyDescent="0.25">
      <c r="B72" s="168" t="s">
        <v>880</v>
      </c>
      <c r="C72" s="168" t="s">
        <v>573</v>
      </c>
      <c r="D72" s="168"/>
      <c r="E72" s="168" t="s">
        <v>574</v>
      </c>
      <c r="F72" s="168" t="s">
        <v>1143</v>
      </c>
      <c r="G72" s="168" t="s">
        <v>1180</v>
      </c>
      <c r="H72" s="168" t="s">
        <v>1107</v>
      </c>
      <c r="I72" s="168" t="s">
        <v>577</v>
      </c>
      <c r="J72" s="169">
        <v>25</v>
      </c>
      <c r="K72" s="169">
        <v>4480.09</v>
      </c>
    </row>
    <row r="73" spans="2:11" x14ac:dyDescent="0.25">
      <c r="B73" s="168" t="s">
        <v>1181</v>
      </c>
      <c r="C73" s="168" t="s">
        <v>573</v>
      </c>
      <c r="D73" s="168"/>
      <c r="E73" s="168" t="s">
        <v>574</v>
      </c>
      <c r="F73" s="168" t="s">
        <v>1182</v>
      </c>
      <c r="G73" s="168" t="s">
        <v>1183</v>
      </c>
      <c r="H73" s="168" t="s">
        <v>1107</v>
      </c>
      <c r="I73" s="168" t="s">
        <v>581</v>
      </c>
      <c r="J73" s="169">
        <v>30</v>
      </c>
      <c r="K73" s="169">
        <v>4510.09</v>
      </c>
    </row>
    <row r="74" spans="2:11" x14ac:dyDescent="0.25">
      <c r="B74" s="168" t="s">
        <v>881</v>
      </c>
      <c r="C74" s="168" t="s">
        <v>573</v>
      </c>
      <c r="D74" s="168"/>
      <c r="E74" s="168" t="s">
        <v>574</v>
      </c>
      <c r="F74" s="168" t="s">
        <v>1164</v>
      </c>
      <c r="G74" s="168" t="s">
        <v>1184</v>
      </c>
      <c r="H74" s="168" t="s">
        <v>1107</v>
      </c>
      <c r="I74" s="168" t="s">
        <v>577</v>
      </c>
      <c r="J74" s="169">
        <v>14.68</v>
      </c>
      <c r="K74" s="169">
        <v>4524.7700000000004</v>
      </c>
    </row>
    <row r="75" spans="2:11" x14ac:dyDescent="0.25">
      <c r="B75" s="168" t="s">
        <v>594</v>
      </c>
      <c r="C75" s="168" t="s">
        <v>573</v>
      </c>
      <c r="D75" s="168"/>
      <c r="E75" s="168" t="s">
        <v>574</v>
      </c>
      <c r="F75" s="168" t="s">
        <v>1164</v>
      </c>
      <c r="G75" s="168" t="s">
        <v>1184</v>
      </c>
      <c r="H75" s="168" t="s">
        <v>1107</v>
      </c>
      <c r="I75" s="168" t="s">
        <v>577</v>
      </c>
      <c r="J75" s="169">
        <v>15.11</v>
      </c>
      <c r="K75" s="169">
        <v>4539.88</v>
      </c>
    </row>
    <row r="76" spans="2:11" x14ac:dyDescent="0.25">
      <c r="B76" s="168" t="s">
        <v>764</v>
      </c>
      <c r="C76" s="168" t="s">
        <v>573</v>
      </c>
      <c r="D76" s="168"/>
      <c r="E76" s="168" t="s">
        <v>574</v>
      </c>
      <c r="F76" s="168" t="s">
        <v>1185</v>
      </c>
      <c r="G76" s="168" t="s">
        <v>1186</v>
      </c>
      <c r="H76" s="168" t="s">
        <v>1107</v>
      </c>
      <c r="I76" s="168" t="s">
        <v>581</v>
      </c>
      <c r="J76" s="169">
        <v>10</v>
      </c>
      <c r="K76" s="169">
        <v>4549.88</v>
      </c>
    </row>
    <row r="77" spans="2:11" x14ac:dyDescent="0.25">
      <c r="B77" s="168" t="s">
        <v>882</v>
      </c>
      <c r="C77" s="168" t="s">
        <v>573</v>
      </c>
      <c r="D77" s="168"/>
      <c r="E77" s="168" t="s">
        <v>574</v>
      </c>
      <c r="F77" s="168" t="s">
        <v>1137</v>
      </c>
      <c r="G77" s="168" t="s">
        <v>1138</v>
      </c>
      <c r="H77" s="168" t="s">
        <v>1107</v>
      </c>
      <c r="I77" s="168" t="s">
        <v>742</v>
      </c>
      <c r="J77" s="169">
        <v>9.92</v>
      </c>
      <c r="K77" s="169">
        <v>4559.8</v>
      </c>
    </row>
    <row r="78" spans="2:11" x14ac:dyDescent="0.25">
      <c r="B78" s="168" t="s">
        <v>882</v>
      </c>
      <c r="C78" s="168" t="s">
        <v>573</v>
      </c>
      <c r="D78" s="168"/>
      <c r="E78" s="168" t="s">
        <v>574</v>
      </c>
      <c r="F78" s="168" t="s">
        <v>1164</v>
      </c>
      <c r="G78" s="168" t="s">
        <v>1184</v>
      </c>
      <c r="H78" s="168" t="s">
        <v>1107</v>
      </c>
      <c r="I78" s="168" t="s">
        <v>577</v>
      </c>
      <c r="J78" s="169">
        <v>13.23</v>
      </c>
      <c r="K78" s="169">
        <v>4573.03</v>
      </c>
    </row>
    <row r="79" spans="2:11" x14ac:dyDescent="0.25">
      <c r="B79" s="168" t="s">
        <v>882</v>
      </c>
      <c r="C79" s="168" t="s">
        <v>573</v>
      </c>
      <c r="D79" s="168"/>
      <c r="E79" s="168" t="s">
        <v>574</v>
      </c>
      <c r="F79" s="168" t="s">
        <v>1137</v>
      </c>
      <c r="G79" s="168" t="s">
        <v>1187</v>
      </c>
      <c r="H79" s="168" t="s">
        <v>1107</v>
      </c>
      <c r="I79" s="168" t="s">
        <v>577</v>
      </c>
      <c r="J79" s="169">
        <v>15.59</v>
      </c>
      <c r="K79" s="169">
        <v>4588.62</v>
      </c>
    </row>
    <row r="80" spans="2:11" x14ac:dyDescent="0.25">
      <c r="B80" s="168" t="s">
        <v>882</v>
      </c>
      <c r="C80" s="168" t="s">
        <v>573</v>
      </c>
      <c r="D80" s="168"/>
      <c r="E80" s="168" t="s">
        <v>574</v>
      </c>
      <c r="F80" s="168" t="s">
        <v>1164</v>
      </c>
      <c r="G80" s="168" t="s">
        <v>1184</v>
      </c>
      <c r="H80" s="168" t="s">
        <v>1107</v>
      </c>
      <c r="I80" s="168" t="s">
        <v>577</v>
      </c>
      <c r="J80" s="169">
        <v>33.28</v>
      </c>
      <c r="K80" s="169">
        <v>4621.8999999999996</v>
      </c>
    </row>
    <row r="81" spans="2:11" x14ac:dyDescent="0.25">
      <c r="B81" s="168" t="s">
        <v>598</v>
      </c>
      <c r="C81" s="168" t="s">
        <v>573</v>
      </c>
      <c r="D81" s="168"/>
      <c r="E81" s="168" t="s">
        <v>574</v>
      </c>
      <c r="F81" s="168" t="s">
        <v>1164</v>
      </c>
      <c r="G81" s="168" t="s">
        <v>1184</v>
      </c>
      <c r="H81" s="168" t="s">
        <v>1107</v>
      </c>
      <c r="I81" s="168" t="s">
        <v>577</v>
      </c>
      <c r="J81" s="169">
        <v>12.54</v>
      </c>
      <c r="K81" s="169">
        <v>4634.4399999999996</v>
      </c>
    </row>
    <row r="82" spans="2:11" x14ac:dyDescent="0.25">
      <c r="B82" s="168" t="s">
        <v>889</v>
      </c>
      <c r="C82" s="168" t="s">
        <v>573</v>
      </c>
      <c r="D82" s="168"/>
      <c r="E82" s="168" t="s">
        <v>574</v>
      </c>
      <c r="F82" s="168" t="s">
        <v>1163</v>
      </c>
      <c r="G82" s="168" t="s">
        <v>1163</v>
      </c>
      <c r="H82" s="168" t="s">
        <v>1107</v>
      </c>
      <c r="I82" s="168" t="s">
        <v>577</v>
      </c>
      <c r="J82" s="169">
        <v>3.79</v>
      </c>
      <c r="K82" s="169">
        <v>4638.2299999999996</v>
      </c>
    </row>
    <row r="83" spans="2:11" x14ac:dyDescent="0.25">
      <c r="B83" s="168" t="s">
        <v>889</v>
      </c>
      <c r="C83" s="168" t="s">
        <v>573</v>
      </c>
      <c r="D83" s="168"/>
      <c r="E83" s="168" t="s">
        <v>574</v>
      </c>
      <c r="F83" s="168" t="s">
        <v>1188</v>
      </c>
      <c r="G83" s="168" t="s">
        <v>1188</v>
      </c>
      <c r="H83" s="168" t="s">
        <v>1107</v>
      </c>
      <c r="I83" s="168" t="s">
        <v>577</v>
      </c>
      <c r="J83" s="169">
        <v>15</v>
      </c>
      <c r="K83" s="169">
        <v>4653.2299999999996</v>
      </c>
    </row>
    <row r="84" spans="2:11" x14ac:dyDescent="0.25">
      <c r="B84" s="168" t="s">
        <v>889</v>
      </c>
      <c r="C84" s="168" t="s">
        <v>573</v>
      </c>
      <c r="D84" s="168"/>
      <c r="E84" s="168" t="s">
        <v>574</v>
      </c>
      <c r="F84" s="168" t="s">
        <v>1189</v>
      </c>
      <c r="G84" s="168" t="s">
        <v>1190</v>
      </c>
      <c r="H84" s="168" t="s">
        <v>1107</v>
      </c>
      <c r="I84" s="168" t="s">
        <v>577</v>
      </c>
      <c r="J84" s="169">
        <v>62</v>
      </c>
      <c r="K84" s="169">
        <v>4715.2299999999996</v>
      </c>
    </row>
    <row r="85" spans="2:11" x14ac:dyDescent="0.25">
      <c r="B85" s="168" t="s">
        <v>1191</v>
      </c>
      <c r="C85" s="168" t="s">
        <v>573</v>
      </c>
      <c r="D85" s="168"/>
      <c r="E85" s="168" t="s">
        <v>574</v>
      </c>
      <c r="F85" s="168" t="s">
        <v>1164</v>
      </c>
      <c r="G85" s="168" t="s">
        <v>1184</v>
      </c>
      <c r="H85" s="168" t="s">
        <v>1107</v>
      </c>
      <c r="I85" s="168" t="s">
        <v>577</v>
      </c>
      <c r="J85" s="169">
        <v>11.22</v>
      </c>
      <c r="K85" s="169">
        <v>4726.45</v>
      </c>
    </row>
    <row r="86" spans="2:11" x14ac:dyDescent="0.25">
      <c r="B86" s="168" t="s">
        <v>1191</v>
      </c>
      <c r="C86" s="168" t="s">
        <v>573</v>
      </c>
      <c r="D86" s="168"/>
      <c r="E86" s="168" t="s">
        <v>574</v>
      </c>
      <c r="F86" s="168" t="s">
        <v>1192</v>
      </c>
      <c r="G86" s="168" t="s">
        <v>1193</v>
      </c>
      <c r="H86" s="168" t="s">
        <v>1107</v>
      </c>
      <c r="I86" s="168" t="s">
        <v>577</v>
      </c>
      <c r="J86" s="169">
        <v>120.93</v>
      </c>
      <c r="K86" s="169">
        <v>4847.38</v>
      </c>
    </row>
    <row r="87" spans="2:11" x14ac:dyDescent="0.25">
      <c r="B87" s="168" t="s">
        <v>1191</v>
      </c>
      <c r="C87" s="168" t="s">
        <v>573</v>
      </c>
      <c r="D87" s="168"/>
      <c r="E87" s="168" t="s">
        <v>574</v>
      </c>
      <c r="F87" s="168" t="s">
        <v>1188</v>
      </c>
      <c r="G87" s="168" t="s">
        <v>1188</v>
      </c>
      <c r="H87" s="168" t="s">
        <v>1107</v>
      </c>
      <c r="I87" s="168" t="s">
        <v>577</v>
      </c>
      <c r="J87" s="169">
        <v>37</v>
      </c>
      <c r="K87" s="169">
        <v>4884.38</v>
      </c>
    </row>
    <row r="88" spans="2:11" x14ac:dyDescent="0.25">
      <c r="B88" s="168" t="s">
        <v>1194</v>
      </c>
      <c r="C88" s="168" t="s">
        <v>573</v>
      </c>
      <c r="D88" s="168"/>
      <c r="E88" s="168" t="s">
        <v>574</v>
      </c>
      <c r="F88" s="168" t="s">
        <v>1188</v>
      </c>
      <c r="G88" s="168" t="s">
        <v>1188</v>
      </c>
      <c r="H88" s="168" t="s">
        <v>1107</v>
      </c>
      <c r="I88" s="168" t="s">
        <v>577</v>
      </c>
      <c r="J88" s="169">
        <v>18.7</v>
      </c>
      <c r="K88" s="169">
        <v>4903.08</v>
      </c>
    </row>
    <row r="89" spans="2:11" x14ac:dyDescent="0.25">
      <c r="B89" s="168" t="s">
        <v>599</v>
      </c>
      <c r="C89" s="168" t="s">
        <v>573</v>
      </c>
      <c r="D89" s="168"/>
      <c r="E89" s="168" t="s">
        <v>574</v>
      </c>
      <c r="F89" s="168" t="s">
        <v>1188</v>
      </c>
      <c r="G89" s="168" t="s">
        <v>1188</v>
      </c>
      <c r="H89" s="168" t="s">
        <v>1107</v>
      </c>
      <c r="I89" s="168" t="s">
        <v>577</v>
      </c>
      <c r="J89" s="169">
        <v>15.95</v>
      </c>
      <c r="K89" s="169">
        <v>4919.03</v>
      </c>
    </row>
    <row r="90" spans="2:11" x14ac:dyDescent="0.25">
      <c r="B90" s="168" t="s">
        <v>599</v>
      </c>
      <c r="C90" s="168" t="s">
        <v>573</v>
      </c>
      <c r="D90" s="168"/>
      <c r="E90" s="168" t="s">
        <v>574</v>
      </c>
      <c r="F90" s="168" t="s">
        <v>1188</v>
      </c>
      <c r="G90" s="168" t="s">
        <v>1188</v>
      </c>
      <c r="H90" s="168" t="s">
        <v>1107</v>
      </c>
      <c r="I90" s="168" t="s">
        <v>577</v>
      </c>
      <c r="J90" s="169">
        <v>30</v>
      </c>
      <c r="K90" s="169">
        <v>4949.03</v>
      </c>
    </row>
    <row r="91" spans="2:11" x14ac:dyDescent="0.25">
      <c r="B91" s="168" t="s">
        <v>765</v>
      </c>
      <c r="C91" s="168" t="s">
        <v>573</v>
      </c>
      <c r="D91" s="168"/>
      <c r="E91" s="168" t="s">
        <v>574</v>
      </c>
      <c r="F91" s="168" t="s">
        <v>1195</v>
      </c>
      <c r="G91" s="168" t="s">
        <v>1195</v>
      </c>
      <c r="H91" s="168" t="s">
        <v>1107</v>
      </c>
      <c r="I91" s="168" t="s">
        <v>577</v>
      </c>
      <c r="J91" s="169">
        <v>308.74</v>
      </c>
      <c r="K91" s="169">
        <v>5257.77</v>
      </c>
    </row>
    <row r="92" spans="2:11" x14ac:dyDescent="0.25">
      <c r="B92" s="168" t="s">
        <v>765</v>
      </c>
      <c r="C92" s="168" t="s">
        <v>573</v>
      </c>
      <c r="D92" s="168"/>
      <c r="E92" s="168" t="s">
        <v>574</v>
      </c>
      <c r="F92" s="168" t="s">
        <v>1196</v>
      </c>
      <c r="G92" s="168" t="s">
        <v>1197</v>
      </c>
      <c r="H92" s="168" t="s">
        <v>1107</v>
      </c>
      <c r="I92" s="168" t="s">
        <v>577</v>
      </c>
      <c r="J92" s="169">
        <v>16.84</v>
      </c>
      <c r="K92" s="169">
        <v>5274.61</v>
      </c>
    </row>
    <row r="93" spans="2:11" x14ac:dyDescent="0.25">
      <c r="B93" s="168" t="s">
        <v>765</v>
      </c>
      <c r="C93" s="168" t="s">
        <v>573</v>
      </c>
      <c r="D93" s="168"/>
      <c r="E93" s="168" t="s">
        <v>574</v>
      </c>
      <c r="F93" s="168" t="s">
        <v>1192</v>
      </c>
      <c r="G93" s="168" t="s">
        <v>1193</v>
      </c>
      <c r="H93" s="168" t="s">
        <v>1107</v>
      </c>
      <c r="I93" s="168" t="s">
        <v>577</v>
      </c>
      <c r="J93" s="169">
        <v>625.96</v>
      </c>
      <c r="K93" s="169">
        <v>5900.57</v>
      </c>
    </row>
    <row r="94" spans="2:11" x14ac:dyDescent="0.25">
      <c r="B94" s="168" t="s">
        <v>601</v>
      </c>
      <c r="C94" s="168" t="s">
        <v>573</v>
      </c>
      <c r="D94" s="168"/>
      <c r="E94" s="168" t="s">
        <v>574</v>
      </c>
      <c r="F94" s="168" t="s">
        <v>1131</v>
      </c>
      <c r="G94" s="168" t="s">
        <v>1198</v>
      </c>
      <c r="H94" s="168" t="s">
        <v>1107</v>
      </c>
      <c r="I94" s="168" t="s">
        <v>602</v>
      </c>
      <c r="J94" s="169">
        <v>17.809999999999999</v>
      </c>
      <c r="K94" s="169">
        <v>5918.38</v>
      </c>
    </row>
    <row r="95" spans="2:11" x14ac:dyDescent="0.25">
      <c r="B95" s="168" t="s">
        <v>601</v>
      </c>
      <c r="C95" s="168" t="s">
        <v>573</v>
      </c>
      <c r="D95" s="168"/>
      <c r="E95" s="168" t="s">
        <v>574</v>
      </c>
      <c r="F95" s="168" t="s">
        <v>1199</v>
      </c>
      <c r="G95" s="168" t="s">
        <v>1200</v>
      </c>
      <c r="H95" s="168" t="s">
        <v>1107</v>
      </c>
      <c r="I95" s="168" t="s">
        <v>577</v>
      </c>
      <c r="J95" s="169">
        <v>25.05</v>
      </c>
      <c r="K95" s="169">
        <v>5943.43</v>
      </c>
    </row>
    <row r="96" spans="2:11" x14ac:dyDescent="0.25">
      <c r="B96" s="168" t="s">
        <v>601</v>
      </c>
      <c r="C96" s="168" t="s">
        <v>573</v>
      </c>
      <c r="D96" s="168"/>
      <c r="E96" s="168" t="s">
        <v>574</v>
      </c>
      <c r="F96" s="168" t="s">
        <v>1201</v>
      </c>
      <c r="G96" s="168" t="s">
        <v>1201</v>
      </c>
      <c r="H96" s="168" t="s">
        <v>1107</v>
      </c>
      <c r="I96" s="168" t="s">
        <v>577</v>
      </c>
      <c r="J96" s="169">
        <v>50</v>
      </c>
      <c r="K96" s="169">
        <v>5993.43</v>
      </c>
    </row>
    <row r="97" spans="2:11" x14ac:dyDescent="0.25">
      <c r="B97" s="168" t="s">
        <v>601</v>
      </c>
      <c r="C97" s="168" t="s">
        <v>573</v>
      </c>
      <c r="D97" s="168"/>
      <c r="E97" s="168" t="s">
        <v>574</v>
      </c>
      <c r="F97" s="168" t="s">
        <v>1202</v>
      </c>
      <c r="G97" s="168" t="s">
        <v>1202</v>
      </c>
      <c r="H97" s="168" t="s">
        <v>1107</v>
      </c>
      <c r="I97" s="168" t="s">
        <v>577</v>
      </c>
      <c r="J97" s="169">
        <v>54</v>
      </c>
      <c r="K97" s="169">
        <v>6047.43</v>
      </c>
    </row>
    <row r="98" spans="2:11" x14ac:dyDescent="0.25">
      <c r="B98" s="168" t="s">
        <v>601</v>
      </c>
      <c r="C98" s="168" t="s">
        <v>573</v>
      </c>
      <c r="D98" s="168"/>
      <c r="E98" s="168" t="s">
        <v>574</v>
      </c>
      <c r="F98" s="168" t="s">
        <v>1131</v>
      </c>
      <c r="G98" s="168" t="s">
        <v>1198</v>
      </c>
      <c r="H98" s="168" t="s">
        <v>1107</v>
      </c>
      <c r="I98" s="168" t="s">
        <v>602</v>
      </c>
      <c r="J98" s="169">
        <v>60.9</v>
      </c>
      <c r="K98" s="169">
        <v>6108.33</v>
      </c>
    </row>
    <row r="99" spans="2:11" x14ac:dyDescent="0.25">
      <c r="B99" s="168" t="s">
        <v>733</v>
      </c>
      <c r="C99" s="168" t="s">
        <v>573</v>
      </c>
      <c r="D99" s="168"/>
      <c r="E99" s="168" t="s">
        <v>574</v>
      </c>
      <c r="F99" s="168" t="s">
        <v>1185</v>
      </c>
      <c r="G99" s="168" t="s">
        <v>1186</v>
      </c>
      <c r="H99" s="168" t="s">
        <v>1107</v>
      </c>
      <c r="I99" s="168" t="s">
        <v>602</v>
      </c>
      <c r="J99" s="169">
        <v>12</v>
      </c>
      <c r="K99" s="169">
        <v>6120.33</v>
      </c>
    </row>
    <row r="100" spans="2:11" x14ac:dyDescent="0.25">
      <c r="B100" s="168" t="s">
        <v>1041</v>
      </c>
      <c r="C100" s="168" t="s">
        <v>573</v>
      </c>
      <c r="D100" s="168"/>
      <c r="E100" s="168" t="s">
        <v>574</v>
      </c>
      <c r="F100" s="168" t="s">
        <v>1203</v>
      </c>
      <c r="G100" s="168" t="s">
        <v>1204</v>
      </c>
      <c r="H100" s="168" t="s">
        <v>1107</v>
      </c>
      <c r="I100" s="168" t="s">
        <v>585</v>
      </c>
      <c r="J100" s="169">
        <v>47.14</v>
      </c>
      <c r="K100" s="169">
        <v>6167.47</v>
      </c>
    </row>
    <row r="101" spans="2:11" x14ac:dyDescent="0.25">
      <c r="B101" s="168" t="s">
        <v>767</v>
      </c>
      <c r="C101" s="168" t="s">
        <v>573</v>
      </c>
      <c r="D101" s="168"/>
      <c r="E101" s="168" t="s">
        <v>574</v>
      </c>
      <c r="F101" s="168" t="s">
        <v>1164</v>
      </c>
      <c r="G101" s="168" t="s">
        <v>1184</v>
      </c>
      <c r="H101" s="168" t="s">
        <v>1107</v>
      </c>
      <c r="I101" s="168" t="s">
        <v>577</v>
      </c>
      <c r="J101" s="169">
        <v>16.87</v>
      </c>
      <c r="K101" s="169">
        <v>6184.34</v>
      </c>
    </row>
    <row r="102" spans="2:11" x14ac:dyDescent="0.25">
      <c r="B102" s="168" t="s">
        <v>767</v>
      </c>
      <c r="C102" s="168" t="s">
        <v>573</v>
      </c>
      <c r="D102" s="168"/>
      <c r="E102" s="168" t="s">
        <v>574</v>
      </c>
      <c r="F102" s="168" t="s">
        <v>1164</v>
      </c>
      <c r="G102" s="168" t="s">
        <v>1184</v>
      </c>
      <c r="H102" s="168" t="s">
        <v>1107</v>
      </c>
      <c r="I102" s="168" t="s">
        <v>577</v>
      </c>
      <c r="J102" s="169">
        <v>18.25</v>
      </c>
      <c r="K102" s="169">
        <v>6202.59</v>
      </c>
    </row>
    <row r="103" spans="2:11" x14ac:dyDescent="0.25">
      <c r="B103" s="168" t="s">
        <v>767</v>
      </c>
      <c r="C103" s="168" t="s">
        <v>573</v>
      </c>
      <c r="D103" s="168"/>
      <c r="E103" s="168" t="s">
        <v>574</v>
      </c>
      <c r="F103" s="168" t="s">
        <v>1205</v>
      </c>
      <c r="G103" s="168" t="s">
        <v>1206</v>
      </c>
      <c r="H103" s="168" t="s">
        <v>1107</v>
      </c>
      <c r="I103" s="168" t="s">
        <v>577</v>
      </c>
      <c r="J103" s="169">
        <v>40</v>
      </c>
      <c r="K103" s="169">
        <v>6242.59</v>
      </c>
    </row>
    <row r="104" spans="2:11" x14ac:dyDescent="0.25">
      <c r="B104" s="168" t="s">
        <v>1207</v>
      </c>
      <c r="C104" s="168" t="s">
        <v>573</v>
      </c>
      <c r="D104" s="168"/>
      <c r="E104" s="168" t="s">
        <v>574</v>
      </c>
      <c r="F104" s="168" t="s">
        <v>1164</v>
      </c>
      <c r="G104" s="168" t="s">
        <v>1208</v>
      </c>
      <c r="H104" s="168" t="s">
        <v>1107</v>
      </c>
      <c r="I104" s="168" t="s">
        <v>577</v>
      </c>
      <c r="J104" s="169">
        <v>13.32</v>
      </c>
      <c r="K104" s="169">
        <v>6255.91</v>
      </c>
    </row>
    <row r="105" spans="2:11" x14ac:dyDescent="0.25">
      <c r="B105" s="168" t="s">
        <v>1207</v>
      </c>
      <c r="C105" s="168" t="s">
        <v>573</v>
      </c>
      <c r="D105" s="168"/>
      <c r="E105" s="168" t="s">
        <v>574</v>
      </c>
      <c r="F105" s="168" t="s">
        <v>1205</v>
      </c>
      <c r="G105" s="168" t="s">
        <v>1206</v>
      </c>
      <c r="H105" s="168" t="s">
        <v>1107</v>
      </c>
      <c r="I105" s="168" t="s">
        <v>602</v>
      </c>
      <c r="J105" s="169">
        <v>40</v>
      </c>
      <c r="K105" s="169">
        <v>6295.91</v>
      </c>
    </row>
    <row r="106" spans="2:11" x14ac:dyDescent="0.25">
      <c r="B106" s="168" t="s">
        <v>1209</v>
      </c>
      <c r="C106" s="168" t="s">
        <v>573</v>
      </c>
      <c r="D106" s="168"/>
      <c r="E106" s="168" t="s">
        <v>574</v>
      </c>
      <c r="F106" s="168" t="s">
        <v>1185</v>
      </c>
      <c r="G106" s="168" t="s">
        <v>1186</v>
      </c>
      <c r="H106" s="168" t="s">
        <v>1107</v>
      </c>
      <c r="I106" s="168" t="s">
        <v>581</v>
      </c>
      <c r="J106" s="169">
        <v>19</v>
      </c>
      <c r="K106" s="169">
        <v>6314.91</v>
      </c>
    </row>
    <row r="107" spans="2:11" x14ac:dyDescent="0.25">
      <c r="B107" s="168" t="s">
        <v>893</v>
      </c>
      <c r="C107" s="168" t="s">
        <v>573</v>
      </c>
      <c r="D107" s="168"/>
      <c r="E107" s="168" t="s">
        <v>574</v>
      </c>
      <c r="F107" s="168" t="s">
        <v>1164</v>
      </c>
      <c r="G107" s="168" t="s">
        <v>1210</v>
      </c>
      <c r="H107" s="168" t="s">
        <v>1107</v>
      </c>
      <c r="I107" s="168" t="s">
        <v>577</v>
      </c>
      <c r="J107" s="169">
        <v>19.829999999999998</v>
      </c>
      <c r="K107" s="169">
        <v>6334.74</v>
      </c>
    </row>
    <row r="108" spans="2:11" x14ac:dyDescent="0.25">
      <c r="B108" s="168" t="s">
        <v>893</v>
      </c>
      <c r="C108" s="168" t="s">
        <v>573</v>
      </c>
      <c r="D108" s="168"/>
      <c r="E108" s="168" t="s">
        <v>574</v>
      </c>
      <c r="F108" s="168" t="s">
        <v>1164</v>
      </c>
      <c r="G108" s="168" t="s">
        <v>1184</v>
      </c>
      <c r="H108" s="168" t="s">
        <v>1107</v>
      </c>
      <c r="I108" s="168" t="s">
        <v>577</v>
      </c>
      <c r="J108" s="169">
        <v>16.28</v>
      </c>
      <c r="K108" s="169">
        <v>6351.02</v>
      </c>
    </row>
    <row r="109" spans="2:11" x14ac:dyDescent="0.25">
      <c r="B109" s="168" t="s">
        <v>893</v>
      </c>
      <c r="C109" s="168" t="s">
        <v>573</v>
      </c>
      <c r="D109" s="168"/>
      <c r="E109" s="168" t="s">
        <v>574</v>
      </c>
      <c r="F109" s="168" t="s">
        <v>1164</v>
      </c>
      <c r="G109" s="168" t="s">
        <v>1184</v>
      </c>
      <c r="H109" s="168" t="s">
        <v>1107</v>
      </c>
      <c r="I109" s="168" t="s">
        <v>577</v>
      </c>
      <c r="J109" s="169">
        <v>21.36</v>
      </c>
      <c r="K109" s="169">
        <v>6372.38</v>
      </c>
    </row>
    <row r="110" spans="2:11" x14ac:dyDescent="0.25">
      <c r="B110" s="168" t="s">
        <v>1211</v>
      </c>
      <c r="C110" s="168" t="s">
        <v>573</v>
      </c>
      <c r="D110" s="168"/>
      <c r="E110" s="168" t="s">
        <v>574</v>
      </c>
      <c r="F110" s="168" t="s">
        <v>1137</v>
      </c>
      <c r="G110" s="168" t="s">
        <v>1187</v>
      </c>
      <c r="H110" s="168" t="s">
        <v>1107</v>
      </c>
      <c r="I110" s="168" t="s">
        <v>581</v>
      </c>
      <c r="J110" s="169">
        <v>10.83</v>
      </c>
      <c r="K110" s="169">
        <v>6383.21</v>
      </c>
    </row>
    <row r="111" spans="2:11" x14ac:dyDescent="0.25">
      <c r="B111" s="168" t="s">
        <v>1211</v>
      </c>
      <c r="C111" s="168" t="s">
        <v>573</v>
      </c>
      <c r="D111" s="168"/>
      <c r="E111" s="168" t="s">
        <v>574</v>
      </c>
      <c r="F111" s="168" t="s">
        <v>1212</v>
      </c>
      <c r="G111" s="168" t="s">
        <v>1213</v>
      </c>
      <c r="H111" s="168" t="s">
        <v>1107</v>
      </c>
      <c r="I111" s="168" t="s">
        <v>581</v>
      </c>
      <c r="J111" s="169">
        <v>10.81</v>
      </c>
      <c r="K111" s="169">
        <v>6394.02</v>
      </c>
    </row>
    <row r="112" spans="2:11" x14ac:dyDescent="0.25">
      <c r="B112" s="168" t="s">
        <v>1211</v>
      </c>
      <c r="C112" s="168" t="s">
        <v>573</v>
      </c>
      <c r="D112" s="168"/>
      <c r="E112" s="168" t="s">
        <v>574</v>
      </c>
      <c r="F112" s="168" t="s">
        <v>1212</v>
      </c>
      <c r="G112" s="168" t="s">
        <v>1213</v>
      </c>
      <c r="H112" s="168" t="s">
        <v>1107</v>
      </c>
      <c r="I112" s="168" t="s">
        <v>581</v>
      </c>
      <c r="J112" s="169">
        <v>57.58</v>
      </c>
      <c r="K112" s="169">
        <v>6451.6</v>
      </c>
    </row>
    <row r="113" spans="2:11" x14ac:dyDescent="0.25">
      <c r="B113" s="168" t="s">
        <v>1211</v>
      </c>
      <c r="C113" s="168" t="s">
        <v>573</v>
      </c>
      <c r="D113" s="168"/>
      <c r="E113" s="168" t="s">
        <v>574</v>
      </c>
      <c r="F113" s="168" t="s">
        <v>1164</v>
      </c>
      <c r="G113" s="168" t="s">
        <v>1184</v>
      </c>
      <c r="H113" s="168" t="s">
        <v>1107</v>
      </c>
      <c r="I113" s="168" t="s">
        <v>577</v>
      </c>
      <c r="J113" s="169">
        <v>14.72</v>
      </c>
      <c r="K113" s="169">
        <v>6466.32</v>
      </c>
    </row>
    <row r="114" spans="2:11" x14ac:dyDescent="0.25">
      <c r="B114" s="168" t="s">
        <v>895</v>
      </c>
      <c r="C114" s="168" t="s">
        <v>573</v>
      </c>
      <c r="D114" s="168"/>
      <c r="E114" s="168" t="s">
        <v>574</v>
      </c>
      <c r="F114" s="168"/>
      <c r="G114" s="168" t="s">
        <v>1214</v>
      </c>
      <c r="H114" s="168" t="s">
        <v>1107</v>
      </c>
      <c r="I114" s="168" t="s">
        <v>581</v>
      </c>
      <c r="J114" s="169">
        <v>33.840000000000003</v>
      </c>
      <c r="K114" s="169">
        <v>6500.16</v>
      </c>
    </row>
    <row r="115" spans="2:11" x14ac:dyDescent="0.25">
      <c r="B115" s="168" t="s">
        <v>1215</v>
      </c>
      <c r="C115" s="168" t="s">
        <v>573</v>
      </c>
      <c r="D115" s="168"/>
      <c r="E115" s="168" t="s">
        <v>574</v>
      </c>
      <c r="F115" s="168" t="s">
        <v>1131</v>
      </c>
      <c r="G115" s="168" t="s">
        <v>1216</v>
      </c>
      <c r="H115" s="168" t="s">
        <v>1107</v>
      </c>
      <c r="I115" s="168" t="s">
        <v>602</v>
      </c>
      <c r="J115" s="169">
        <v>49.96</v>
      </c>
      <c r="K115" s="169">
        <v>6550.12</v>
      </c>
    </row>
    <row r="116" spans="2:11" x14ac:dyDescent="0.25">
      <c r="B116" s="168" t="s">
        <v>1215</v>
      </c>
      <c r="C116" s="168" t="s">
        <v>573</v>
      </c>
      <c r="D116" s="168"/>
      <c r="E116" s="168" t="s">
        <v>574</v>
      </c>
      <c r="F116" s="168" t="s">
        <v>1217</v>
      </c>
      <c r="G116" s="168" t="s">
        <v>1218</v>
      </c>
      <c r="H116" s="168" t="s">
        <v>1107</v>
      </c>
      <c r="I116" s="168" t="s">
        <v>602</v>
      </c>
      <c r="J116" s="169">
        <v>50.34</v>
      </c>
      <c r="K116" s="169">
        <v>6600.46</v>
      </c>
    </row>
    <row r="117" spans="2:11" x14ac:dyDescent="0.25">
      <c r="B117" s="168" t="s">
        <v>1215</v>
      </c>
      <c r="C117" s="168" t="s">
        <v>573</v>
      </c>
      <c r="D117" s="168"/>
      <c r="E117" s="168" t="s">
        <v>574</v>
      </c>
      <c r="F117" s="168" t="s">
        <v>1219</v>
      </c>
      <c r="G117" s="168" t="s">
        <v>1220</v>
      </c>
      <c r="H117" s="168" t="s">
        <v>1107</v>
      </c>
      <c r="I117" s="168" t="s">
        <v>602</v>
      </c>
      <c r="J117" s="169">
        <v>17.32</v>
      </c>
      <c r="K117" s="169">
        <v>6617.78</v>
      </c>
    </row>
    <row r="118" spans="2:11" x14ac:dyDescent="0.25">
      <c r="B118" s="168" t="s">
        <v>1215</v>
      </c>
      <c r="C118" s="168" t="s">
        <v>573</v>
      </c>
      <c r="D118" s="168"/>
      <c r="E118" s="168" t="s">
        <v>574</v>
      </c>
      <c r="F118" s="168" t="s">
        <v>1122</v>
      </c>
      <c r="G118" s="168" t="s">
        <v>1221</v>
      </c>
      <c r="H118" s="168" t="s">
        <v>1107</v>
      </c>
      <c r="I118" s="168" t="s">
        <v>577</v>
      </c>
      <c r="J118" s="169">
        <v>5.6</v>
      </c>
      <c r="K118" s="169">
        <v>6623.38</v>
      </c>
    </row>
    <row r="119" spans="2:11" x14ac:dyDescent="0.25">
      <c r="B119" s="168" t="s">
        <v>1215</v>
      </c>
      <c r="C119" s="168" t="s">
        <v>573</v>
      </c>
      <c r="D119" s="168"/>
      <c r="E119" s="168" t="s">
        <v>574</v>
      </c>
      <c r="F119" s="168" t="s">
        <v>1122</v>
      </c>
      <c r="G119" s="168" t="s">
        <v>1222</v>
      </c>
      <c r="H119" s="168" t="s">
        <v>1107</v>
      </c>
      <c r="I119" s="168" t="s">
        <v>577</v>
      </c>
      <c r="J119" s="169">
        <v>5.6</v>
      </c>
      <c r="K119" s="169">
        <v>6628.98</v>
      </c>
    </row>
    <row r="120" spans="2:11" x14ac:dyDescent="0.25">
      <c r="B120" s="168" t="s">
        <v>1215</v>
      </c>
      <c r="C120" s="168" t="s">
        <v>573</v>
      </c>
      <c r="D120" s="168"/>
      <c r="E120" s="168" t="s">
        <v>574</v>
      </c>
      <c r="F120" s="168" t="s">
        <v>1172</v>
      </c>
      <c r="G120" s="168" t="s">
        <v>1223</v>
      </c>
      <c r="H120" s="168" t="s">
        <v>1107</v>
      </c>
      <c r="I120" s="168" t="s">
        <v>602</v>
      </c>
      <c r="J120" s="169">
        <v>1644.15</v>
      </c>
      <c r="K120" s="169">
        <v>8273.1299999999992</v>
      </c>
    </row>
    <row r="121" spans="2:11" x14ac:dyDescent="0.25">
      <c r="B121" s="168" t="s">
        <v>1215</v>
      </c>
      <c r="C121" s="168" t="s">
        <v>573</v>
      </c>
      <c r="D121" s="168"/>
      <c r="E121" s="168" t="s">
        <v>574</v>
      </c>
      <c r="F121" s="168" t="s">
        <v>1122</v>
      </c>
      <c r="G121" s="168" t="s">
        <v>1224</v>
      </c>
      <c r="H121" s="168" t="s">
        <v>1107</v>
      </c>
      <c r="I121" s="168" t="s">
        <v>577</v>
      </c>
      <c r="J121" s="169">
        <v>5.6</v>
      </c>
      <c r="K121" s="169">
        <v>8278.73</v>
      </c>
    </row>
    <row r="122" spans="2:11" x14ac:dyDescent="0.25">
      <c r="B122" s="168" t="s">
        <v>1215</v>
      </c>
      <c r="C122" s="168" t="s">
        <v>573</v>
      </c>
      <c r="D122" s="168"/>
      <c r="E122" s="168" t="s">
        <v>574</v>
      </c>
      <c r="F122" s="168" t="s">
        <v>1122</v>
      </c>
      <c r="G122" s="168" t="s">
        <v>1225</v>
      </c>
      <c r="H122" s="168" t="s">
        <v>1107</v>
      </c>
      <c r="I122" s="168" t="s">
        <v>577</v>
      </c>
      <c r="J122" s="169">
        <v>5.6</v>
      </c>
      <c r="K122" s="169">
        <v>8284.33</v>
      </c>
    </row>
    <row r="123" spans="2:11" x14ac:dyDescent="0.25">
      <c r="B123" s="168" t="s">
        <v>1045</v>
      </c>
      <c r="C123" s="168" t="s">
        <v>573</v>
      </c>
      <c r="D123" s="168"/>
      <c r="E123" s="168" t="s">
        <v>574</v>
      </c>
      <c r="F123" s="168" t="s">
        <v>818</v>
      </c>
      <c r="G123" s="168" t="s">
        <v>1226</v>
      </c>
      <c r="H123" s="168" t="s">
        <v>1107</v>
      </c>
      <c r="I123" s="168" t="s">
        <v>577</v>
      </c>
      <c r="J123" s="169">
        <v>165.69</v>
      </c>
      <c r="K123" s="169">
        <v>8450.02</v>
      </c>
    </row>
    <row r="124" spans="2:11" x14ac:dyDescent="0.25">
      <c r="B124" s="168" t="s">
        <v>897</v>
      </c>
      <c r="C124" s="168" t="s">
        <v>863</v>
      </c>
      <c r="D124" s="168"/>
      <c r="E124" s="168" t="s">
        <v>574</v>
      </c>
      <c r="F124" s="168" t="s">
        <v>818</v>
      </c>
      <c r="G124" s="168" t="s">
        <v>1226</v>
      </c>
      <c r="H124" s="168" t="s">
        <v>1107</v>
      </c>
      <c r="I124" s="168" t="s">
        <v>577</v>
      </c>
      <c r="J124" s="169">
        <v>-165.69</v>
      </c>
      <c r="K124" s="169">
        <v>8284.33</v>
      </c>
    </row>
    <row r="125" spans="2:11" x14ac:dyDescent="0.25">
      <c r="B125" s="168" t="s">
        <v>897</v>
      </c>
      <c r="C125" s="168" t="s">
        <v>573</v>
      </c>
      <c r="D125" s="168"/>
      <c r="E125" s="168" t="s">
        <v>574</v>
      </c>
      <c r="F125" s="168" t="s">
        <v>1122</v>
      </c>
      <c r="G125" s="168" t="s">
        <v>1227</v>
      </c>
      <c r="H125" s="168" t="s">
        <v>1107</v>
      </c>
      <c r="I125" s="168" t="s">
        <v>577</v>
      </c>
      <c r="J125" s="169">
        <v>11.2</v>
      </c>
      <c r="K125" s="169">
        <v>8295.5300000000007</v>
      </c>
    </row>
    <row r="126" spans="2:11" x14ac:dyDescent="0.25">
      <c r="B126" s="168" t="s">
        <v>897</v>
      </c>
      <c r="C126" s="168" t="s">
        <v>573</v>
      </c>
      <c r="D126" s="168"/>
      <c r="E126" s="168" t="s">
        <v>574</v>
      </c>
      <c r="F126" s="168" t="s">
        <v>1122</v>
      </c>
      <c r="G126" s="168" t="s">
        <v>1228</v>
      </c>
      <c r="H126" s="168" t="s">
        <v>1107</v>
      </c>
      <c r="I126" s="168" t="s">
        <v>577</v>
      </c>
      <c r="J126" s="169">
        <v>11.2</v>
      </c>
      <c r="K126" s="169">
        <v>8306.73</v>
      </c>
    </row>
    <row r="127" spans="2:11" x14ac:dyDescent="0.25">
      <c r="B127" s="168" t="s">
        <v>897</v>
      </c>
      <c r="C127" s="168" t="s">
        <v>573</v>
      </c>
      <c r="D127" s="168"/>
      <c r="E127" s="168" t="s">
        <v>574</v>
      </c>
      <c r="F127" s="168" t="s">
        <v>1164</v>
      </c>
      <c r="G127" s="168" t="s">
        <v>1184</v>
      </c>
      <c r="H127" s="168" t="s">
        <v>1107</v>
      </c>
      <c r="I127" s="168" t="s">
        <v>577</v>
      </c>
      <c r="J127" s="169">
        <v>11.89</v>
      </c>
      <c r="K127" s="169">
        <v>8318.6200000000008</v>
      </c>
    </row>
    <row r="128" spans="2:11" x14ac:dyDescent="0.25">
      <c r="B128" s="168" t="s">
        <v>897</v>
      </c>
      <c r="C128" s="168" t="s">
        <v>573</v>
      </c>
      <c r="D128" s="168"/>
      <c r="E128" s="168" t="s">
        <v>574</v>
      </c>
      <c r="F128" s="168" t="s">
        <v>1137</v>
      </c>
      <c r="G128" s="168" t="s">
        <v>1229</v>
      </c>
      <c r="H128" s="168" t="s">
        <v>1107</v>
      </c>
      <c r="I128" s="168" t="s">
        <v>581</v>
      </c>
      <c r="J128" s="169">
        <v>32.1</v>
      </c>
      <c r="K128" s="169">
        <v>8350.7199999999993</v>
      </c>
    </row>
    <row r="129" spans="2:11" x14ac:dyDescent="0.25">
      <c r="B129" s="168" t="s">
        <v>897</v>
      </c>
      <c r="C129" s="168" t="s">
        <v>573</v>
      </c>
      <c r="D129" s="168"/>
      <c r="E129" s="168" t="s">
        <v>574</v>
      </c>
      <c r="F129" s="168" t="s">
        <v>818</v>
      </c>
      <c r="G129" s="168" t="s">
        <v>1230</v>
      </c>
      <c r="H129" s="168" t="s">
        <v>1107</v>
      </c>
      <c r="I129" s="168" t="s">
        <v>577</v>
      </c>
      <c r="J129" s="169">
        <v>528.44000000000005</v>
      </c>
      <c r="K129" s="169">
        <v>8879.16</v>
      </c>
    </row>
    <row r="130" spans="2:11" x14ac:dyDescent="0.25">
      <c r="B130" s="168" t="s">
        <v>1231</v>
      </c>
      <c r="C130" s="168" t="s">
        <v>573</v>
      </c>
      <c r="D130" s="168"/>
      <c r="E130" s="168" t="s">
        <v>574</v>
      </c>
      <c r="F130" s="168" t="s">
        <v>1164</v>
      </c>
      <c r="G130" s="168" t="s">
        <v>1184</v>
      </c>
      <c r="H130" s="168" t="s">
        <v>1107</v>
      </c>
      <c r="I130" s="168" t="s">
        <v>577</v>
      </c>
      <c r="J130" s="169">
        <v>12.18</v>
      </c>
      <c r="K130" s="169">
        <v>8891.34</v>
      </c>
    </row>
    <row r="131" spans="2:11" x14ac:dyDescent="0.25">
      <c r="B131" s="168" t="s">
        <v>1049</v>
      </c>
      <c r="C131" s="168" t="s">
        <v>573</v>
      </c>
      <c r="D131" s="168"/>
      <c r="E131" s="168" t="s">
        <v>574</v>
      </c>
      <c r="F131" s="168" t="s">
        <v>1164</v>
      </c>
      <c r="G131" s="168" t="s">
        <v>1184</v>
      </c>
      <c r="H131" s="168" t="s">
        <v>1107</v>
      </c>
      <c r="I131" s="168" t="s">
        <v>577</v>
      </c>
      <c r="J131" s="169">
        <v>12</v>
      </c>
      <c r="K131" s="169">
        <v>8903.34</v>
      </c>
    </row>
    <row r="132" spans="2:11" x14ac:dyDescent="0.25">
      <c r="B132" s="168" t="s">
        <v>898</v>
      </c>
      <c r="C132" s="168" t="s">
        <v>573</v>
      </c>
      <c r="D132" s="168"/>
      <c r="E132" s="168" t="s">
        <v>574</v>
      </c>
      <c r="F132" s="168" t="s">
        <v>1164</v>
      </c>
      <c r="G132" s="168" t="s">
        <v>1184</v>
      </c>
      <c r="H132" s="168" t="s">
        <v>1107</v>
      </c>
      <c r="I132" s="168" t="s">
        <v>577</v>
      </c>
      <c r="J132" s="169">
        <v>10.15</v>
      </c>
      <c r="K132" s="169">
        <v>8913.49</v>
      </c>
    </row>
    <row r="133" spans="2:11" x14ac:dyDescent="0.25">
      <c r="B133" s="168" t="s">
        <v>898</v>
      </c>
      <c r="C133" s="168" t="s">
        <v>573</v>
      </c>
      <c r="D133" s="168"/>
      <c r="E133" s="168" t="s">
        <v>574</v>
      </c>
      <c r="F133" s="168" t="s">
        <v>1164</v>
      </c>
      <c r="G133" s="168" t="s">
        <v>1184</v>
      </c>
      <c r="H133" s="168" t="s">
        <v>1107</v>
      </c>
      <c r="I133" s="168" t="s">
        <v>577</v>
      </c>
      <c r="J133" s="169">
        <v>16.72</v>
      </c>
      <c r="K133" s="169">
        <v>8930.2099999999991</v>
      </c>
    </row>
    <row r="134" spans="2:11" x14ac:dyDescent="0.25">
      <c r="B134" s="168" t="s">
        <v>898</v>
      </c>
      <c r="C134" s="168" t="s">
        <v>573</v>
      </c>
      <c r="D134" s="168"/>
      <c r="E134" s="168" t="s">
        <v>574</v>
      </c>
      <c r="F134" s="168" t="s">
        <v>1232</v>
      </c>
      <c r="G134" s="168" t="s">
        <v>1233</v>
      </c>
      <c r="H134" s="168" t="s">
        <v>1107</v>
      </c>
      <c r="I134" s="168" t="s">
        <v>577</v>
      </c>
      <c r="J134" s="169">
        <v>25.63</v>
      </c>
      <c r="K134" s="169">
        <v>8955.84</v>
      </c>
    </row>
    <row r="135" spans="2:11" x14ac:dyDescent="0.25">
      <c r="B135" s="168" t="s">
        <v>1082</v>
      </c>
      <c r="C135" s="168" t="s">
        <v>573</v>
      </c>
      <c r="D135" s="168"/>
      <c r="E135" s="168" t="s">
        <v>574</v>
      </c>
      <c r="F135" s="168" t="s">
        <v>1164</v>
      </c>
      <c r="G135" s="168" t="s">
        <v>1184</v>
      </c>
      <c r="H135" s="168" t="s">
        <v>1107</v>
      </c>
      <c r="I135" s="168" t="s">
        <v>577</v>
      </c>
      <c r="J135" s="169">
        <v>16.16</v>
      </c>
      <c r="K135" s="169">
        <v>8972</v>
      </c>
    </row>
    <row r="136" spans="2:11" x14ac:dyDescent="0.25">
      <c r="B136" s="168" t="s">
        <v>771</v>
      </c>
      <c r="C136" s="168" t="s">
        <v>573</v>
      </c>
      <c r="D136" s="168"/>
      <c r="E136" s="168" t="s">
        <v>574</v>
      </c>
      <c r="F136" s="168" t="s">
        <v>1185</v>
      </c>
      <c r="G136" s="168" t="s">
        <v>1186</v>
      </c>
      <c r="H136" s="168" t="s">
        <v>1107</v>
      </c>
      <c r="I136" s="168" t="s">
        <v>581</v>
      </c>
      <c r="J136" s="169">
        <v>8</v>
      </c>
      <c r="K136" s="169">
        <v>8980</v>
      </c>
    </row>
    <row r="137" spans="2:11" x14ac:dyDescent="0.25">
      <c r="B137" s="168" t="s">
        <v>771</v>
      </c>
      <c r="C137" s="168" t="s">
        <v>573</v>
      </c>
      <c r="D137" s="168"/>
      <c r="E137" s="168" t="s">
        <v>574</v>
      </c>
      <c r="F137" s="168" t="s">
        <v>1164</v>
      </c>
      <c r="G137" s="168" t="s">
        <v>1184</v>
      </c>
      <c r="H137" s="168" t="s">
        <v>1107</v>
      </c>
      <c r="I137" s="168" t="s">
        <v>577</v>
      </c>
      <c r="J137" s="169">
        <v>20.18</v>
      </c>
      <c r="K137" s="169">
        <v>9000.18</v>
      </c>
    </row>
    <row r="138" spans="2:11" x14ac:dyDescent="0.25">
      <c r="B138" s="168" t="s">
        <v>608</v>
      </c>
      <c r="C138" s="168" t="s">
        <v>573</v>
      </c>
      <c r="D138" s="168"/>
      <c r="E138" s="168" t="s">
        <v>574</v>
      </c>
      <c r="F138" s="168" t="s">
        <v>1164</v>
      </c>
      <c r="G138" s="168" t="s">
        <v>1184</v>
      </c>
      <c r="H138" s="168" t="s">
        <v>1107</v>
      </c>
      <c r="I138" s="168" t="s">
        <v>577</v>
      </c>
      <c r="J138" s="169">
        <v>10.78</v>
      </c>
      <c r="K138" s="169">
        <v>9010.9599999999991</v>
      </c>
    </row>
    <row r="139" spans="2:11" x14ac:dyDescent="0.25">
      <c r="B139" s="168" t="s">
        <v>609</v>
      </c>
      <c r="C139" s="168" t="s">
        <v>863</v>
      </c>
      <c r="D139" s="168"/>
      <c r="E139" s="168" t="s">
        <v>574</v>
      </c>
      <c r="F139" s="168" t="s">
        <v>1234</v>
      </c>
      <c r="G139" s="168" t="s">
        <v>1235</v>
      </c>
      <c r="H139" s="168" t="s">
        <v>1107</v>
      </c>
      <c r="I139" s="168" t="s">
        <v>581</v>
      </c>
      <c r="J139" s="169">
        <v>-2</v>
      </c>
      <c r="K139" s="169">
        <v>9008.9599999999991</v>
      </c>
    </row>
    <row r="140" spans="2:11" x14ac:dyDescent="0.25">
      <c r="B140" s="168" t="s">
        <v>609</v>
      </c>
      <c r="C140" s="168" t="s">
        <v>573</v>
      </c>
      <c r="D140" s="168"/>
      <c r="E140" s="168" t="s">
        <v>574</v>
      </c>
      <c r="F140" s="168" t="s">
        <v>1234</v>
      </c>
      <c r="G140" s="168" t="s">
        <v>1236</v>
      </c>
      <c r="H140" s="168" t="s">
        <v>1107</v>
      </c>
      <c r="I140" s="168" t="s">
        <v>581</v>
      </c>
      <c r="J140" s="169">
        <v>8</v>
      </c>
      <c r="K140" s="169">
        <v>9016.9599999999991</v>
      </c>
    </row>
    <row r="141" spans="2:11" x14ac:dyDescent="0.25">
      <c r="B141" s="168" t="s">
        <v>812</v>
      </c>
      <c r="C141" s="168" t="s">
        <v>863</v>
      </c>
      <c r="D141" s="168"/>
      <c r="E141" s="168" t="s">
        <v>574</v>
      </c>
      <c r="F141" s="168" t="s">
        <v>1234</v>
      </c>
      <c r="G141" s="168" t="s">
        <v>1235</v>
      </c>
      <c r="H141" s="168" t="s">
        <v>1107</v>
      </c>
      <c r="I141" s="168" t="s">
        <v>581</v>
      </c>
      <c r="J141" s="169">
        <v>-2</v>
      </c>
      <c r="K141" s="169">
        <v>9014.9599999999991</v>
      </c>
    </row>
    <row r="142" spans="2:11" x14ac:dyDescent="0.25">
      <c r="B142" s="168" t="s">
        <v>812</v>
      </c>
      <c r="C142" s="168" t="s">
        <v>863</v>
      </c>
      <c r="D142" s="168"/>
      <c r="E142" s="168" t="s">
        <v>574</v>
      </c>
      <c r="F142" s="168" t="s">
        <v>1164</v>
      </c>
      <c r="G142" s="168" t="s">
        <v>1237</v>
      </c>
      <c r="H142" s="168" t="s">
        <v>1107</v>
      </c>
      <c r="I142" s="168" t="s">
        <v>577</v>
      </c>
      <c r="J142" s="169">
        <v>-13.38</v>
      </c>
      <c r="K142" s="169">
        <v>9001.58</v>
      </c>
    </row>
    <row r="143" spans="2:11" x14ac:dyDescent="0.25">
      <c r="B143" s="168" t="s">
        <v>812</v>
      </c>
      <c r="C143" s="168" t="s">
        <v>573</v>
      </c>
      <c r="D143" s="168"/>
      <c r="E143" s="168" t="s">
        <v>574</v>
      </c>
      <c r="F143" s="168" t="s">
        <v>1234</v>
      </c>
      <c r="G143" s="168" t="s">
        <v>1238</v>
      </c>
      <c r="H143" s="168" t="s">
        <v>1107</v>
      </c>
      <c r="I143" s="168" t="s">
        <v>581</v>
      </c>
      <c r="J143" s="169">
        <v>8</v>
      </c>
      <c r="K143" s="169">
        <v>9009.58</v>
      </c>
    </row>
    <row r="144" spans="2:11" x14ac:dyDescent="0.25">
      <c r="B144" s="168" t="s">
        <v>812</v>
      </c>
      <c r="C144" s="168" t="s">
        <v>573</v>
      </c>
      <c r="D144" s="168"/>
      <c r="E144" s="168" t="s">
        <v>574</v>
      </c>
      <c r="F144" s="168" t="s">
        <v>1239</v>
      </c>
      <c r="G144" s="168" t="s">
        <v>1240</v>
      </c>
      <c r="H144" s="168" t="s">
        <v>1107</v>
      </c>
      <c r="I144" s="168" t="s">
        <v>581</v>
      </c>
      <c r="J144" s="169">
        <v>815.67</v>
      </c>
      <c r="K144" s="169">
        <v>9825.25</v>
      </c>
    </row>
    <row r="145" spans="2:11" x14ac:dyDescent="0.25">
      <c r="B145" s="168" t="s">
        <v>812</v>
      </c>
      <c r="C145" s="168" t="s">
        <v>573</v>
      </c>
      <c r="D145" s="168"/>
      <c r="E145" s="168" t="s">
        <v>574</v>
      </c>
      <c r="F145" s="168" t="s">
        <v>1164</v>
      </c>
      <c r="G145" s="168" t="s">
        <v>1184</v>
      </c>
      <c r="H145" s="168" t="s">
        <v>1107</v>
      </c>
      <c r="I145" s="168" t="s">
        <v>577</v>
      </c>
      <c r="J145" s="169">
        <v>13.38</v>
      </c>
      <c r="K145" s="169">
        <v>9838.6299999999992</v>
      </c>
    </row>
    <row r="146" spans="2:11" x14ac:dyDescent="0.25">
      <c r="B146" s="168" t="s">
        <v>812</v>
      </c>
      <c r="C146" s="168" t="s">
        <v>573</v>
      </c>
      <c r="D146" s="168"/>
      <c r="E146" s="168" t="s">
        <v>574</v>
      </c>
      <c r="F146" s="168" t="s">
        <v>1241</v>
      </c>
      <c r="G146" s="168" t="s">
        <v>1242</v>
      </c>
      <c r="H146" s="168" t="s">
        <v>1107</v>
      </c>
      <c r="I146" s="168" t="s">
        <v>581</v>
      </c>
      <c r="J146" s="169">
        <v>35</v>
      </c>
      <c r="K146" s="169">
        <v>9873.6299999999992</v>
      </c>
    </row>
    <row r="147" spans="2:11" x14ac:dyDescent="0.25">
      <c r="B147" s="168" t="s">
        <v>902</v>
      </c>
      <c r="C147" s="168" t="s">
        <v>573</v>
      </c>
      <c r="D147" s="168"/>
      <c r="E147" s="168" t="s">
        <v>574</v>
      </c>
      <c r="F147" s="168" t="s">
        <v>1243</v>
      </c>
      <c r="G147" s="168" t="s">
        <v>1243</v>
      </c>
      <c r="H147" s="168" t="s">
        <v>1107</v>
      </c>
      <c r="I147" s="168" t="s">
        <v>577</v>
      </c>
      <c r="J147" s="169">
        <v>205.85</v>
      </c>
      <c r="K147" s="169">
        <v>10079.48</v>
      </c>
    </row>
    <row r="148" spans="2:11" x14ac:dyDescent="0.25">
      <c r="B148" s="168" t="s">
        <v>773</v>
      </c>
      <c r="C148" s="168" t="s">
        <v>573</v>
      </c>
      <c r="D148" s="168"/>
      <c r="E148" s="168" t="s">
        <v>574</v>
      </c>
      <c r="F148" s="168" t="s">
        <v>1137</v>
      </c>
      <c r="G148" s="168" t="s">
        <v>1187</v>
      </c>
      <c r="H148" s="168" t="s">
        <v>1107</v>
      </c>
      <c r="I148" s="168" t="s">
        <v>581</v>
      </c>
      <c r="J148" s="169">
        <v>36.5</v>
      </c>
      <c r="K148" s="169">
        <v>10115.98</v>
      </c>
    </row>
    <row r="149" spans="2:11" x14ac:dyDescent="0.25">
      <c r="B149" s="168" t="s">
        <v>775</v>
      </c>
      <c r="C149" s="168" t="s">
        <v>573</v>
      </c>
      <c r="D149" s="168"/>
      <c r="E149" s="168" t="s">
        <v>574</v>
      </c>
      <c r="F149" s="168" t="s">
        <v>1122</v>
      </c>
      <c r="G149" s="168" t="s">
        <v>1244</v>
      </c>
      <c r="H149" s="168" t="s">
        <v>1107</v>
      </c>
      <c r="I149" s="168" t="s">
        <v>577</v>
      </c>
      <c r="J149" s="169">
        <v>427.96</v>
      </c>
      <c r="K149" s="169">
        <v>10543.94</v>
      </c>
    </row>
    <row r="150" spans="2:11" x14ac:dyDescent="0.25">
      <c r="B150" s="168" t="s">
        <v>775</v>
      </c>
      <c r="C150" s="168" t="s">
        <v>573</v>
      </c>
      <c r="D150" s="168"/>
      <c r="E150" s="168" t="s">
        <v>574</v>
      </c>
      <c r="F150" s="168" t="s">
        <v>1122</v>
      </c>
      <c r="G150" s="168" t="s">
        <v>1245</v>
      </c>
      <c r="H150" s="168" t="s">
        <v>1107</v>
      </c>
      <c r="I150" s="168" t="s">
        <v>577</v>
      </c>
      <c r="J150" s="169">
        <v>361.46</v>
      </c>
      <c r="K150" s="169">
        <v>10905.4</v>
      </c>
    </row>
    <row r="151" spans="2:11" x14ac:dyDescent="0.25">
      <c r="B151" s="168" t="s">
        <v>775</v>
      </c>
      <c r="C151" s="168" t="s">
        <v>573</v>
      </c>
      <c r="D151" s="168"/>
      <c r="E151" s="168" t="s">
        <v>574</v>
      </c>
      <c r="F151" s="168" t="s">
        <v>1122</v>
      </c>
      <c r="G151" s="168" t="s">
        <v>1246</v>
      </c>
      <c r="H151" s="168" t="s">
        <v>1107</v>
      </c>
      <c r="I151" s="168" t="s">
        <v>577</v>
      </c>
      <c r="J151" s="169">
        <v>361.46</v>
      </c>
      <c r="K151" s="169">
        <v>11266.86</v>
      </c>
    </row>
    <row r="152" spans="2:11" x14ac:dyDescent="0.25">
      <c r="B152" s="168" t="s">
        <v>775</v>
      </c>
      <c r="C152" s="168" t="s">
        <v>573</v>
      </c>
      <c r="D152" s="168"/>
      <c r="E152" s="168" t="s">
        <v>574</v>
      </c>
      <c r="F152" s="168" t="s">
        <v>1122</v>
      </c>
      <c r="G152" s="168" t="s">
        <v>1247</v>
      </c>
      <c r="H152" s="168" t="s">
        <v>1107</v>
      </c>
      <c r="I152" s="168" t="s">
        <v>577</v>
      </c>
      <c r="J152" s="169">
        <v>427.96</v>
      </c>
      <c r="K152" s="169">
        <v>11694.82</v>
      </c>
    </row>
    <row r="153" spans="2:11" x14ac:dyDescent="0.25">
      <c r="B153" s="168" t="s">
        <v>907</v>
      </c>
      <c r="C153" s="168" t="s">
        <v>863</v>
      </c>
      <c r="D153" s="168"/>
      <c r="E153" s="168" t="s">
        <v>574</v>
      </c>
      <c r="F153" s="168"/>
      <c r="G153" s="168" t="s">
        <v>1248</v>
      </c>
      <c r="H153" s="168" t="s">
        <v>1107</v>
      </c>
      <c r="I153" s="168" t="s">
        <v>577</v>
      </c>
      <c r="J153" s="169">
        <v>-34.57</v>
      </c>
      <c r="K153" s="169">
        <v>11660.25</v>
      </c>
    </row>
    <row r="154" spans="2:11" x14ac:dyDescent="0.25">
      <c r="B154" s="168" t="s">
        <v>907</v>
      </c>
      <c r="C154" s="168" t="s">
        <v>573</v>
      </c>
      <c r="D154" s="168"/>
      <c r="E154" s="168" t="s">
        <v>574</v>
      </c>
      <c r="F154" s="168" t="s">
        <v>1105</v>
      </c>
      <c r="G154" s="168" t="s">
        <v>1249</v>
      </c>
      <c r="H154" s="168" t="s">
        <v>1107</v>
      </c>
      <c r="I154" s="168" t="s">
        <v>577</v>
      </c>
      <c r="J154" s="169">
        <v>34.57</v>
      </c>
      <c r="K154" s="169">
        <v>11694.82</v>
      </c>
    </row>
    <row r="155" spans="2:11" x14ac:dyDescent="0.25">
      <c r="B155" s="168" t="s">
        <v>1250</v>
      </c>
      <c r="C155" s="168" t="s">
        <v>863</v>
      </c>
      <c r="D155" s="168"/>
      <c r="E155" s="168" t="s">
        <v>574</v>
      </c>
      <c r="F155" s="168" t="s">
        <v>1234</v>
      </c>
      <c r="G155" s="168" t="s">
        <v>1235</v>
      </c>
      <c r="H155" s="168" t="s">
        <v>1107</v>
      </c>
      <c r="I155" s="168" t="s">
        <v>581</v>
      </c>
      <c r="J155" s="169">
        <v>-2.25</v>
      </c>
      <c r="K155" s="169">
        <v>11692.57</v>
      </c>
    </row>
    <row r="156" spans="2:11" x14ac:dyDescent="0.25">
      <c r="B156" s="168" t="s">
        <v>1250</v>
      </c>
      <c r="C156" s="168" t="s">
        <v>863</v>
      </c>
      <c r="D156" s="168"/>
      <c r="E156" s="168" t="s">
        <v>574</v>
      </c>
      <c r="F156" s="168" t="s">
        <v>1234</v>
      </c>
      <c r="G156" s="168" t="s">
        <v>1235</v>
      </c>
      <c r="H156" s="168" t="s">
        <v>1107</v>
      </c>
      <c r="I156" s="168" t="s">
        <v>581</v>
      </c>
      <c r="J156" s="169">
        <v>-2</v>
      </c>
      <c r="K156" s="169">
        <v>11690.57</v>
      </c>
    </row>
    <row r="157" spans="2:11" x14ac:dyDescent="0.25">
      <c r="B157" s="168" t="s">
        <v>1250</v>
      </c>
      <c r="C157" s="168" t="s">
        <v>573</v>
      </c>
      <c r="D157" s="168"/>
      <c r="E157" s="168" t="s">
        <v>574</v>
      </c>
      <c r="F157" s="168" t="s">
        <v>1234</v>
      </c>
      <c r="G157" s="168" t="s">
        <v>1251</v>
      </c>
      <c r="H157" s="168" t="s">
        <v>1107</v>
      </c>
      <c r="I157" s="168" t="s">
        <v>581</v>
      </c>
      <c r="J157" s="169">
        <v>8</v>
      </c>
      <c r="K157" s="169">
        <v>11698.57</v>
      </c>
    </row>
    <row r="158" spans="2:11" x14ac:dyDescent="0.25">
      <c r="B158" s="168" t="s">
        <v>1250</v>
      </c>
      <c r="C158" s="168" t="s">
        <v>573</v>
      </c>
      <c r="D158" s="168"/>
      <c r="E158" s="168" t="s">
        <v>574</v>
      </c>
      <c r="F158" s="168" t="s">
        <v>1234</v>
      </c>
      <c r="G158" s="168" t="s">
        <v>1252</v>
      </c>
      <c r="H158" s="168" t="s">
        <v>1107</v>
      </c>
      <c r="I158" s="168" t="s">
        <v>581</v>
      </c>
      <c r="J158" s="169">
        <v>9</v>
      </c>
      <c r="K158" s="169">
        <v>11707.57</v>
      </c>
    </row>
    <row r="159" spans="2:11" x14ac:dyDescent="0.25">
      <c r="B159" s="168" t="s">
        <v>1250</v>
      </c>
      <c r="C159" s="168" t="s">
        <v>573</v>
      </c>
      <c r="D159" s="168"/>
      <c r="E159" s="168" t="s">
        <v>574</v>
      </c>
      <c r="F159" s="168" t="s">
        <v>1128</v>
      </c>
      <c r="G159" s="168" t="s">
        <v>1253</v>
      </c>
      <c r="H159" s="168" t="s">
        <v>1107</v>
      </c>
      <c r="I159" s="168" t="s">
        <v>581</v>
      </c>
      <c r="J159" s="169">
        <v>125.5</v>
      </c>
      <c r="K159" s="169">
        <v>11833.07</v>
      </c>
    </row>
    <row r="160" spans="2:11" x14ac:dyDescent="0.25">
      <c r="B160" s="168" t="s">
        <v>1254</v>
      </c>
      <c r="C160" s="168" t="s">
        <v>863</v>
      </c>
      <c r="D160" s="168"/>
      <c r="E160" s="168" t="s">
        <v>574</v>
      </c>
      <c r="F160" s="168" t="s">
        <v>1164</v>
      </c>
      <c r="G160" s="168" t="s">
        <v>1237</v>
      </c>
      <c r="H160" s="168" t="s">
        <v>1107</v>
      </c>
      <c r="I160" s="168" t="s">
        <v>577</v>
      </c>
      <c r="J160" s="169">
        <v>-14.21</v>
      </c>
      <c r="K160" s="169">
        <v>11818.86</v>
      </c>
    </row>
    <row r="161" spans="2:11" x14ac:dyDescent="0.25">
      <c r="B161" s="168" t="s">
        <v>1254</v>
      </c>
      <c r="C161" s="168" t="s">
        <v>573</v>
      </c>
      <c r="D161" s="168"/>
      <c r="E161" s="168" t="s">
        <v>574</v>
      </c>
      <c r="F161" s="168" t="s">
        <v>1164</v>
      </c>
      <c r="G161" s="168" t="s">
        <v>1184</v>
      </c>
      <c r="H161" s="168" t="s">
        <v>1107</v>
      </c>
      <c r="I161" s="168" t="s">
        <v>577</v>
      </c>
      <c r="J161" s="169">
        <v>14.21</v>
      </c>
      <c r="K161" s="169">
        <v>11833.07</v>
      </c>
    </row>
    <row r="162" spans="2:11" x14ac:dyDescent="0.25">
      <c r="B162" s="168" t="s">
        <v>1254</v>
      </c>
      <c r="C162" s="168" t="s">
        <v>573</v>
      </c>
      <c r="D162" s="168"/>
      <c r="E162" s="168" t="s">
        <v>574</v>
      </c>
      <c r="F162" s="168" t="s">
        <v>1164</v>
      </c>
      <c r="G162" s="168" t="s">
        <v>1255</v>
      </c>
      <c r="H162" s="168" t="s">
        <v>1107</v>
      </c>
      <c r="I162" s="168" t="s">
        <v>577</v>
      </c>
      <c r="J162" s="169">
        <v>12.71</v>
      </c>
      <c r="K162" s="169">
        <v>11845.78</v>
      </c>
    </row>
    <row r="163" spans="2:11" x14ac:dyDescent="0.25">
      <c r="B163" s="168" t="s">
        <v>1254</v>
      </c>
      <c r="C163" s="168" t="s">
        <v>863</v>
      </c>
      <c r="D163" s="168"/>
      <c r="E163" s="168" t="s">
        <v>574</v>
      </c>
      <c r="F163" s="168" t="s">
        <v>1164</v>
      </c>
      <c r="G163" s="168" t="s">
        <v>1256</v>
      </c>
      <c r="H163" s="168" t="s">
        <v>1107</v>
      </c>
      <c r="I163" s="168" t="s">
        <v>577</v>
      </c>
      <c r="J163" s="169">
        <v>-12.71</v>
      </c>
      <c r="K163" s="169">
        <v>11833.07</v>
      </c>
    </row>
    <row r="164" spans="2:11" x14ac:dyDescent="0.25">
      <c r="B164" s="168" t="s">
        <v>1057</v>
      </c>
      <c r="C164" s="168" t="s">
        <v>573</v>
      </c>
      <c r="D164" s="168"/>
      <c r="E164" s="168" t="s">
        <v>574</v>
      </c>
      <c r="F164" s="168" t="s">
        <v>1105</v>
      </c>
      <c r="G164" s="168" t="s">
        <v>1257</v>
      </c>
      <c r="H164" s="168" t="s">
        <v>1107</v>
      </c>
      <c r="I164" s="168" t="s">
        <v>577</v>
      </c>
      <c r="J164" s="169">
        <v>17.940000000000001</v>
      </c>
      <c r="K164" s="169">
        <v>11851.01</v>
      </c>
    </row>
    <row r="165" spans="2:11" x14ac:dyDescent="0.25">
      <c r="B165" s="168" t="s">
        <v>1057</v>
      </c>
      <c r="C165" s="168" t="s">
        <v>863</v>
      </c>
      <c r="D165" s="168"/>
      <c r="E165" s="168" t="s">
        <v>574</v>
      </c>
      <c r="F165" s="168" t="s">
        <v>1105</v>
      </c>
      <c r="G165" s="168" t="s">
        <v>1258</v>
      </c>
      <c r="H165" s="168" t="s">
        <v>1107</v>
      </c>
      <c r="I165" s="168" t="s">
        <v>577</v>
      </c>
      <c r="J165" s="169">
        <v>-17.940000000000001</v>
      </c>
      <c r="K165" s="169">
        <v>11833.07</v>
      </c>
    </row>
    <row r="166" spans="2:11" x14ac:dyDescent="0.25">
      <c r="B166" s="168" t="s">
        <v>1259</v>
      </c>
      <c r="C166" s="168" t="s">
        <v>863</v>
      </c>
      <c r="D166" s="168"/>
      <c r="E166" s="168" t="s">
        <v>574</v>
      </c>
      <c r="F166" s="168" t="s">
        <v>1105</v>
      </c>
      <c r="G166" s="168" t="s">
        <v>1260</v>
      </c>
      <c r="H166" s="168" t="s">
        <v>1107</v>
      </c>
      <c r="I166" s="168" t="s">
        <v>577</v>
      </c>
      <c r="J166" s="169">
        <v>-9.99</v>
      </c>
      <c r="K166" s="169">
        <v>11823.08</v>
      </c>
    </row>
    <row r="167" spans="2:11" x14ac:dyDescent="0.25">
      <c r="B167" s="168" t="s">
        <v>1259</v>
      </c>
      <c r="C167" s="168" t="s">
        <v>573</v>
      </c>
      <c r="D167" s="168"/>
      <c r="E167" s="168" t="s">
        <v>574</v>
      </c>
      <c r="F167" s="168" t="s">
        <v>1105</v>
      </c>
      <c r="G167" s="168" t="s">
        <v>1261</v>
      </c>
      <c r="H167" s="168" t="s">
        <v>1107</v>
      </c>
      <c r="I167" s="168" t="s">
        <v>577</v>
      </c>
      <c r="J167" s="169">
        <v>9.99</v>
      </c>
      <c r="K167" s="169">
        <v>11833.07</v>
      </c>
    </row>
    <row r="168" spans="2:11" x14ac:dyDescent="0.25">
      <c r="B168" s="168" t="s">
        <v>1262</v>
      </c>
      <c r="C168" s="168" t="s">
        <v>573</v>
      </c>
      <c r="D168" s="168"/>
      <c r="E168" s="168" t="s">
        <v>574</v>
      </c>
      <c r="F168" s="168"/>
      <c r="G168" s="168" t="s">
        <v>1263</v>
      </c>
      <c r="H168" s="168" t="s">
        <v>1107</v>
      </c>
      <c r="I168" s="168" t="s">
        <v>585</v>
      </c>
      <c r="J168" s="169">
        <v>15.55</v>
      </c>
      <c r="K168" s="169">
        <v>11848.62</v>
      </c>
    </row>
    <row r="169" spans="2:11" x14ac:dyDescent="0.25">
      <c r="B169" s="168" t="s">
        <v>1262</v>
      </c>
      <c r="C169" s="168" t="s">
        <v>573</v>
      </c>
      <c r="D169" s="168"/>
      <c r="E169" s="168" t="s">
        <v>574</v>
      </c>
      <c r="F169" s="168"/>
      <c r="G169" s="168" t="s">
        <v>1264</v>
      </c>
      <c r="H169" s="168" t="s">
        <v>1107</v>
      </c>
      <c r="I169" s="168" t="s">
        <v>585</v>
      </c>
      <c r="J169" s="169">
        <v>18.32</v>
      </c>
      <c r="K169" s="169">
        <v>11866.94</v>
      </c>
    </row>
    <row r="170" spans="2:11" x14ac:dyDescent="0.25">
      <c r="B170" s="168" t="s">
        <v>1262</v>
      </c>
      <c r="C170" s="168" t="s">
        <v>573</v>
      </c>
      <c r="D170" s="168"/>
      <c r="E170" s="168" t="s">
        <v>574</v>
      </c>
      <c r="F170" s="168"/>
      <c r="G170" s="168" t="s">
        <v>1265</v>
      </c>
      <c r="H170" s="168" t="s">
        <v>1107</v>
      </c>
      <c r="I170" s="168" t="s">
        <v>585</v>
      </c>
      <c r="J170" s="169">
        <v>30</v>
      </c>
      <c r="K170" s="169">
        <v>11896.94</v>
      </c>
    </row>
    <row r="171" spans="2:11" x14ac:dyDescent="0.25">
      <c r="B171" s="168" t="s">
        <v>1262</v>
      </c>
      <c r="C171" s="168" t="s">
        <v>573</v>
      </c>
      <c r="D171" s="168"/>
      <c r="E171" s="168" t="s">
        <v>574</v>
      </c>
      <c r="F171" s="168"/>
      <c r="G171" s="168" t="s">
        <v>1164</v>
      </c>
      <c r="H171" s="168" t="s">
        <v>1107</v>
      </c>
      <c r="I171" s="168" t="s">
        <v>585</v>
      </c>
      <c r="J171" s="169">
        <v>149.38</v>
      </c>
      <c r="K171" s="169">
        <v>12046.32</v>
      </c>
    </row>
    <row r="172" spans="2:11" x14ac:dyDescent="0.25">
      <c r="B172" s="168" t="s">
        <v>1266</v>
      </c>
      <c r="C172" s="168" t="s">
        <v>573</v>
      </c>
      <c r="D172" s="168"/>
      <c r="E172" s="168" t="s">
        <v>574</v>
      </c>
      <c r="F172" s="168"/>
      <c r="G172" s="168" t="s">
        <v>1267</v>
      </c>
      <c r="H172" s="168" t="s">
        <v>1107</v>
      </c>
      <c r="I172" s="168" t="s">
        <v>585</v>
      </c>
      <c r="J172" s="169">
        <v>20</v>
      </c>
      <c r="K172" s="169">
        <v>12066.32</v>
      </c>
    </row>
    <row r="173" spans="2:11" x14ac:dyDescent="0.25">
      <c r="B173" s="168" t="s">
        <v>1266</v>
      </c>
      <c r="C173" s="168" t="s">
        <v>573</v>
      </c>
      <c r="D173" s="168"/>
      <c r="E173" s="168" t="s">
        <v>574</v>
      </c>
      <c r="F173" s="168"/>
      <c r="G173" s="168" t="s">
        <v>1267</v>
      </c>
      <c r="H173" s="168" t="s">
        <v>1107</v>
      </c>
      <c r="I173" s="168" t="s">
        <v>585</v>
      </c>
      <c r="J173" s="169">
        <v>12.08</v>
      </c>
      <c r="K173" s="169">
        <v>12078.4</v>
      </c>
    </row>
    <row r="174" spans="2:11" x14ac:dyDescent="0.25">
      <c r="B174" s="168" t="s">
        <v>1266</v>
      </c>
      <c r="C174" s="168" t="s">
        <v>573</v>
      </c>
      <c r="D174" s="168"/>
      <c r="E174" s="168" t="s">
        <v>574</v>
      </c>
      <c r="F174" s="168" t="s">
        <v>1137</v>
      </c>
      <c r="G174" s="168" t="s">
        <v>1138</v>
      </c>
      <c r="H174" s="168" t="s">
        <v>1107</v>
      </c>
      <c r="I174" s="168" t="s">
        <v>742</v>
      </c>
      <c r="J174" s="169">
        <v>10.17</v>
      </c>
      <c r="K174" s="169">
        <v>12088.57</v>
      </c>
    </row>
    <row r="175" spans="2:11" x14ac:dyDescent="0.25">
      <c r="B175" s="168" t="s">
        <v>1266</v>
      </c>
      <c r="C175" s="168" t="s">
        <v>573</v>
      </c>
      <c r="D175" s="168"/>
      <c r="E175" s="168" t="s">
        <v>574</v>
      </c>
      <c r="F175" s="168"/>
      <c r="G175" s="168" t="s">
        <v>1268</v>
      </c>
      <c r="H175" s="168" t="s">
        <v>1107</v>
      </c>
      <c r="I175" s="168" t="s">
        <v>585</v>
      </c>
      <c r="J175" s="169">
        <v>27.68</v>
      </c>
      <c r="K175" s="169">
        <v>12116.25</v>
      </c>
    </row>
    <row r="176" spans="2:11" x14ac:dyDescent="0.25">
      <c r="B176" s="168" t="s">
        <v>1266</v>
      </c>
      <c r="C176" s="168" t="s">
        <v>573</v>
      </c>
      <c r="D176" s="168"/>
      <c r="E176" s="168" t="s">
        <v>574</v>
      </c>
      <c r="F176" s="168"/>
      <c r="G176" s="168" t="s">
        <v>1268</v>
      </c>
      <c r="H176" s="168" t="s">
        <v>1107</v>
      </c>
      <c r="I176" s="168" t="s">
        <v>585</v>
      </c>
      <c r="J176" s="169">
        <v>68.650000000000006</v>
      </c>
      <c r="K176" s="169">
        <v>12184.9</v>
      </c>
    </row>
    <row r="177" spans="2:11" x14ac:dyDescent="0.25">
      <c r="B177" s="168" t="s">
        <v>1266</v>
      </c>
      <c r="C177" s="168" t="s">
        <v>573</v>
      </c>
      <c r="D177" s="168"/>
      <c r="E177" s="168" t="s">
        <v>574</v>
      </c>
      <c r="F177" s="168" t="s">
        <v>1122</v>
      </c>
      <c r="G177" s="168" t="s">
        <v>1269</v>
      </c>
      <c r="H177" s="168" t="s">
        <v>1107</v>
      </c>
      <c r="I177" s="168" t="s">
        <v>577</v>
      </c>
      <c r="J177" s="169">
        <v>151.99</v>
      </c>
      <c r="K177" s="169">
        <v>12336.89</v>
      </c>
    </row>
    <row r="178" spans="2:11" x14ac:dyDescent="0.25">
      <c r="B178" s="168" t="s">
        <v>1266</v>
      </c>
      <c r="C178" s="168" t="s">
        <v>573</v>
      </c>
      <c r="D178" s="168"/>
      <c r="E178" s="168" t="s">
        <v>574</v>
      </c>
      <c r="F178" s="168" t="s">
        <v>1122</v>
      </c>
      <c r="G178" s="168" t="s">
        <v>1270</v>
      </c>
      <c r="H178" s="168" t="s">
        <v>1107</v>
      </c>
      <c r="I178" s="168" t="s">
        <v>577</v>
      </c>
      <c r="J178" s="169">
        <v>165.98</v>
      </c>
      <c r="K178" s="169">
        <v>12502.87</v>
      </c>
    </row>
    <row r="179" spans="2:11" x14ac:dyDescent="0.25">
      <c r="B179" s="168" t="s">
        <v>1266</v>
      </c>
      <c r="C179" s="168" t="s">
        <v>573</v>
      </c>
      <c r="D179" s="168"/>
      <c r="E179" s="168" t="s">
        <v>574</v>
      </c>
      <c r="F179" s="168" t="s">
        <v>1122</v>
      </c>
      <c r="G179" s="168" t="s">
        <v>1126</v>
      </c>
      <c r="H179" s="168" t="s">
        <v>1107</v>
      </c>
      <c r="I179" s="168" t="s">
        <v>577</v>
      </c>
      <c r="J179" s="169">
        <v>165.98</v>
      </c>
      <c r="K179" s="169">
        <v>12668.85</v>
      </c>
    </row>
    <row r="180" spans="2:11" x14ac:dyDescent="0.25">
      <c r="B180" s="168" t="s">
        <v>1271</v>
      </c>
      <c r="C180" s="168" t="s">
        <v>863</v>
      </c>
      <c r="D180" s="168"/>
      <c r="E180" s="168" t="s">
        <v>574</v>
      </c>
      <c r="F180" s="168"/>
      <c r="G180" s="168" t="s">
        <v>1272</v>
      </c>
      <c r="H180" s="168" t="s">
        <v>1107</v>
      </c>
      <c r="I180" s="168" t="s">
        <v>577</v>
      </c>
      <c r="J180" s="169">
        <v>-345.96</v>
      </c>
      <c r="K180" s="169">
        <v>12322.89</v>
      </c>
    </row>
    <row r="181" spans="2:11" x14ac:dyDescent="0.25">
      <c r="B181" s="168" t="s">
        <v>1271</v>
      </c>
      <c r="C181" s="168" t="s">
        <v>863</v>
      </c>
      <c r="D181" s="168"/>
      <c r="E181" s="168" t="s">
        <v>574</v>
      </c>
      <c r="F181" s="168"/>
      <c r="G181" s="168" t="s">
        <v>1273</v>
      </c>
      <c r="H181" s="168" t="s">
        <v>1107</v>
      </c>
      <c r="I181" s="168" t="s">
        <v>577</v>
      </c>
      <c r="J181" s="169">
        <v>-345.96</v>
      </c>
      <c r="K181" s="169">
        <v>11976.93</v>
      </c>
    </row>
    <row r="182" spans="2:11" x14ac:dyDescent="0.25">
      <c r="B182" s="168" t="s">
        <v>1271</v>
      </c>
      <c r="C182" s="168" t="s">
        <v>863</v>
      </c>
      <c r="D182" s="168"/>
      <c r="E182" s="168" t="s">
        <v>574</v>
      </c>
      <c r="F182" s="168" t="s">
        <v>818</v>
      </c>
      <c r="G182" s="168" t="s">
        <v>1274</v>
      </c>
      <c r="H182" s="168" t="s">
        <v>1107</v>
      </c>
      <c r="I182" s="168" t="s">
        <v>577</v>
      </c>
      <c r="J182" s="169">
        <v>-538.63</v>
      </c>
      <c r="K182" s="169">
        <v>11438.3</v>
      </c>
    </row>
    <row r="183" spans="2:11" x14ac:dyDescent="0.25">
      <c r="B183" s="168" t="s">
        <v>1271</v>
      </c>
      <c r="C183" s="168" t="s">
        <v>863</v>
      </c>
      <c r="D183" s="168"/>
      <c r="E183" s="168" t="s">
        <v>574</v>
      </c>
      <c r="F183" s="168" t="s">
        <v>1105</v>
      </c>
      <c r="G183" s="168" t="s">
        <v>1275</v>
      </c>
      <c r="H183" s="168" t="s">
        <v>1107</v>
      </c>
      <c r="I183" s="168" t="s">
        <v>577</v>
      </c>
      <c r="J183" s="169">
        <v>-10.98</v>
      </c>
      <c r="K183" s="169">
        <v>11427.32</v>
      </c>
    </row>
    <row r="184" spans="2:11" x14ac:dyDescent="0.25">
      <c r="B184" s="168" t="s">
        <v>1271</v>
      </c>
      <c r="C184" s="168" t="s">
        <v>573</v>
      </c>
      <c r="D184" s="168"/>
      <c r="E184" s="168" t="s">
        <v>574</v>
      </c>
      <c r="F184" s="168" t="s">
        <v>818</v>
      </c>
      <c r="G184" s="168" t="s">
        <v>1276</v>
      </c>
      <c r="H184" s="168" t="s">
        <v>1107</v>
      </c>
      <c r="I184" s="168" t="s">
        <v>577</v>
      </c>
      <c r="J184" s="169">
        <v>705.75</v>
      </c>
      <c r="K184" s="169">
        <v>12133.07</v>
      </c>
    </row>
    <row r="185" spans="2:11" x14ac:dyDescent="0.25">
      <c r="B185" s="168" t="s">
        <v>1271</v>
      </c>
      <c r="C185" s="168" t="s">
        <v>573</v>
      </c>
      <c r="D185" s="168"/>
      <c r="E185" s="168" t="s">
        <v>574</v>
      </c>
      <c r="F185" s="168" t="s">
        <v>818</v>
      </c>
      <c r="G185" s="168" t="s">
        <v>1274</v>
      </c>
      <c r="H185" s="168" t="s">
        <v>1107</v>
      </c>
      <c r="I185" s="168" t="s">
        <v>577</v>
      </c>
      <c r="J185" s="169">
        <v>538.63</v>
      </c>
      <c r="K185" s="169">
        <v>12671.7</v>
      </c>
    </row>
    <row r="186" spans="2:11" x14ac:dyDescent="0.25">
      <c r="B186" s="168" t="s">
        <v>1271</v>
      </c>
      <c r="C186" s="168" t="s">
        <v>573</v>
      </c>
      <c r="D186" s="168"/>
      <c r="E186" s="168" t="s">
        <v>574</v>
      </c>
      <c r="F186" s="168" t="s">
        <v>1122</v>
      </c>
      <c r="G186" s="168" t="s">
        <v>1272</v>
      </c>
      <c r="H186" s="168" t="s">
        <v>1107</v>
      </c>
      <c r="I186" s="168" t="s">
        <v>577</v>
      </c>
      <c r="J186" s="169">
        <v>345.96</v>
      </c>
      <c r="K186" s="169">
        <v>13017.66</v>
      </c>
    </row>
    <row r="187" spans="2:11" x14ac:dyDescent="0.25">
      <c r="B187" s="168" t="s">
        <v>1271</v>
      </c>
      <c r="C187" s="168" t="s">
        <v>573</v>
      </c>
      <c r="D187" s="168"/>
      <c r="E187" s="168" t="s">
        <v>574</v>
      </c>
      <c r="F187" s="168" t="s">
        <v>1105</v>
      </c>
      <c r="G187" s="168" t="s">
        <v>1277</v>
      </c>
      <c r="H187" s="168" t="s">
        <v>1107</v>
      </c>
      <c r="I187" s="168" t="s">
        <v>577</v>
      </c>
      <c r="J187" s="169">
        <v>10.98</v>
      </c>
      <c r="K187" s="169">
        <v>13028.64</v>
      </c>
    </row>
    <row r="188" spans="2:11" x14ac:dyDescent="0.25">
      <c r="B188" s="168" t="s">
        <v>1271</v>
      </c>
      <c r="C188" s="168" t="s">
        <v>573</v>
      </c>
      <c r="D188" s="168"/>
      <c r="E188" s="168" t="s">
        <v>574</v>
      </c>
      <c r="F188" s="168" t="s">
        <v>1122</v>
      </c>
      <c r="G188" s="168" t="s">
        <v>1126</v>
      </c>
      <c r="H188" s="168" t="s">
        <v>1107</v>
      </c>
      <c r="I188" s="168" t="s">
        <v>577</v>
      </c>
      <c r="J188" s="169">
        <v>172.98</v>
      </c>
      <c r="K188" s="169">
        <v>13201.62</v>
      </c>
    </row>
    <row r="189" spans="2:11" x14ac:dyDescent="0.25">
      <c r="B189" s="168" t="s">
        <v>1271</v>
      </c>
      <c r="C189" s="168" t="s">
        <v>573</v>
      </c>
      <c r="D189" s="168"/>
      <c r="E189" s="168" t="s">
        <v>574</v>
      </c>
      <c r="F189" s="168" t="s">
        <v>1122</v>
      </c>
      <c r="G189" s="168" t="s">
        <v>1278</v>
      </c>
      <c r="H189" s="168" t="s">
        <v>1107</v>
      </c>
      <c r="I189" s="168" t="s">
        <v>577</v>
      </c>
      <c r="J189" s="169">
        <v>172.98</v>
      </c>
      <c r="K189" s="169">
        <v>13374.6</v>
      </c>
    </row>
    <row r="190" spans="2:11" x14ac:dyDescent="0.25">
      <c r="B190" s="168" t="s">
        <v>1271</v>
      </c>
      <c r="C190" s="168" t="s">
        <v>573</v>
      </c>
      <c r="D190" s="168"/>
      <c r="E190" s="168" t="s">
        <v>574</v>
      </c>
      <c r="F190" s="168" t="s">
        <v>1279</v>
      </c>
      <c r="G190" s="168" t="s">
        <v>1280</v>
      </c>
      <c r="H190" s="168" t="s">
        <v>1107</v>
      </c>
      <c r="I190" s="168" t="s">
        <v>577</v>
      </c>
      <c r="J190" s="169">
        <v>215.78</v>
      </c>
      <c r="K190" s="169">
        <v>13590.38</v>
      </c>
    </row>
    <row r="191" spans="2:11" x14ac:dyDescent="0.25">
      <c r="B191" s="168" t="s">
        <v>1271</v>
      </c>
      <c r="C191" s="168" t="s">
        <v>573</v>
      </c>
      <c r="D191" s="168"/>
      <c r="E191" s="168" t="s">
        <v>574</v>
      </c>
      <c r="F191" s="168" t="s">
        <v>1122</v>
      </c>
      <c r="G191" s="168" t="s">
        <v>1273</v>
      </c>
      <c r="H191" s="168" t="s">
        <v>1107</v>
      </c>
      <c r="I191" s="168" t="s">
        <v>577</v>
      </c>
      <c r="J191" s="169">
        <v>345.96</v>
      </c>
      <c r="K191" s="169">
        <v>13936.34</v>
      </c>
    </row>
    <row r="192" spans="2:11" x14ac:dyDescent="0.25">
      <c r="B192" s="168" t="s">
        <v>740</v>
      </c>
      <c r="C192" s="168" t="s">
        <v>573</v>
      </c>
      <c r="D192" s="168"/>
      <c r="E192" s="168" t="s">
        <v>574</v>
      </c>
      <c r="F192" s="168" t="s">
        <v>1128</v>
      </c>
      <c r="G192" s="168" t="s">
        <v>1281</v>
      </c>
      <c r="H192" s="168" t="s">
        <v>1107</v>
      </c>
      <c r="I192" s="168" t="s">
        <v>581</v>
      </c>
      <c r="J192" s="169">
        <v>5.6</v>
      </c>
      <c r="K192" s="169">
        <v>13941.94</v>
      </c>
    </row>
    <row r="193" spans="2:11" x14ac:dyDescent="0.25">
      <c r="B193" s="168" t="s">
        <v>740</v>
      </c>
      <c r="C193" s="168" t="s">
        <v>573</v>
      </c>
      <c r="D193" s="168"/>
      <c r="E193" s="168" t="s">
        <v>574</v>
      </c>
      <c r="F193" s="168" t="s">
        <v>1128</v>
      </c>
      <c r="G193" s="168" t="s">
        <v>1282</v>
      </c>
      <c r="H193" s="168" t="s">
        <v>1107</v>
      </c>
      <c r="I193" s="168" t="s">
        <v>581</v>
      </c>
      <c r="J193" s="169">
        <v>5.6</v>
      </c>
      <c r="K193" s="169">
        <v>13947.54</v>
      </c>
    </row>
    <row r="194" spans="2:11" x14ac:dyDescent="0.25">
      <c r="B194" s="168" t="s">
        <v>740</v>
      </c>
      <c r="C194" s="168" t="s">
        <v>573</v>
      </c>
      <c r="D194" s="168"/>
      <c r="E194" s="168" t="s">
        <v>574</v>
      </c>
      <c r="F194" s="168" t="s">
        <v>1128</v>
      </c>
      <c r="G194" s="168" t="s">
        <v>1283</v>
      </c>
      <c r="H194" s="168" t="s">
        <v>1107</v>
      </c>
      <c r="I194" s="168" t="s">
        <v>581</v>
      </c>
      <c r="J194" s="169">
        <v>5.6</v>
      </c>
      <c r="K194" s="169">
        <v>13953.14</v>
      </c>
    </row>
    <row r="195" spans="2:11" x14ac:dyDescent="0.25">
      <c r="B195" s="168" t="s">
        <v>1284</v>
      </c>
      <c r="C195" s="168" t="s">
        <v>573</v>
      </c>
      <c r="D195" s="168"/>
      <c r="E195" s="168" t="s">
        <v>574</v>
      </c>
      <c r="F195" s="168" t="s">
        <v>1285</v>
      </c>
      <c r="G195" s="168" t="s">
        <v>1286</v>
      </c>
      <c r="H195" s="168" t="s">
        <v>1107</v>
      </c>
      <c r="I195" s="168" t="s">
        <v>585</v>
      </c>
      <c r="J195" s="169">
        <v>236.96</v>
      </c>
      <c r="K195" s="169">
        <v>14190.1</v>
      </c>
    </row>
    <row r="196" spans="2:11" x14ac:dyDescent="0.25">
      <c r="B196" s="168" t="s">
        <v>1287</v>
      </c>
      <c r="C196" s="168" t="s">
        <v>573</v>
      </c>
      <c r="D196" s="168"/>
      <c r="E196" s="168" t="s">
        <v>574</v>
      </c>
      <c r="F196" s="168" t="s">
        <v>1128</v>
      </c>
      <c r="G196" s="168" t="s">
        <v>1288</v>
      </c>
      <c r="H196" s="168" t="s">
        <v>1107</v>
      </c>
      <c r="I196" s="168" t="s">
        <v>581</v>
      </c>
      <c r="J196" s="169">
        <v>91.7</v>
      </c>
      <c r="K196" s="169">
        <v>14281.8</v>
      </c>
    </row>
    <row r="197" spans="2:11" x14ac:dyDescent="0.25">
      <c r="B197" s="168" t="s">
        <v>914</v>
      </c>
      <c r="C197" s="168" t="s">
        <v>573</v>
      </c>
      <c r="D197" s="168"/>
      <c r="E197" s="168" t="s">
        <v>574</v>
      </c>
      <c r="F197" s="168" t="s">
        <v>1205</v>
      </c>
      <c r="G197" s="168" t="s">
        <v>1206</v>
      </c>
      <c r="H197" s="168" t="s">
        <v>1107</v>
      </c>
      <c r="I197" s="168" t="s">
        <v>577</v>
      </c>
      <c r="J197" s="169">
        <v>40</v>
      </c>
      <c r="K197" s="169">
        <v>14321.8</v>
      </c>
    </row>
    <row r="198" spans="2:11" x14ac:dyDescent="0.25">
      <c r="B198" s="168" t="s">
        <v>617</v>
      </c>
      <c r="C198" s="168" t="s">
        <v>573</v>
      </c>
      <c r="D198" s="168"/>
      <c r="E198" s="168" t="s">
        <v>574</v>
      </c>
      <c r="F198" s="168" t="s">
        <v>1160</v>
      </c>
      <c r="G198" s="168" t="s">
        <v>1289</v>
      </c>
      <c r="H198" s="168" t="s">
        <v>1107</v>
      </c>
      <c r="I198" s="168" t="s">
        <v>742</v>
      </c>
      <c r="J198" s="169">
        <v>38.83</v>
      </c>
      <c r="K198" s="169">
        <v>14360.63</v>
      </c>
    </row>
    <row r="199" spans="2:11" x14ac:dyDescent="0.25">
      <c r="B199" s="168" t="s">
        <v>617</v>
      </c>
      <c r="C199" s="168" t="s">
        <v>573</v>
      </c>
      <c r="D199" s="168"/>
      <c r="E199" s="168" t="s">
        <v>574</v>
      </c>
      <c r="F199" s="168"/>
      <c r="G199" s="168" t="s">
        <v>1290</v>
      </c>
      <c r="H199" s="168" t="s">
        <v>1107</v>
      </c>
      <c r="I199" s="168" t="s">
        <v>742</v>
      </c>
      <c r="J199" s="169">
        <v>75</v>
      </c>
      <c r="K199" s="169">
        <v>14435.63</v>
      </c>
    </row>
    <row r="200" spans="2:11" x14ac:dyDescent="0.25">
      <c r="B200" s="168" t="s">
        <v>617</v>
      </c>
      <c r="C200" s="168" t="s">
        <v>573</v>
      </c>
      <c r="D200" s="168"/>
      <c r="E200" s="168" t="s">
        <v>574</v>
      </c>
      <c r="F200" s="168" t="s">
        <v>1291</v>
      </c>
      <c r="G200" s="168" t="s">
        <v>1292</v>
      </c>
      <c r="H200" s="168" t="s">
        <v>1107</v>
      </c>
      <c r="I200" s="168" t="s">
        <v>577</v>
      </c>
      <c r="J200" s="169">
        <v>231.6</v>
      </c>
      <c r="K200" s="169">
        <v>14667.23</v>
      </c>
    </row>
    <row r="201" spans="2:11" x14ac:dyDescent="0.25">
      <c r="B201" s="168" t="s">
        <v>786</v>
      </c>
      <c r="C201" s="168" t="s">
        <v>573</v>
      </c>
      <c r="D201" s="168"/>
      <c r="E201" s="168" t="s">
        <v>574</v>
      </c>
      <c r="F201" s="168" t="s">
        <v>1164</v>
      </c>
      <c r="G201" s="168" t="s">
        <v>1293</v>
      </c>
      <c r="H201" s="168" t="s">
        <v>1107</v>
      </c>
      <c r="I201" s="168" t="s">
        <v>585</v>
      </c>
      <c r="J201" s="169">
        <v>29.19</v>
      </c>
      <c r="K201" s="169">
        <v>14696.42</v>
      </c>
    </row>
    <row r="202" spans="2:11" x14ac:dyDescent="0.25">
      <c r="B202" s="168" t="s">
        <v>1294</v>
      </c>
      <c r="C202" s="168" t="s">
        <v>573</v>
      </c>
      <c r="D202" s="168"/>
      <c r="E202" s="168" t="s">
        <v>574</v>
      </c>
      <c r="F202" s="168" t="s">
        <v>1105</v>
      </c>
      <c r="G202" s="168" t="s">
        <v>1295</v>
      </c>
      <c r="H202" s="168" t="s">
        <v>1107</v>
      </c>
      <c r="I202" s="168" t="s">
        <v>577</v>
      </c>
      <c r="J202" s="169">
        <v>35.950000000000003</v>
      </c>
      <c r="K202" s="169">
        <v>14732.37</v>
      </c>
    </row>
    <row r="203" spans="2:11" x14ac:dyDescent="0.25">
      <c r="B203" s="168" t="s">
        <v>618</v>
      </c>
      <c r="C203" s="168" t="s">
        <v>573</v>
      </c>
      <c r="D203" s="168"/>
      <c r="E203" s="168" t="s">
        <v>574</v>
      </c>
      <c r="F203" s="168" t="s">
        <v>1296</v>
      </c>
      <c r="G203" s="168" t="s">
        <v>1297</v>
      </c>
      <c r="H203" s="168" t="s">
        <v>1107</v>
      </c>
      <c r="I203" s="168" t="s">
        <v>577</v>
      </c>
      <c r="J203" s="169">
        <v>10</v>
      </c>
      <c r="K203" s="169">
        <v>14742.37</v>
      </c>
    </row>
    <row r="204" spans="2:11" x14ac:dyDescent="0.25">
      <c r="B204" s="168" t="s">
        <v>618</v>
      </c>
      <c r="C204" s="168" t="s">
        <v>573</v>
      </c>
      <c r="D204" s="168"/>
      <c r="E204" s="168" t="s">
        <v>574</v>
      </c>
      <c r="F204" s="168" t="s">
        <v>1298</v>
      </c>
      <c r="G204" s="168" t="s">
        <v>1299</v>
      </c>
      <c r="H204" s="168" t="s">
        <v>1107</v>
      </c>
      <c r="I204" s="168" t="s">
        <v>585</v>
      </c>
      <c r="J204" s="169">
        <v>15.28</v>
      </c>
      <c r="K204" s="169">
        <v>14757.65</v>
      </c>
    </row>
    <row r="205" spans="2:11" x14ac:dyDescent="0.25">
      <c r="B205" s="168" t="s">
        <v>618</v>
      </c>
      <c r="C205" s="168" t="s">
        <v>573</v>
      </c>
      <c r="D205" s="168"/>
      <c r="E205" s="168" t="s">
        <v>574</v>
      </c>
      <c r="F205" s="168" t="s">
        <v>1164</v>
      </c>
      <c r="G205" s="168" t="s">
        <v>1300</v>
      </c>
      <c r="H205" s="168" t="s">
        <v>1107</v>
      </c>
      <c r="I205" s="168" t="s">
        <v>577</v>
      </c>
      <c r="J205" s="169">
        <v>33.51</v>
      </c>
      <c r="K205" s="169">
        <v>14791.16</v>
      </c>
    </row>
    <row r="206" spans="2:11" x14ac:dyDescent="0.25">
      <c r="B206" s="168" t="s">
        <v>1301</v>
      </c>
      <c r="C206" s="168" t="s">
        <v>573</v>
      </c>
      <c r="D206" s="168"/>
      <c r="E206" s="168" t="s">
        <v>574</v>
      </c>
      <c r="F206" s="168" t="s">
        <v>1164</v>
      </c>
      <c r="G206" s="168" t="s">
        <v>1300</v>
      </c>
      <c r="H206" s="168" t="s">
        <v>1107</v>
      </c>
      <c r="I206" s="168" t="s">
        <v>577</v>
      </c>
      <c r="J206" s="169">
        <v>3</v>
      </c>
      <c r="K206" s="169">
        <v>14794.16</v>
      </c>
    </row>
    <row r="207" spans="2:11" x14ac:dyDescent="0.25">
      <c r="B207" s="168" t="s">
        <v>1301</v>
      </c>
      <c r="C207" s="168" t="s">
        <v>573</v>
      </c>
      <c r="D207" s="168"/>
      <c r="E207" s="168" t="s">
        <v>574</v>
      </c>
      <c r="F207" s="168" t="s">
        <v>1164</v>
      </c>
      <c r="G207" s="168" t="s">
        <v>1300</v>
      </c>
      <c r="H207" s="168" t="s">
        <v>1107</v>
      </c>
      <c r="I207" s="168" t="s">
        <v>577</v>
      </c>
      <c r="J207" s="169">
        <v>6.95</v>
      </c>
      <c r="K207" s="169">
        <v>14801.11</v>
      </c>
    </row>
    <row r="208" spans="2:11" x14ac:dyDescent="0.25">
      <c r="B208" s="168" t="s">
        <v>1301</v>
      </c>
      <c r="C208" s="168" t="s">
        <v>573</v>
      </c>
      <c r="D208" s="168"/>
      <c r="E208" s="168" t="s">
        <v>574</v>
      </c>
      <c r="F208" s="168" t="s">
        <v>1302</v>
      </c>
      <c r="G208" s="168" t="s">
        <v>1303</v>
      </c>
      <c r="H208" s="168" t="s">
        <v>1107</v>
      </c>
      <c r="I208" s="168" t="s">
        <v>577</v>
      </c>
      <c r="J208" s="169">
        <v>10</v>
      </c>
      <c r="K208" s="169">
        <v>14811.11</v>
      </c>
    </row>
    <row r="209" spans="2:11" x14ac:dyDescent="0.25">
      <c r="B209" s="168" t="s">
        <v>1304</v>
      </c>
      <c r="C209" s="168" t="s">
        <v>573</v>
      </c>
      <c r="D209" s="168"/>
      <c r="E209" s="168" t="s">
        <v>574</v>
      </c>
      <c r="F209" s="168" t="s">
        <v>1105</v>
      </c>
      <c r="G209" s="168" t="s">
        <v>1305</v>
      </c>
      <c r="H209" s="168" t="s">
        <v>1107</v>
      </c>
      <c r="I209" s="168" t="s">
        <v>577</v>
      </c>
      <c r="J209" s="169">
        <v>59.71</v>
      </c>
      <c r="K209" s="169">
        <v>14870.82</v>
      </c>
    </row>
    <row r="210" spans="2:11" x14ac:dyDescent="0.25">
      <c r="B210" s="168" t="s">
        <v>1306</v>
      </c>
      <c r="C210" s="168" t="s">
        <v>573</v>
      </c>
      <c r="D210" s="168"/>
      <c r="E210" s="168" t="s">
        <v>574</v>
      </c>
      <c r="F210" s="168" t="s">
        <v>1131</v>
      </c>
      <c r="G210" s="168" t="s">
        <v>1307</v>
      </c>
      <c r="H210" s="168" t="s">
        <v>1107</v>
      </c>
      <c r="I210" s="168" t="s">
        <v>585</v>
      </c>
      <c r="J210" s="169">
        <v>70.260000000000005</v>
      </c>
      <c r="K210" s="169">
        <v>14941.08</v>
      </c>
    </row>
    <row r="211" spans="2:11" x14ac:dyDescent="0.25">
      <c r="B211" s="168" t="s">
        <v>1306</v>
      </c>
      <c r="C211" s="168" t="s">
        <v>573</v>
      </c>
      <c r="D211" s="168"/>
      <c r="E211" s="168" t="s">
        <v>574</v>
      </c>
      <c r="F211" s="168" t="s">
        <v>1164</v>
      </c>
      <c r="G211" s="168" t="s">
        <v>1308</v>
      </c>
      <c r="H211" s="168" t="s">
        <v>1107</v>
      </c>
      <c r="I211" s="168" t="s">
        <v>585</v>
      </c>
      <c r="J211" s="169">
        <v>70.900000000000006</v>
      </c>
      <c r="K211" s="169">
        <v>15011.98</v>
      </c>
    </row>
    <row r="212" spans="2:11" x14ac:dyDescent="0.25">
      <c r="B212" s="168" t="s">
        <v>1306</v>
      </c>
      <c r="C212" s="168" t="s">
        <v>573</v>
      </c>
      <c r="D212" s="168"/>
      <c r="E212" s="168" t="s">
        <v>574</v>
      </c>
      <c r="F212" s="168" t="s">
        <v>1285</v>
      </c>
      <c r="G212" s="168" t="s">
        <v>1309</v>
      </c>
      <c r="H212" s="168" t="s">
        <v>1107</v>
      </c>
      <c r="I212" s="168" t="s">
        <v>585</v>
      </c>
      <c r="J212" s="169">
        <v>167.96</v>
      </c>
      <c r="K212" s="169">
        <v>15179.94</v>
      </c>
    </row>
    <row r="213" spans="2:11" x14ac:dyDescent="0.25">
      <c r="B213" s="168" t="s">
        <v>619</v>
      </c>
      <c r="C213" s="168" t="s">
        <v>573</v>
      </c>
      <c r="D213" s="168"/>
      <c r="E213" s="168" t="s">
        <v>574</v>
      </c>
      <c r="F213" s="168" t="s">
        <v>1164</v>
      </c>
      <c r="G213" s="168" t="s">
        <v>1300</v>
      </c>
      <c r="H213" s="168" t="s">
        <v>1107</v>
      </c>
      <c r="I213" s="168" t="s">
        <v>577</v>
      </c>
      <c r="J213" s="169">
        <v>56.09</v>
      </c>
      <c r="K213" s="169">
        <v>15236.03</v>
      </c>
    </row>
    <row r="214" spans="2:11" x14ac:dyDescent="0.25">
      <c r="B214" s="168" t="s">
        <v>619</v>
      </c>
      <c r="C214" s="168" t="s">
        <v>573</v>
      </c>
      <c r="D214" s="168"/>
      <c r="E214" s="168" t="s">
        <v>574</v>
      </c>
      <c r="F214" s="168" t="s">
        <v>604</v>
      </c>
      <c r="G214" s="168" t="s">
        <v>1310</v>
      </c>
      <c r="H214" s="168" t="s">
        <v>1107</v>
      </c>
      <c r="I214" s="168" t="s">
        <v>585</v>
      </c>
      <c r="J214" s="169">
        <v>103</v>
      </c>
      <c r="K214" s="169">
        <v>15339.03</v>
      </c>
    </row>
    <row r="215" spans="2:11" x14ac:dyDescent="0.25">
      <c r="B215" s="168" t="s">
        <v>621</v>
      </c>
      <c r="C215" s="168" t="s">
        <v>573</v>
      </c>
      <c r="D215" s="168"/>
      <c r="E215" s="168" t="s">
        <v>574</v>
      </c>
      <c r="F215" s="168"/>
      <c r="G215" s="168" t="s">
        <v>1311</v>
      </c>
      <c r="H215" s="168" t="s">
        <v>1107</v>
      </c>
      <c r="I215" s="168" t="s">
        <v>585</v>
      </c>
      <c r="J215" s="169">
        <v>23.95</v>
      </c>
      <c r="K215" s="169">
        <v>15362.98</v>
      </c>
    </row>
    <row r="216" spans="2:11" x14ac:dyDescent="0.25">
      <c r="B216" s="168" t="s">
        <v>621</v>
      </c>
      <c r="C216" s="168" t="s">
        <v>573</v>
      </c>
      <c r="D216" s="168"/>
      <c r="E216" s="168" t="s">
        <v>574</v>
      </c>
      <c r="F216" s="168" t="s">
        <v>1105</v>
      </c>
      <c r="G216" s="168" t="s">
        <v>1312</v>
      </c>
      <c r="H216" s="168" t="s">
        <v>1107</v>
      </c>
      <c r="I216" s="168" t="s">
        <v>577</v>
      </c>
      <c r="J216" s="169">
        <v>37.19</v>
      </c>
      <c r="K216" s="169">
        <v>15400.17</v>
      </c>
    </row>
    <row r="217" spans="2:11" x14ac:dyDescent="0.25">
      <c r="B217" s="168" t="s">
        <v>621</v>
      </c>
      <c r="C217" s="168" t="s">
        <v>573</v>
      </c>
      <c r="D217" s="168"/>
      <c r="E217" s="168" t="s">
        <v>574</v>
      </c>
      <c r="F217" s="168" t="s">
        <v>1137</v>
      </c>
      <c r="G217" s="168" t="s">
        <v>1313</v>
      </c>
      <c r="H217" s="168" t="s">
        <v>1107</v>
      </c>
      <c r="I217" s="168" t="s">
        <v>581</v>
      </c>
      <c r="J217" s="169">
        <v>30.12</v>
      </c>
      <c r="K217" s="169">
        <v>15430.29</v>
      </c>
    </row>
    <row r="218" spans="2:11" x14ac:dyDescent="0.25">
      <c r="B218" s="168" t="s">
        <v>788</v>
      </c>
      <c r="C218" s="168" t="s">
        <v>573</v>
      </c>
      <c r="D218" s="168"/>
      <c r="E218" s="168" t="s">
        <v>574</v>
      </c>
      <c r="F218" s="168" t="s">
        <v>1137</v>
      </c>
      <c r="G218" s="168" t="s">
        <v>1314</v>
      </c>
      <c r="H218" s="168" t="s">
        <v>1107</v>
      </c>
      <c r="I218" s="168" t="s">
        <v>581</v>
      </c>
      <c r="J218" s="169">
        <v>5.41</v>
      </c>
      <c r="K218" s="169">
        <v>15435.7</v>
      </c>
    </row>
    <row r="219" spans="2:11" x14ac:dyDescent="0.25">
      <c r="B219" s="168" t="s">
        <v>714</v>
      </c>
      <c r="C219" s="168" t="s">
        <v>573</v>
      </c>
      <c r="D219" s="168"/>
      <c r="E219" s="168" t="s">
        <v>574</v>
      </c>
      <c r="F219" s="168" t="s">
        <v>1137</v>
      </c>
      <c r="G219" s="168" t="s">
        <v>1314</v>
      </c>
      <c r="H219" s="168" t="s">
        <v>1107</v>
      </c>
      <c r="I219" s="168" t="s">
        <v>581</v>
      </c>
      <c r="J219" s="169">
        <v>10.83</v>
      </c>
      <c r="K219" s="169">
        <v>15446.53</v>
      </c>
    </row>
    <row r="220" spans="2:11" x14ac:dyDescent="0.25">
      <c r="B220" s="168" t="s">
        <v>714</v>
      </c>
      <c r="C220" s="168" t="s">
        <v>573</v>
      </c>
      <c r="D220" s="168"/>
      <c r="E220" s="168" t="s">
        <v>574</v>
      </c>
      <c r="F220" s="168" t="s">
        <v>1128</v>
      </c>
      <c r="G220" s="168" t="s">
        <v>1315</v>
      </c>
      <c r="H220" s="168" t="s">
        <v>1107</v>
      </c>
      <c r="I220" s="168" t="s">
        <v>581</v>
      </c>
      <c r="J220" s="169">
        <v>5.6</v>
      </c>
      <c r="K220" s="169">
        <v>15452.13</v>
      </c>
    </row>
    <row r="221" spans="2:11" x14ac:dyDescent="0.25">
      <c r="B221" s="168" t="s">
        <v>714</v>
      </c>
      <c r="C221" s="168" t="s">
        <v>573</v>
      </c>
      <c r="D221" s="168"/>
      <c r="E221" s="168" t="s">
        <v>574</v>
      </c>
      <c r="F221" s="168" t="s">
        <v>818</v>
      </c>
      <c r="G221" s="168" t="s">
        <v>1316</v>
      </c>
      <c r="H221" s="168" t="s">
        <v>1107</v>
      </c>
      <c r="I221" s="168" t="s">
        <v>577</v>
      </c>
      <c r="J221" s="169">
        <v>1099.54</v>
      </c>
      <c r="K221" s="169">
        <v>16551.669999999998</v>
      </c>
    </row>
    <row r="222" spans="2:11" x14ac:dyDescent="0.25">
      <c r="B222" s="168" t="s">
        <v>626</v>
      </c>
      <c r="C222" s="168" t="s">
        <v>573</v>
      </c>
      <c r="D222" s="168"/>
      <c r="E222" s="168" t="s">
        <v>574</v>
      </c>
      <c r="F222" s="168" t="s">
        <v>1182</v>
      </c>
      <c r="G222" s="168" t="s">
        <v>1317</v>
      </c>
      <c r="H222" s="168" t="s">
        <v>1107</v>
      </c>
      <c r="I222" s="168" t="s">
        <v>577</v>
      </c>
      <c r="J222" s="169">
        <v>24.91</v>
      </c>
      <c r="K222" s="169">
        <v>16576.580000000002</v>
      </c>
    </row>
    <row r="223" spans="2:11" x14ac:dyDescent="0.25">
      <c r="B223" s="168" t="s">
        <v>1067</v>
      </c>
      <c r="C223" s="168" t="s">
        <v>573</v>
      </c>
      <c r="D223" s="168"/>
      <c r="E223" s="168" t="s">
        <v>574</v>
      </c>
      <c r="F223" s="168" t="s">
        <v>1160</v>
      </c>
      <c r="G223" s="168" t="s">
        <v>1318</v>
      </c>
      <c r="H223" s="168" t="s">
        <v>1107</v>
      </c>
      <c r="I223" s="168" t="s">
        <v>577</v>
      </c>
      <c r="J223" s="169">
        <v>56.48</v>
      </c>
      <c r="K223" s="169">
        <v>16633.060000000001</v>
      </c>
    </row>
    <row r="224" spans="2:11" x14ac:dyDescent="0.25">
      <c r="B224" s="168" t="s">
        <v>1319</v>
      </c>
      <c r="C224" s="168" t="s">
        <v>573</v>
      </c>
      <c r="D224" s="168"/>
      <c r="E224" s="168" t="s">
        <v>574</v>
      </c>
      <c r="F224" s="168" t="s">
        <v>1320</v>
      </c>
      <c r="G224" s="168" t="s">
        <v>1321</v>
      </c>
      <c r="H224" s="168" t="s">
        <v>1107</v>
      </c>
      <c r="I224" s="168" t="s">
        <v>577</v>
      </c>
      <c r="J224" s="169">
        <v>14.98</v>
      </c>
      <c r="K224" s="169">
        <v>16648.04</v>
      </c>
    </row>
    <row r="225" spans="2:11" x14ac:dyDescent="0.25">
      <c r="B225" s="168" t="s">
        <v>1319</v>
      </c>
      <c r="C225" s="168" t="s">
        <v>573</v>
      </c>
      <c r="D225" s="168"/>
      <c r="E225" s="168" t="s">
        <v>574</v>
      </c>
      <c r="F225" s="168" t="s">
        <v>1291</v>
      </c>
      <c r="G225" s="168" t="s">
        <v>1322</v>
      </c>
      <c r="H225" s="168" t="s">
        <v>1107</v>
      </c>
      <c r="I225" s="168" t="s">
        <v>577</v>
      </c>
      <c r="J225" s="169">
        <v>53.64</v>
      </c>
      <c r="K225" s="169">
        <v>16701.68</v>
      </c>
    </row>
    <row r="226" spans="2:11" x14ac:dyDescent="0.25">
      <c r="B226" s="168" t="s">
        <v>1319</v>
      </c>
      <c r="C226" s="168" t="s">
        <v>573</v>
      </c>
      <c r="D226" s="168"/>
      <c r="E226" s="168" t="s">
        <v>574</v>
      </c>
      <c r="F226" s="168" t="s">
        <v>1243</v>
      </c>
      <c r="G226" s="168" t="s">
        <v>1323</v>
      </c>
      <c r="H226" s="168" t="s">
        <v>1107</v>
      </c>
      <c r="I226" s="168" t="s">
        <v>577</v>
      </c>
      <c r="J226" s="169">
        <v>205.85</v>
      </c>
      <c r="K226" s="169">
        <v>16907.53</v>
      </c>
    </row>
    <row r="227" spans="2:11" x14ac:dyDescent="0.25">
      <c r="B227" s="168" t="s">
        <v>1319</v>
      </c>
      <c r="C227" s="168" t="s">
        <v>573</v>
      </c>
      <c r="D227" s="168"/>
      <c r="E227" s="168" t="s">
        <v>574</v>
      </c>
      <c r="F227" s="168" t="s">
        <v>1122</v>
      </c>
      <c r="G227" s="168" t="s">
        <v>1324</v>
      </c>
      <c r="H227" s="168" t="s">
        <v>1107</v>
      </c>
      <c r="I227" s="168" t="s">
        <v>577</v>
      </c>
      <c r="J227" s="169">
        <v>75</v>
      </c>
      <c r="K227" s="169">
        <v>16982.53</v>
      </c>
    </row>
    <row r="228" spans="2:11" x14ac:dyDescent="0.25">
      <c r="B228" s="168" t="s">
        <v>1325</v>
      </c>
      <c r="C228" s="168" t="s">
        <v>573</v>
      </c>
      <c r="D228" s="168"/>
      <c r="E228" s="168" t="s">
        <v>574</v>
      </c>
      <c r="F228" s="168" t="s">
        <v>1326</v>
      </c>
      <c r="G228" s="168" t="s">
        <v>1327</v>
      </c>
      <c r="H228" s="168" t="s">
        <v>1107</v>
      </c>
      <c r="I228" s="168" t="s">
        <v>585</v>
      </c>
      <c r="J228" s="169">
        <v>1440.51</v>
      </c>
      <c r="K228" s="169">
        <v>18423.04</v>
      </c>
    </row>
    <row r="229" spans="2:11" x14ac:dyDescent="0.25">
      <c r="B229" s="168" t="s">
        <v>1325</v>
      </c>
      <c r="C229" s="168" t="s">
        <v>573</v>
      </c>
      <c r="D229" s="168"/>
      <c r="E229" s="168" t="s">
        <v>574</v>
      </c>
      <c r="F229" s="168" t="s">
        <v>1328</v>
      </c>
      <c r="G229" s="168" t="s">
        <v>1329</v>
      </c>
      <c r="H229" s="168" t="s">
        <v>1107</v>
      </c>
      <c r="I229" s="168" t="s">
        <v>577</v>
      </c>
      <c r="J229" s="169">
        <v>5.93</v>
      </c>
      <c r="K229" s="169">
        <v>18428.97</v>
      </c>
    </row>
    <row r="230" spans="2:11" x14ac:dyDescent="0.25">
      <c r="B230" s="168" t="s">
        <v>1325</v>
      </c>
      <c r="C230" s="168" t="s">
        <v>573</v>
      </c>
      <c r="D230" s="168"/>
      <c r="E230" s="168" t="s">
        <v>574</v>
      </c>
      <c r="F230" s="168" t="s">
        <v>1164</v>
      </c>
      <c r="G230" s="168" t="s">
        <v>1330</v>
      </c>
      <c r="H230" s="168" t="s">
        <v>1107</v>
      </c>
      <c r="I230" s="168" t="s">
        <v>585</v>
      </c>
      <c r="J230" s="169">
        <v>106.75</v>
      </c>
      <c r="K230" s="169">
        <v>18535.72</v>
      </c>
    </row>
    <row r="231" spans="2:11" x14ac:dyDescent="0.25">
      <c r="B231" s="168" t="s">
        <v>1325</v>
      </c>
      <c r="C231" s="168" t="s">
        <v>573</v>
      </c>
      <c r="D231" s="168"/>
      <c r="E231" s="168" t="s">
        <v>574</v>
      </c>
      <c r="F231" s="168" t="s">
        <v>1122</v>
      </c>
      <c r="G231" s="168" t="s">
        <v>1331</v>
      </c>
      <c r="H231" s="168" t="s">
        <v>1107</v>
      </c>
      <c r="I231" s="168" t="s">
        <v>585</v>
      </c>
      <c r="J231" s="169">
        <v>75</v>
      </c>
      <c r="K231" s="169">
        <v>18610.72</v>
      </c>
    </row>
    <row r="232" spans="2:11" x14ac:dyDescent="0.25">
      <c r="B232" s="168" t="s">
        <v>1325</v>
      </c>
      <c r="C232" s="168" t="s">
        <v>573</v>
      </c>
      <c r="D232" s="168"/>
      <c r="E232" s="168" t="s">
        <v>574</v>
      </c>
      <c r="F232" s="168" t="s">
        <v>1164</v>
      </c>
      <c r="G232" s="168" t="s">
        <v>1332</v>
      </c>
      <c r="H232" s="168" t="s">
        <v>1107</v>
      </c>
      <c r="I232" s="168" t="s">
        <v>585</v>
      </c>
      <c r="J232" s="169">
        <v>70.72</v>
      </c>
      <c r="K232" s="169">
        <v>18681.439999999999</v>
      </c>
    </row>
    <row r="233" spans="2:11" x14ac:dyDescent="0.25">
      <c r="B233" s="168" t="s">
        <v>1325</v>
      </c>
      <c r="C233" s="168" t="s">
        <v>573</v>
      </c>
      <c r="D233" s="168"/>
      <c r="E233" s="168" t="s">
        <v>574</v>
      </c>
      <c r="F233" s="168" t="s">
        <v>1164</v>
      </c>
      <c r="G233" s="168" t="s">
        <v>1332</v>
      </c>
      <c r="H233" s="168" t="s">
        <v>1107</v>
      </c>
      <c r="I233" s="168" t="s">
        <v>585</v>
      </c>
      <c r="J233" s="169">
        <v>31.16</v>
      </c>
      <c r="K233" s="169">
        <v>18712.599999999999</v>
      </c>
    </row>
    <row r="234" spans="2:11" x14ac:dyDescent="0.25">
      <c r="B234" s="168" t="s">
        <v>628</v>
      </c>
      <c r="C234" s="168" t="s">
        <v>573</v>
      </c>
      <c r="D234" s="168"/>
      <c r="E234" s="168" t="s">
        <v>574</v>
      </c>
      <c r="F234" s="168" t="s">
        <v>1164</v>
      </c>
      <c r="G234" s="168" t="s">
        <v>1333</v>
      </c>
      <c r="H234" s="168" t="s">
        <v>1107</v>
      </c>
      <c r="I234" s="168" t="s">
        <v>585</v>
      </c>
      <c r="J234" s="169">
        <v>53.73</v>
      </c>
      <c r="K234" s="169">
        <v>18766.330000000002</v>
      </c>
    </row>
    <row r="235" spans="2:11" x14ac:dyDescent="0.25">
      <c r="B235" s="168" t="s">
        <v>628</v>
      </c>
      <c r="C235" s="168" t="s">
        <v>573</v>
      </c>
      <c r="D235" s="168"/>
      <c r="E235" s="168" t="s">
        <v>574</v>
      </c>
      <c r="F235" s="168" t="s">
        <v>1164</v>
      </c>
      <c r="G235" s="168" t="s">
        <v>1333</v>
      </c>
      <c r="H235" s="168" t="s">
        <v>1107</v>
      </c>
      <c r="I235" s="168" t="s">
        <v>585</v>
      </c>
      <c r="J235" s="169">
        <v>24.79</v>
      </c>
      <c r="K235" s="169">
        <v>18791.12</v>
      </c>
    </row>
    <row r="236" spans="2:11" x14ac:dyDescent="0.25">
      <c r="B236" s="168" t="s">
        <v>1334</v>
      </c>
      <c r="C236" s="168" t="s">
        <v>573</v>
      </c>
      <c r="D236" s="168"/>
      <c r="E236" s="168" t="s">
        <v>574</v>
      </c>
      <c r="F236" s="168" t="s">
        <v>1108</v>
      </c>
      <c r="G236" s="168" t="s">
        <v>1335</v>
      </c>
      <c r="H236" s="168" t="s">
        <v>1107</v>
      </c>
      <c r="I236" s="168" t="s">
        <v>577</v>
      </c>
      <c r="J236" s="169">
        <v>41.86</v>
      </c>
      <c r="K236" s="169">
        <v>18832.98</v>
      </c>
    </row>
    <row r="237" spans="2:11" x14ac:dyDescent="0.25">
      <c r="B237" s="168" t="s">
        <v>1334</v>
      </c>
      <c r="C237" s="168" t="s">
        <v>573</v>
      </c>
      <c r="D237" s="168"/>
      <c r="E237" s="168" t="s">
        <v>574</v>
      </c>
      <c r="F237" s="168" t="s">
        <v>1164</v>
      </c>
      <c r="G237" s="168" t="s">
        <v>1336</v>
      </c>
      <c r="H237" s="168" t="s">
        <v>1107</v>
      </c>
      <c r="I237" s="168" t="s">
        <v>585</v>
      </c>
      <c r="J237" s="169">
        <v>32.409999999999997</v>
      </c>
      <c r="K237" s="169">
        <v>18865.39</v>
      </c>
    </row>
    <row r="238" spans="2:11" x14ac:dyDescent="0.25">
      <c r="B238" s="168" t="s">
        <v>1334</v>
      </c>
      <c r="C238" s="168" t="s">
        <v>573</v>
      </c>
      <c r="D238" s="168"/>
      <c r="E238" s="168" t="s">
        <v>574</v>
      </c>
      <c r="F238" s="168" t="s">
        <v>1164</v>
      </c>
      <c r="G238" s="168" t="s">
        <v>1336</v>
      </c>
      <c r="H238" s="168" t="s">
        <v>1107</v>
      </c>
      <c r="I238" s="168" t="s">
        <v>585</v>
      </c>
      <c r="J238" s="169">
        <v>22.91</v>
      </c>
      <c r="K238" s="169">
        <v>18888.3</v>
      </c>
    </row>
    <row r="239" spans="2:11" x14ac:dyDescent="0.25">
      <c r="B239" s="168" t="s">
        <v>1334</v>
      </c>
      <c r="C239" s="168" t="s">
        <v>573</v>
      </c>
      <c r="D239" s="168"/>
      <c r="E239" s="168" t="s">
        <v>574</v>
      </c>
      <c r="F239" s="168" t="s">
        <v>1164</v>
      </c>
      <c r="G239" s="168" t="s">
        <v>1336</v>
      </c>
      <c r="H239" s="168" t="s">
        <v>1107</v>
      </c>
      <c r="I239" s="168" t="s">
        <v>585</v>
      </c>
      <c r="J239" s="169">
        <v>12.96</v>
      </c>
      <c r="K239" s="169">
        <v>18901.259999999998</v>
      </c>
    </row>
    <row r="240" spans="2:11" x14ac:dyDescent="0.25">
      <c r="B240" s="168" t="s">
        <v>1334</v>
      </c>
      <c r="C240" s="168" t="s">
        <v>573</v>
      </c>
      <c r="D240" s="168"/>
      <c r="E240" s="168" t="s">
        <v>574</v>
      </c>
      <c r="F240" s="168" t="s">
        <v>1164</v>
      </c>
      <c r="G240" s="168" t="s">
        <v>1336</v>
      </c>
      <c r="H240" s="168" t="s">
        <v>1107</v>
      </c>
      <c r="I240" s="168" t="s">
        <v>585</v>
      </c>
      <c r="J240" s="169">
        <v>17.93</v>
      </c>
      <c r="K240" s="169">
        <v>18919.189999999999</v>
      </c>
    </row>
    <row r="241" spans="2:11" x14ac:dyDescent="0.25">
      <c r="B241" s="168" t="s">
        <v>1337</v>
      </c>
      <c r="C241" s="168" t="s">
        <v>573</v>
      </c>
      <c r="D241" s="168"/>
      <c r="E241" s="168" t="s">
        <v>574</v>
      </c>
      <c r="F241" s="168" t="s">
        <v>1164</v>
      </c>
      <c r="G241" s="168" t="s">
        <v>1336</v>
      </c>
      <c r="H241" s="168" t="s">
        <v>1107</v>
      </c>
      <c r="I241" s="168" t="s">
        <v>585</v>
      </c>
      <c r="J241" s="169">
        <v>3</v>
      </c>
      <c r="K241" s="169">
        <v>18922.189999999999</v>
      </c>
    </row>
    <row r="242" spans="2:11" x14ac:dyDescent="0.25">
      <c r="B242" s="168" t="s">
        <v>1337</v>
      </c>
      <c r="C242" s="168" t="s">
        <v>573</v>
      </c>
      <c r="D242" s="168"/>
      <c r="E242" s="168" t="s">
        <v>574</v>
      </c>
      <c r="F242" s="168" t="s">
        <v>1164</v>
      </c>
      <c r="G242" s="168" t="s">
        <v>1338</v>
      </c>
      <c r="H242" s="168" t="s">
        <v>1107</v>
      </c>
      <c r="I242" s="168" t="s">
        <v>585</v>
      </c>
      <c r="J242" s="169">
        <v>34.94</v>
      </c>
      <c r="K242" s="169">
        <v>18957.13</v>
      </c>
    </row>
    <row r="243" spans="2:11" x14ac:dyDescent="0.25">
      <c r="B243" s="168" t="s">
        <v>1337</v>
      </c>
      <c r="C243" s="168" t="s">
        <v>573</v>
      </c>
      <c r="D243" s="168"/>
      <c r="E243" s="168" t="s">
        <v>574</v>
      </c>
      <c r="F243" s="168" t="s">
        <v>1160</v>
      </c>
      <c r="G243" s="168" t="s">
        <v>1339</v>
      </c>
      <c r="H243" s="168" t="s">
        <v>1107</v>
      </c>
      <c r="I243" s="168" t="s">
        <v>742</v>
      </c>
      <c r="J243" s="169">
        <v>44.72</v>
      </c>
      <c r="K243" s="169">
        <v>19001.849999999999</v>
      </c>
    </row>
    <row r="244" spans="2:11" x14ac:dyDescent="0.25">
      <c r="B244" s="168" t="s">
        <v>1337</v>
      </c>
      <c r="C244" s="168" t="s">
        <v>573</v>
      </c>
      <c r="D244" s="168"/>
      <c r="E244" s="168" t="s">
        <v>574</v>
      </c>
      <c r="F244" s="168" t="s">
        <v>1164</v>
      </c>
      <c r="G244" s="168" t="s">
        <v>1338</v>
      </c>
      <c r="H244" s="168" t="s">
        <v>1107</v>
      </c>
      <c r="I244" s="168" t="s">
        <v>585</v>
      </c>
      <c r="J244" s="169">
        <v>91.63</v>
      </c>
      <c r="K244" s="169">
        <v>19093.48</v>
      </c>
    </row>
    <row r="245" spans="2:11" x14ac:dyDescent="0.25">
      <c r="B245" s="168" t="s">
        <v>1340</v>
      </c>
      <c r="C245" s="168" t="s">
        <v>573</v>
      </c>
      <c r="D245" s="168"/>
      <c r="E245" s="168" t="s">
        <v>574</v>
      </c>
      <c r="F245" s="168" t="s">
        <v>818</v>
      </c>
      <c r="G245" s="168" t="s">
        <v>1341</v>
      </c>
      <c r="H245" s="168" t="s">
        <v>1107</v>
      </c>
      <c r="I245" s="168" t="s">
        <v>585</v>
      </c>
      <c r="J245" s="169">
        <v>219.26</v>
      </c>
      <c r="K245" s="169">
        <v>19312.740000000002</v>
      </c>
    </row>
    <row r="246" spans="2:11" x14ac:dyDescent="0.25">
      <c r="B246" s="168" t="s">
        <v>1340</v>
      </c>
      <c r="C246" s="168" t="s">
        <v>681</v>
      </c>
      <c r="D246" s="168"/>
      <c r="E246" s="168" t="s">
        <v>574</v>
      </c>
      <c r="F246" s="168" t="s">
        <v>818</v>
      </c>
      <c r="G246" s="168" t="s">
        <v>1341</v>
      </c>
      <c r="H246" s="168" t="s">
        <v>1107</v>
      </c>
      <c r="I246" s="168" t="s">
        <v>585</v>
      </c>
      <c r="J246" s="169">
        <v>-219.26</v>
      </c>
      <c r="K246" s="169">
        <v>19093.48</v>
      </c>
    </row>
    <row r="247" spans="2:11" x14ac:dyDescent="0.25">
      <c r="B247" s="168" t="s">
        <v>1342</v>
      </c>
      <c r="C247" s="168" t="s">
        <v>573</v>
      </c>
      <c r="D247" s="168"/>
      <c r="E247" s="168" t="s">
        <v>574</v>
      </c>
      <c r="F247" s="168" t="s">
        <v>1291</v>
      </c>
      <c r="G247" s="168" t="s">
        <v>1343</v>
      </c>
      <c r="H247" s="168" t="s">
        <v>1107</v>
      </c>
      <c r="I247" s="168" t="s">
        <v>577</v>
      </c>
      <c r="J247" s="169">
        <v>180.07</v>
      </c>
      <c r="K247" s="169">
        <v>19273.55</v>
      </c>
    </row>
    <row r="248" spans="2:11" x14ac:dyDescent="0.25">
      <c r="B248" s="168" t="s">
        <v>1344</v>
      </c>
      <c r="C248" s="168" t="s">
        <v>573</v>
      </c>
      <c r="D248" s="168"/>
      <c r="E248" s="168" t="s">
        <v>574</v>
      </c>
      <c r="F248" s="168" t="s">
        <v>1232</v>
      </c>
      <c r="G248" s="168" t="s">
        <v>1345</v>
      </c>
      <c r="H248" s="168" t="s">
        <v>1107</v>
      </c>
      <c r="I248" s="168" t="s">
        <v>577</v>
      </c>
      <c r="J248" s="169">
        <v>12.81</v>
      </c>
      <c r="K248" s="169">
        <v>19286.36</v>
      </c>
    </row>
    <row r="249" spans="2:11" x14ac:dyDescent="0.25">
      <c r="B249" s="168" t="s">
        <v>1344</v>
      </c>
      <c r="C249" s="168" t="s">
        <v>573</v>
      </c>
      <c r="D249" s="168"/>
      <c r="E249" s="168" t="s">
        <v>574</v>
      </c>
      <c r="F249" s="168" t="s">
        <v>1232</v>
      </c>
      <c r="G249" s="168" t="s">
        <v>1345</v>
      </c>
      <c r="H249" s="168" t="s">
        <v>1107</v>
      </c>
      <c r="I249" s="168" t="s">
        <v>577</v>
      </c>
      <c r="J249" s="169">
        <v>12.81</v>
      </c>
      <c r="K249" s="169">
        <v>19299.169999999998</v>
      </c>
    </row>
    <row r="250" spans="2:11" x14ac:dyDescent="0.25">
      <c r="B250" s="168" t="s">
        <v>1346</v>
      </c>
      <c r="C250" s="168" t="s">
        <v>573</v>
      </c>
      <c r="D250" s="168"/>
      <c r="E250" s="168" t="s">
        <v>574</v>
      </c>
      <c r="F250" s="168" t="s">
        <v>1347</v>
      </c>
      <c r="G250" s="168" t="s">
        <v>1348</v>
      </c>
      <c r="H250" s="168" t="s">
        <v>1107</v>
      </c>
      <c r="I250" s="168" t="s">
        <v>585</v>
      </c>
      <c r="J250" s="169">
        <v>30</v>
      </c>
      <c r="K250" s="169">
        <v>19329.169999999998</v>
      </c>
    </row>
    <row r="251" spans="2:11" x14ac:dyDescent="0.25">
      <c r="B251" s="168" t="s">
        <v>1346</v>
      </c>
      <c r="C251" s="168" t="s">
        <v>573</v>
      </c>
      <c r="D251" s="168"/>
      <c r="E251" s="168" t="s">
        <v>574</v>
      </c>
      <c r="F251" s="168" t="s">
        <v>1347</v>
      </c>
      <c r="G251" s="168" t="s">
        <v>1348</v>
      </c>
      <c r="H251" s="168" t="s">
        <v>1107</v>
      </c>
      <c r="I251" s="168" t="s">
        <v>585</v>
      </c>
      <c r="J251" s="169">
        <v>30</v>
      </c>
      <c r="K251" s="169">
        <v>19359.169999999998</v>
      </c>
    </row>
    <row r="252" spans="2:11" x14ac:dyDescent="0.25">
      <c r="B252" s="168" t="s">
        <v>1346</v>
      </c>
      <c r="C252" s="168" t="s">
        <v>573</v>
      </c>
      <c r="D252" s="168"/>
      <c r="E252" s="168" t="s">
        <v>574</v>
      </c>
      <c r="F252" s="168" t="s">
        <v>1349</v>
      </c>
      <c r="G252" s="168" t="s">
        <v>1350</v>
      </c>
      <c r="H252" s="168" t="s">
        <v>1107</v>
      </c>
      <c r="I252" s="168" t="s">
        <v>585</v>
      </c>
      <c r="J252" s="169">
        <v>1271.6400000000001</v>
      </c>
      <c r="K252" s="169">
        <v>20630.810000000001</v>
      </c>
    </row>
    <row r="253" spans="2:11" x14ac:dyDescent="0.25">
      <c r="B253" s="168" t="s">
        <v>1351</v>
      </c>
      <c r="C253" s="168" t="s">
        <v>573</v>
      </c>
      <c r="D253" s="168"/>
      <c r="E253" s="168" t="s">
        <v>574</v>
      </c>
      <c r="F253" s="168" t="s">
        <v>952</v>
      </c>
      <c r="G253" s="168" t="s">
        <v>1352</v>
      </c>
      <c r="H253" s="168" t="s">
        <v>1107</v>
      </c>
      <c r="I253" s="168" t="s">
        <v>585</v>
      </c>
      <c r="J253" s="169">
        <v>779.04</v>
      </c>
      <c r="K253" s="169">
        <v>21409.85</v>
      </c>
    </row>
    <row r="254" spans="2:11" x14ac:dyDescent="0.25">
      <c r="B254" s="168" t="s">
        <v>794</v>
      </c>
      <c r="C254" s="168" t="s">
        <v>573</v>
      </c>
      <c r="D254" s="168"/>
      <c r="E254" s="168" t="s">
        <v>574</v>
      </c>
      <c r="F254" s="168" t="s">
        <v>1105</v>
      </c>
      <c r="G254" s="168" t="s">
        <v>1353</v>
      </c>
      <c r="H254" s="168" t="s">
        <v>1107</v>
      </c>
      <c r="I254" s="168" t="s">
        <v>585</v>
      </c>
      <c r="J254" s="169">
        <v>93.76</v>
      </c>
      <c r="K254" s="169">
        <v>21503.61</v>
      </c>
    </row>
    <row r="255" spans="2:11" x14ac:dyDescent="0.25">
      <c r="B255" s="168" t="s">
        <v>794</v>
      </c>
      <c r="C255" s="168" t="s">
        <v>573</v>
      </c>
      <c r="D255" s="168"/>
      <c r="E255" s="168" t="s">
        <v>574</v>
      </c>
      <c r="F255" s="168" t="s">
        <v>1105</v>
      </c>
      <c r="G255" s="168" t="s">
        <v>1354</v>
      </c>
      <c r="H255" s="168" t="s">
        <v>1107</v>
      </c>
      <c r="I255" s="168" t="s">
        <v>585</v>
      </c>
      <c r="J255" s="169">
        <v>18.989999999999998</v>
      </c>
      <c r="K255" s="169">
        <v>21522.6</v>
      </c>
    </row>
    <row r="256" spans="2:11" x14ac:dyDescent="0.25">
      <c r="B256" s="168" t="s">
        <v>1355</v>
      </c>
      <c r="C256" s="168" t="s">
        <v>573</v>
      </c>
      <c r="D256" s="168"/>
      <c r="E256" s="168" t="s">
        <v>574</v>
      </c>
      <c r="F256" s="168" t="s">
        <v>1105</v>
      </c>
      <c r="G256" s="168" t="s">
        <v>1356</v>
      </c>
      <c r="H256" s="168" t="s">
        <v>1107</v>
      </c>
      <c r="I256" s="168" t="s">
        <v>585</v>
      </c>
      <c r="J256" s="169">
        <v>27.52</v>
      </c>
      <c r="K256" s="169">
        <v>21550.12</v>
      </c>
    </row>
    <row r="257" spans="2:11" x14ac:dyDescent="0.25">
      <c r="B257" s="168" t="s">
        <v>1355</v>
      </c>
      <c r="C257" s="168" t="s">
        <v>573</v>
      </c>
      <c r="D257" s="168"/>
      <c r="E257" s="168" t="s">
        <v>574</v>
      </c>
      <c r="F257" s="168" t="s">
        <v>1279</v>
      </c>
      <c r="G257" s="168" t="s">
        <v>1357</v>
      </c>
      <c r="H257" s="168" t="s">
        <v>1107</v>
      </c>
      <c r="I257" s="168" t="s">
        <v>585</v>
      </c>
      <c r="J257" s="169">
        <v>55.6</v>
      </c>
      <c r="K257" s="169">
        <v>21605.72</v>
      </c>
    </row>
    <row r="258" spans="2:11" x14ac:dyDescent="0.25">
      <c r="B258" s="168" t="s">
        <v>1355</v>
      </c>
      <c r="C258" s="168" t="s">
        <v>573</v>
      </c>
      <c r="D258" s="168"/>
      <c r="E258" s="168" t="s">
        <v>574</v>
      </c>
      <c r="F258" s="168" t="s">
        <v>1358</v>
      </c>
      <c r="G258" s="168" t="s">
        <v>1359</v>
      </c>
      <c r="H258" s="168" t="s">
        <v>1107</v>
      </c>
      <c r="I258" s="168" t="s">
        <v>585</v>
      </c>
      <c r="J258" s="169">
        <v>18</v>
      </c>
      <c r="K258" s="169">
        <v>21623.72</v>
      </c>
    </row>
    <row r="259" spans="2:11" x14ac:dyDescent="0.25">
      <c r="B259" s="168" t="s">
        <v>1355</v>
      </c>
      <c r="C259" s="168" t="s">
        <v>573</v>
      </c>
      <c r="D259" s="168"/>
      <c r="E259" s="168" t="s">
        <v>574</v>
      </c>
      <c r="F259" s="168" t="s">
        <v>1358</v>
      </c>
      <c r="G259" s="168" t="s">
        <v>1359</v>
      </c>
      <c r="H259" s="168" t="s">
        <v>1107</v>
      </c>
      <c r="I259" s="168" t="s">
        <v>585</v>
      </c>
      <c r="J259" s="169">
        <v>18</v>
      </c>
      <c r="K259" s="169">
        <v>21641.72</v>
      </c>
    </row>
    <row r="260" spans="2:11" x14ac:dyDescent="0.25">
      <c r="B260" s="168" t="s">
        <v>1355</v>
      </c>
      <c r="C260" s="168" t="s">
        <v>573</v>
      </c>
      <c r="D260" s="168"/>
      <c r="E260" s="168" t="s">
        <v>574</v>
      </c>
      <c r="F260" s="168" t="s">
        <v>818</v>
      </c>
      <c r="G260" s="168" t="s">
        <v>1360</v>
      </c>
      <c r="H260" s="168" t="s">
        <v>1107</v>
      </c>
      <c r="I260" s="168" t="s">
        <v>585</v>
      </c>
      <c r="J260" s="169">
        <v>134.1</v>
      </c>
      <c r="K260" s="169">
        <v>21775.82</v>
      </c>
    </row>
    <row r="261" spans="2:11" x14ac:dyDescent="0.25">
      <c r="B261" s="168" t="s">
        <v>1355</v>
      </c>
      <c r="C261" s="168" t="s">
        <v>573</v>
      </c>
      <c r="D261" s="168"/>
      <c r="E261" s="168" t="s">
        <v>574</v>
      </c>
      <c r="F261" s="168" t="s">
        <v>1358</v>
      </c>
      <c r="G261" s="168" t="s">
        <v>1361</v>
      </c>
      <c r="H261" s="168" t="s">
        <v>1107</v>
      </c>
      <c r="I261" s="168" t="s">
        <v>585</v>
      </c>
      <c r="J261" s="169">
        <v>185</v>
      </c>
      <c r="K261" s="169">
        <v>21960.82</v>
      </c>
    </row>
    <row r="262" spans="2:11" x14ac:dyDescent="0.25">
      <c r="B262" s="168" t="s">
        <v>939</v>
      </c>
      <c r="C262" s="168" t="s">
        <v>573</v>
      </c>
      <c r="D262" s="168"/>
      <c r="E262" s="168" t="s">
        <v>574</v>
      </c>
      <c r="F262" s="168" t="s">
        <v>1362</v>
      </c>
      <c r="G262" s="168" t="s">
        <v>1363</v>
      </c>
      <c r="H262" s="168" t="s">
        <v>1107</v>
      </c>
      <c r="I262" s="168" t="s">
        <v>585</v>
      </c>
      <c r="J262" s="169">
        <v>3.71</v>
      </c>
      <c r="K262" s="169">
        <v>21964.53</v>
      </c>
    </row>
    <row r="263" spans="2:11" x14ac:dyDescent="0.25">
      <c r="B263" s="168" t="s">
        <v>939</v>
      </c>
      <c r="C263" s="168" t="s">
        <v>573</v>
      </c>
      <c r="D263" s="168"/>
      <c r="E263" s="168" t="s">
        <v>574</v>
      </c>
      <c r="F263" s="168" t="s">
        <v>1105</v>
      </c>
      <c r="G263" s="168" t="s">
        <v>1364</v>
      </c>
      <c r="H263" s="168" t="s">
        <v>1107</v>
      </c>
      <c r="I263" s="168" t="s">
        <v>585</v>
      </c>
      <c r="J263" s="169">
        <v>13.85</v>
      </c>
      <c r="K263" s="169">
        <v>21978.38</v>
      </c>
    </row>
    <row r="264" spans="2:11" x14ac:dyDescent="0.25">
      <c r="B264" s="168" t="s">
        <v>939</v>
      </c>
      <c r="C264" s="168" t="s">
        <v>573</v>
      </c>
      <c r="D264" s="168"/>
      <c r="E264" s="168" t="s">
        <v>574</v>
      </c>
      <c r="F264" s="168" t="s">
        <v>1105</v>
      </c>
      <c r="G264" s="168" t="s">
        <v>1365</v>
      </c>
      <c r="H264" s="168" t="s">
        <v>1107</v>
      </c>
      <c r="I264" s="168" t="s">
        <v>585</v>
      </c>
      <c r="J264" s="169">
        <v>15.99</v>
      </c>
      <c r="K264" s="169">
        <v>21994.37</v>
      </c>
    </row>
    <row r="265" spans="2:11" x14ac:dyDescent="0.25">
      <c r="B265" s="168" t="s">
        <v>1366</v>
      </c>
      <c r="C265" s="168" t="s">
        <v>573</v>
      </c>
      <c r="D265" s="168"/>
      <c r="E265" s="168" t="s">
        <v>574</v>
      </c>
      <c r="F265" s="168" t="s">
        <v>1105</v>
      </c>
      <c r="G265" s="168" t="s">
        <v>1367</v>
      </c>
      <c r="H265" s="168" t="s">
        <v>1107</v>
      </c>
      <c r="I265" s="168" t="s">
        <v>585</v>
      </c>
      <c r="J265" s="169">
        <v>70.790000000000006</v>
      </c>
      <c r="K265" s="169">
        <v>22065.16</v>
      </c>
    </row>
    <row r="266" spans="2:11" x14ac:dyDescent="0.25">
      <c r="B266" s="168" t="s">
        <v>1366</v>
      </c>
      <c r="C266" s="168" t="s">
        <v>573</v>
      </c>
      <c r="D266" s="168"/>
      <c r="E266" s="168" t="s">
        <v>574</v>
      </c>
      <c r="F266" s="168" t="s">
        <v>952</v>
      </c>
      <c r="G266" s="168" t="s">
        <v>1368</v>
      </c>
      <c r="H266" s="168" t="s">
        <v>1107</v>
      </c>
      <c r="I266" s="168" t="s">
        <v>585</v>
      </c>
      <c r="J266" s="169">
        <v>450</v>
      </c>
      <c r="K266" s="169">
        <v>22515.16</v>
      </c>
    </row>
    <row r="267" spans="2:11" x14ac:dyDescent="0.25">
      <c r="B267" s="168" t="s">
        <v>1369</v>
      </c>
      <c r="C267" s="168" t="s">
        <v>573</v>
      </c>
      <c r="D267" s="168"/>
      <c r="E267" s="168" t="s">
        <v>574</v>
      </c>
      <c r="F267" s="168" t="s">
        <v>1122</v>
      </c>
      <c r="G267" s="168" t="s">
        <v>1370</v>
      </c>
      <c r="H267" s="168" t="s">
        <v>1107</v>
      </c>
      <c r="I267" s="168" t="s">
        <v>585</v>
      </c>
      <c r="J267" s="169">
        <v>5.6</v>
      </c>
      <c r="K267" s="169">
        <v>22520.76</v>
      </c>
    </row>
    <row r="268" spans="2:11" x14ac:dyDescent="0.25">
      <c r="B268" s="168" t="s">
        <v>1369</v>
      </c>
      <c r="C268" s="168" t="s">
        <v>573</v>
      </c>
      <c r="D268" s="168"/>
      <c r="E268" s="168" t="s">
        <v>574</v>
      </c>
      <c r="F268" s="168" t="s">
        <v>1122</v>
      </c>
      <c r="G268" s="168" t="s">
        <v>1370</v>
      </c>
      <c r="H268" s="168" t="s">
        <v>1107</v>
      </c>
      <c r="I268" s="168" t="s">
        <v>585</v>
      </c>
      <c r="J268" s="169">
        <v>5.6</v>
      </c>
      <c r="K268" s="169">
        <v>22526.36</v>
      </c>
    </row>
    <row r="269" spans="2:11" x14ac:dyDescent="0.25">
      <c r="B269" s="168" t="s">
        <v>1369</v>
      </c>
      <c r="C269" s="168" t="s">
        <v>573</v>
      </c>
      <c r="D269" s="168"/>
      <c r="E269" s="168" t="s">
        <v>574</v>
      </c>
      <c r="F269" s="168" t="s">
        <v>1122</v>
      </c>
      <c r="G269" s="168" t="s">
        <v>1370</v>
      </c>
      <c r="H269" s="168" t="s">
        <v>1107</v>
      </c>
      <c r="I269" s="168" t="s">
        <v>585</v>
      </c>
      <c r="J269" s="169">
        <v>5.6</v>
      </c>
      <c r="K269" s="169">
        <v>22531.96</v>
      </c>
    </row>
    <row r="270" spans="2:11" x14ac:dyDescent="0.25">
      <c r="B270" s="168" t="s">
        <v>1369</v>
      </c>
      <c r="C270" s="168" t="s">
        <v>573</v>
      </c>
      <c r="D270" s="168"/>
      <c r="E270" s="168" t="s">
        <v>574</v>
      </c>
      <c r="F270" s="168" t="s">
        <v>1122</v>
      </c>
      <c r="G270" s="168" t="s">
        <v>1370</v>
      </c>
      <c r="H270" s="168" t="s">
        <v>1107</v>
      </c>
      <c r="I270" s="168" t="s">
        <v>585</v>
      </c>
      <c r="J270" s="169">
        <v>5.6</v>
      </c>
      <c r="K270" s="169">
        <v>22537.56</v>
      </c>
    </row>
    <row r="271" spans="2:11" x14ac:dyDescent="0.25">
      <c r="B271" s="168" t="s">
        <v>1369</v>
      </c>
      <c r="C271" s="168" t="s">
        <v>573</v>
      </c>
      <c r="D271" s="168"/>
      <c r="E271" s="168" t="s">
        <v>574</v>
      </c>
      <c r="F271" s="168" t="s">
        <v>1232</v>
      </c>
      <c r="G271" s="168" t="s">
        <v>1371</v>
      </c>
      <c r="H271" s="168" t="s">
        <v>1107</v>
      </c>
      <c r="I271" s="168" t="s">
        <v>585</v>
      </c>
      <c r="J271" s="169">
        <v>25.63</v>
      </c>
      <c r="K271" s="169">
        <v>22563.19</v>
      </c>
    </row>
    <row r="272" spans="2:11" x14ac:dyDescent="0.25">
      <c r="B272" s="168" t="s">
        <v>1372</v>
      </c>
      <c r="C272" s="168" t="s">
        <v>573</v>
      </c>
      <c r="D272" s="168"/>
      <c r="E272" s="168" t="s">
        <v>574</v>
      </c>
      <c r="F272" s="168" t="s">
        <v>1105</v>
      </c>
      <c r="G272" s="168" t="s">
        <v>1373</v>
      </c>
      <c r="H272" s="168" t="s">
        <v>1107</v>
      </c>
      <c r="I272" s="168" t="s">
        <v>585</v>
      </c>
      <c r="J272" s="169">
        <v>28.66</v>
      </c>
      <c r="K272" s="169">
        <v>22591.85</v>
      </c>
    </row>
    <row r="273" spans="2:11" x14ac:dyDescent="0.25">
      <c r="B273" s="168" t="s">
        <v>1374</v>
      </c>
      <c r="C273" s="168" t="s">
        <v>573</v>
      </c>
      <c r="D273" s="168"/>
      <c r="E273" s="168" t="s">
        <v>574</v>
      </c>
      <c r="F273" s="168" t="s">
        <v>1122</v>
      </c>
      <c r="G273" s="168" t="s">
        <v>1375</v>
      </c>
      <c r="H273" s="168" t="s">
        <v>1107</v>
      </c>
      <c r="I273" s="168" t="s">
        <v>585</v>
      </c>
      <c r="J273" s="169">
        <v>98.98</v>
      </c>
      <c r="K273" s="169">
        <v>22690.83</v>
      </c>
    </row>
    <row r="274" spans="2:11" x14ac:dyDescent="0.25">
      <c r="B274" s="168" t="s">
        <v>1374</v>
      </c>
      <c r="C274" s="168" t="s">
        <v>573</v>
      </c>
      <c r="D274" s="168"/>
      <c r="E274" s="168" t="s">
        <v>574</v>
      </c>
      <c r="F274" s="168" t="s">
        <v>1122</v>
      </c>
      <c r="G274" s="168" t="s">
        <v>1375</v>
      </c>
      <c r="H274" s="168" t="s">
        <v>1107</v>
      </c>
      <c r="I274" s="168" t="s">
        <v>585</v>
      </c>
      <c r="J274" s="169">
        <v>98.98</v>
      </c>
      <c r="K274" s="169">
        <v>22789.81</v>
      </c>
    </row>
    <row r="275" spans="2:11" x14ac:dyDescent="0.25">
      <c r="B275" s="168" t="s">
        <v>1374</v>
      </c>
      <c r="C275" s="168" t="s">
        <v>573</v>
      </c>
      <c r="D275" s="168"/>
      <c r="E275" s="168" t="s">
        <v>574</v>
      </c>
      <c r="F275" s="168" t="s">
        <v>1122</v>
      </c>
      <c r="G275" s="168" t="s">
        <v>1375</v>
      </c>
      <c r="H275" s="168" t="s">
        <v>1107</v>
      </c>
      <c r="I275" s="168" t="s">
        <v>585</v>
      </c>
      <c r="J275" s="169">
        <v>98.98</v>
      </c>
      <c r="K275" s="169">
        <v>22888.79</v>
      </c>
    </row>
    <row r="276" spans="2:11" x14ac:dyDescent="0.25">
      <c r="B276" s="168" t="s">
        <v>1374</v>
      </c>
      <c r="C276" s="168" t="s">
        <v>573</v>
      </c>
      <c r="D276" s="168"/>
      <c r="E276" s="168" t="s">
        <v>574</v>
      </c>
      <c r="F276" s="168" t="s">
        <v>1122</v>
      </c>
      <c r="G276" s="168" t="s">
        <v>1375</v>
      </c>
      <c r="H276" s="168" t="s">
        <v>1107</v>
      </c>
      <c r="I276" s="168" t="s">
        <v>585</v>
      </c>
      <c r="J276" s="169">
        <v>98.98</v>
      </c>
      <c r="K276" s="169">
        <v>22987.77</v>
      </c>
    </row>
    <row r="277" spans="2:11" x14ac:dyDescent="0.25">
      <c r="B277" s="168" t="s">
        <v>631</v>
      </c>
      <c r="C277" s="168" t="s">
        <v>573</v>
      </c>
      <c r="D277" s="168"/>
      <c r="E277" s="168" t="s">
        <v>574</v>
      </c>
      <c r="F277" s="168" t="s">
        <v>1122</v>
      </c>
      <c r="G277" s="168" t="s">
        <v>1376</v>
      </c>
      <c r="H277" s="168" t="s">
        <v>1107</v>
      </c>
      <c r="I277" s="168" t="s">
        <v>585</v>
      </c>
      <c r="J277" s="169">
        <v>11.2</v>
      </c>
      <c r="K277" s="169">
        <v>22998.97</v>
      </c>
    </row>
    <row r="278" spans="2:11" x14ac:dyDescent="0.25">
      <c r="B278" s="168" t="s">
        <v>631</v>
      </c>
      <c r="C278" s="168" t="s">
        <v>573</v>
      </c>
      <c r="D278" s="168"/>
      <c r="E278" s="168" t="s">
        <v>574</v>
      </c>
      <c r="F278" s="168" t="s">
        <v>1122</v>
      </c>
      <c r="G278" s="168" t="s">
        <v>1376</v>
      </c>
      <c r="H278" s="168" t="s">
        <v>1107</v>
      </c>
      <c r="I278" s="168" t="s">
        <v>585</v>
      </c>
      <c r="J278" s="169">
        <v>387.96</v>
      </c>
      <c r="K278" s="169">
        <v>23386.93</v>
      </c>
    </row>
    <row r="279" spans="2:11" x14ac:dyDescent="0.25">
      <c r="B279" s="168" t="s">
        <v>960</v>
      </c>
      <c r="C279" s="168" t="s">
        <v>573</v>
      </c>
      <c r="D279" s="168"/>
      <c r="E279" s="168" t="s">
        <v>574</v>
      </c>
      <c r="F279" s="168" t="s">
        <v>818</v>
      </c>
      <c r="G279" s="168" t="s">
        <v>1377</v>
      </c>
      <c r="H279" s="168" t="s">
        <v>1107</v>
      </c>
      <c r="I279" s="168" t="s">
        <v>585</v>
      </c>
      <c r="J279" s="169">
        <v>657.92</v>
      </c>
      <c r="K279" s="169">
        <v>24044.85</v>
      </c>
    </row>
    <row r="280" spans="2:11" x14ac:dyDescent="0.25">
      <c r="B280" s="168" t="s">
        <v>960</v>
      </c>
      <c r="C280" s="168" t="s">
        <v>573</v>
      </c>
      <c r="D280" s="168"/>
      <c r="E280" s="168" t="s">
        <v>574</v>
      </c>
      <c r="F280" s="168" t="s">
        <v>1131</v>
      </c>
      <c r="G280" s="168" t="s">
        <v>1378</v>
      </c>
      <c r="H280" s="168" t="s">
        <v>1107</v>
      </c>
      <c r="I280" s="168" t="s">
        <v>585</v>
      </c>
      <c r="J280" s="169">
        <v>28.49</v>
      </c>
      <c r="K280" s="169">
        <v>24073.34</v>
      </c>
    </row>
    <row r="281" spans="2:11" x14ac:dyDescent="0.25">
      <c r="B281" s="168" t="s">
        <v>652</v>
      </c>
      <c r="C281" s="168" t="s">
        <v>573</v>
      </c>
      <c r="D281" s="168"/>
      <c r="E281" s="168" t="s">
        <v>574</v>
      </c>
      <c r="F281" s="168" t="s">
        <v>1164</v>
      </c>
      <c r="G281" s="168" t="s">
        <v>1379</v>
      </c>
      <c r="H281" s="168" t="s">
        <v>1107</v>
      </c>
      <c r="I281" s="168" t="s">
        <v>585</v>
      </c>
      <c r="J281" s="169">
        <v>37.93</v>
      </c>
      <c r="K281" s="169">
        <v>24111.27</v>
      </c>
    </row>
    <row r="282" spans="2:11" x14ac:dyDescent="0.25">
      <c r="B282" s="168" t="s">
        <v>1380</v>
      </c>
      <c r="C282" s="168" t="s">
        <v>573</v>
      </c>
      <c r="D282" s="168"/>
      <c r="E282" s="168" t="s">
        <v>574</v>
      </c>
      <c r="F282" s="168" t="s">
        <v>1164</v>
      </c>
      <c r="G282" s="168" t="s">
        <v>1379</v>
      </c>
      <c r="H282" s="168" t="s">
        <v>1107</v>
      </c>
      <c r="I282" s="168" t="s">
        <v>585</v>
      </c>
      <c r="J282" s="169">
        <v>25.95</v>
      </c>
      <c r="K282" s="169">
        <v>24137.22</v>
      </c>
    </row>
    <row r="283" spans="2:11" x14ac:dyDescent="0.25">
      <c r="B283" s="168" t="s">
        <v>1380</v>
      </c>
      <c r="C283" s="168" t="s">
        <v>573</v>
      </c>
      <c r="D283" s="168"/>
      <c r="E283" s="168" t="s">
        <v>574</v>
      </c>
      <c r="F283" s="168" t="s">
        <v>1302</v>
      </c>
      <c r="G283" s="168" t="s">
        <v>1381</v>
      </c>
      <c r="H283" s="168" t="s">
        <v>1107</v>
      </c>
      <c r="I283" s="168" t="s">
        <v>585</v>
      </c>
      <c r="J283" s="169">
        <v>10</v>
      </c>
      <c r="K283" s="169">
        <v>24147.22</v>
      </c>
    </row>
    <row r="284" spans="2:11" x14ac:dyDescent="0.25">
      <c r="B284" s="168" t="s">
        <v>1380</v>
      </c>
      <c r="C284" s="168" t="s">
        <v>573</v>
      </c>
      <c r="D284" s="168"/>
      <c r="E284" s="168" t="s">
        <v>574</v>
      </c>
      <c r="F284" s="168" t="s">
        <v>1164</v>
      </c>
      <c r="G284" s="168" t="s">
        <v>1379</v>
      </c>
      <c r="H284" s="168" t="s">
        <v>1107</v>
      </c>
      <c r="I284" s="168" t="s">
        <v>585</v>
      </c>
      <c r="J284" s="169">
        <v>3.89</v>
      </c>
      <c r="K284" s="169">
        <v>24151.11</v>
      </c>
    </row>
    <row r="285" spans="2:11" x14ac:dyDescent="0.25">
      <c r="B285" s="168" t="s">
        <v>1380</v>
      </c>
      <c r="C285" s="168" t="s">
        <v>573</v>
      </c>
      <c r="D285" s="168"/>
      <c r="E285" s="168" t="s">
        <v>574</v>
      </c>
      <c r="F285" s="168" t="s">
        <v>1105</v>
      </c>
      <c r="G285" s="168" t="s">
        <v>1382</v>
      </c>
      <c r="H285" s="168" t="s">
        <v>1107</v>
      </c>
      <c r="I285" s="168" t="s">
        <v>585</v>
      </c>
      <c r="J285" s="169">
        <v>26.91</v>
      </c>
      <c r="K285" s="169">
        <v>24178.02</v>
      </c>
    </row>
    <row r="286" spans="2:11" x14ac:dyDescent="0.25">
      <c r="B286" s="168" t="s">
        <v>1380</v>
      </c>
      <c r="C286" s="168" t="s">
        <v>573</v>
      </c>
      <c r="D286" s="168"/>
      <c r="E286" s="168" t="s">
        <v>574</v>
      </c>
      <c r="F286" s="168"/>
      <c r="G286" s="168" t="s">
        <v>1383</v>
      </c>
      <c r="H286" s="168" t="s">
        <v>1107</v>
      </c>
      <c r="I286" s="168" t="s">
        <v>585</v>
      </c>
      <c r="J286" s="169">
        <v>621.16</v>
      </c>
      <c r="K286" s="169">
        <v>24799.18</v>
      </c>
    </row>
    <row r="287" spans="2:11" x14ac:dyDescent="0.25">
      <c r="B287" s="168" t="s">
        <v>1384</v>
      </c>
      <c r="C287" s="168" t="s">
        <v>573</v>
      </c>
      <c r="D287" s="168"/>
      <c r="E287" s="168" t="s">
        <v>574</v>
      </c>
      <c r="F287" s="168" t="s">
        <v>1105</v>
      </c>
      <c r="G287" s="168" t="s">
        <v>1385</v>
      </c>
      <c r="H287" s="168" t="s">
        <v>1107</v>
      </c>
      <c r="I287" s="168" t="s">
        <v>585</v>
      </c>
      <c r="J287" s="169">
        <v>33.99</v>
      </c>
      <c r="K287" s="169">
        <v>24833.17</v>
      </c>
    </row>
    <row r="288" spans="2:11" ht="34.5" x14ac:dyDescent="0.25">
      <c r="B288" s="168" t="s">
        <v>1384</v>
      </c>
      <c r="C288" s="168" t="s">
        <v>573</v>
      </c>
      <c r="D288" s="168"/>
      <c r="E288" s="168" t="s">
        <v>574</v>
      </c>
      <c r="F288" s="168" t="s">
        <v>1386</v>
      </c>
      <c r="G288" s="168" t="s">
        <v>1387</v>
      </c>
      <c r="H288" s="168" t="s">
        <v>1107</v>
      </c>
      <c r="I288" s="168" t="s">
        <v>585</v>
      </c>
      <c r="J288" s="169">
        <v>95.45</v>
      </c>
      <c r="K288" s="169">
        <v>24928.62</v>
      </c>
    </row>
    <row r="289" spans="2:11" x14ac:dyDescent="0.25">
      <c r="B289" s="168" t="s">
        <v>656</v>
      </c>
      <c r="C289" s="168" t="s">
        <v>573</v>
      </c>
      <c r="D289" s="168"/>
      <c r="E289" s="168" t="s">
        <v>574</v>
      </c>
      <c r="F289" s="168" t="s">
        <v>1108</v>
      </c>
      <c r="G289" s="168" t="s">
        <v>1388</v>
      </c>
      <c r="H289" s="168" t="s">
        <v>1107</v>
      </c>
      <c r="I289" s="168" t="s">
        <v>585</v>
      </c>
      <c r="J289" s="169">
        <v>8</v>
      </c>
      <c r="K289" s="169">
        <v>24936.62</v>
      </c>
    </row>
    <row r="290" spans="2:11" x14ac:dyDescent="0.25">
      <c r="B290" s="168" t="s">
        <v>656</v>
      </c>
      <c r="C290" s="168" t="s">
        <v>573</v>
      </c>
      <c r="D290" s="168"/>
      <c r="E290" s="168" t="s">
        <v>574</v>
      </c>
      <c r="F290" s="168" t="s">
        <v>1122</v>
      </c>
      <c r="G290" s="168" t="s">
        <v>1389</v>
      </c>
      <c r="H290" s="168" t="s">
        <v>1107</v>
      </c>
      <c r="I290" s="168" t="s">
        <v>585</v>
      </c>
      <c r="J290" s="169">
        <v>123.88</v>
      </c>
      <c r="K290" s="169">
        <v>25060.5</v>
      </c>
    </row>
    <row r="291" spans="2:11" x14ac:dyDescent="0.25">
      <c r="B291" s="168" t="s">
        <v>656</v>
      </c>
      <c r="C291" s="168" t="s">
        <v>573</v>
      </c>
      <c r="D291" s="168"/>
      <c r="E291" s="168" t="s">
        <v>574</v>
      </c>
      <c r="F291" s="168" t="s">
        <v>1122</v>
      </c>
      <c r="G291" s="168" t="s">
        <v>1389</v>
      </c>
      <c r="H291" s="168" t="s">
        <v>1107</v>
      </c>
      <c r="I291" s="168" t="s">
        <v>585</v>
      </c>
      <c r="J291" s="169">
        <v>129.47999999999999</v>
      </c>
      <c r="K291" s="169">
        <v>25189.98</v>
      </c>
    </row>
    <row r="292" spans="2:11" x14ac:dyDescent="0.25">
      <c r="B292" s="168" t="s">
        <v>656</v>
      </c>
      <c r="C292" s="168" t="s">
        <v>573</v>
      </c>
      <c r="D292" s="168"/>
      <c r="E292" s="168" t="s">
        <v>574</v>
      </c>
      <c r="F292" s="168" t="s">
        <v>1122</v>
      </c>
      <c r="G292" s="168" t="s">
        <v>1389</v>
      </c>
      <c r="H292" s="168" t="s">
        <v>1107</v>
      </c>
      <c r="I292" s="168" t="s">
        <v>585</v>
      </c>
      <c r="J292" s="169">
        <v>129.47999999999999</v>
      </c>
      <c r="K292" s="169">
        <v>25319.46</v>
      </c>
    </row>
    <row r="293" spans="2:11" ht="34.5" x14ac:dyDescent="0.25">
      <c r="B293" s="168" t="s">
        <v>668</v>
      </c>
      <c r="C293" s="168" t="s">
        <v>573</v>
      </c>
      <c r="D293" s="168"/>
      <c r="E293" s="168" t="s">
        <v>574</v>
      </c>
      <c r="F293" s="168"/>
      <c r="G293" s="168" t="s">
        <v>1390</v>
      </c>
      <c r="H293" s="168" t="s">
        <v>1107</v>
      </c>
      <c r="I293" s="168" t="s">
        <v>585</v>
      </c>
      <c r="J293" s="169">
        <v>95.45</v>
      </c>
      <c r="K293" s="169">
        <v>25414.91</v>
      </c>
    </row>
    <row r="294" spans="2:11" x14ac:dyDescent="0.25">
      <c r="B294" s="168" t="s">
        <v>1391</v>
      </c>
      <c r="C294" s="168" t="s">
        <v>573</v>
      </c>
      <c r="D294" s="168"/>
      <c r="E294" s="168" t="s">
        <v>574</v>
      </c>
      <c r="F294" s="168" t="s">
        <v>1108</v>
      </c>
      <c r="G294" s="168" t="s">
        <v>1392</v>
      </c>
      <c r="H294" s="168" t="s">
        <v>1107</v>
      </c>
      <c r="I294" s="168" t="s">
        <v>585</v>
      </c>
      <c r="J294" s="169">
        <v>4.21</v>
      </c>
      <c r="K294" s="169">
        <v>25419.119999999999</v>
      </c>
    </row>
    <row r="295" spans="2:11" x14ac:dyDescent="0.25">
      <c r="B295" s="168" t="s">
        <v>673</v>
      </c>
      <c r="C295" s="168" t="s">
        <v>573</v>
      </c>
      <c r="D295" s="168"/>
      <c r="E295" s="168" t="s">
        <v>574</v>
      </c>
      <c r="F295" s="168" t="s">
        <v>1393</v>
      </c>
      <c r="G295" s="168" t="s">
        <v>1394</v>
      </c>
      <c r="H295" s="168" t="s">
        <v>1107</v>
      </c>
      <c r="I295" s="168" t="s">
        <v>585</v>
      </c>
      <c r="J295" s="169">
        <v>279.48</v>
      </c>
      <c r="K295" s="169">
        <v>25698.6</v>
      </c>
    </row>
    <row r="296" spans="2:11" x14ac:dyDescent="0.25">
      <c r="B296" s="168" t="s">
        <v>802</v>
      </c>
      <c r="C296" s="168" t="s">
        <v>573</v>
      </c>
      <c r="D296" s="168"/>
      <c r="E296" s="168" t="s">
        <v>574</v>
      </c>
      <c r="F296" s="168" t="s">
        <v>1105</v>
      </c>
      <c r="G296" s="168" t="s">
        <v>1395</v>
      </c>
      <c r="H296" s="168" t="s">
        <v>1107</v>
      </c>
      <c r="I296" s="168" t="s">
        <v>585</v>
      </c>
      <c r="J296" s="169">
        <v>16.670000000000002</v>
      </c>
      <c r="K296" s="169">
        <v>25715.27</v>
      </c>
    </row>
    <row r="297" spans="2:11" x14ac:dyDescent="0.25">
      <c r="B297" s="168" t="s">
        <v>675</v>
      </c>
      <c r="C297" s="168" t="s">
        <v>573</v>
      </c>
      <c r="D297" s="168"/>
      <c r="E297" s="168" t="s">
        <v>574</v>
      </c>
      <c r="F297" s="168" t="s">
        <v>1241</v>
      </c>
      <c r="G297" s="168" t="s">
        <v>1396</v>
      </c>
      <c r="H297" s="168" t="s">
        <v>1107</v>
      </c>
      <c r="I297" s="168" t="s">
        <v>585</v>
      </c>
      <c r="J297" s="169">
        <v>27</v>
      </c>
      <c r="K297" s="169">
        <v>25742.27</v>
      </c>
    </row>
    <row r="298" spans="2:11" x14ac:dyDescent="0.25">
      <c r="B298" s="168" t="s">
        <v>680</v>
      </c>
      <c r="C298" s="168" t="s">
        <v>863</v>
      </c>
      <c r="D298" s="168"/>
      <c r="E298" s="168" t="s">
        <v>574</v>
      </c>
      <c r="F298" s="168" t="s">
        <v>1128</v>
      </c>
      <c r="G298" s="168" t="s">
        <v>1397</v>
      </c>
      <c r="H298" s="168" t="s">
        <v>1107</v>
      </c>
      <c r="I298" s="168" t="s">
        <v>581</v>
      </c>
      <c r="J298" s="169">
        <v>-5.6</v>
      </c>
      <c r="K298" s="169">
        <v>25736.67</v>
      </c>
    </row>
    <row r="299" spans="2:11" x14ac:dyDescent="0.25">
      <c r="B299" s="168" t="s">
        <v>993</v>
      </c>
      <c r="C299" s="168" t="s">
        <v>573</v>
      </c>
      <c r="D299" s="168"/>
      <c r="E299" s="168" t="s">
        <v>574</v>
      </c>
      <c r="F299" s="168" t="s">
        <v>1128</v>
      </c>
      <c r="G299" s="168" t="s">
        <v>1398</v>
      </c>
      <c r="H299" s="168" t="s">
        <v>1107</v>
      </c>
      <c r="I299" s="168" t="s">
        <v>585</v>
      </c>
      <c r="J299" s="169">
        <v>30</v>
      </c>
      <c r="K299" s="169">
        <v>25766.67</v>
      </c>
    </row>
    <row r="300" spans="2:11" x14ac:dyDescent="0.25">
      <c r="B300" s="168" t="s">
        <v>1399</v>
      </c>
      <c r="C300" s="168" t="s">
        <v>573</v>
      </c>
      <c r="D300" s="168"/>
      <c r="E300" s="168" t="s">
        <v>574</v>
      </c>
      <c r="F300" s="168" t="s">
        <v>1128</v>
      </c>
      <c r="G300" s="168" t="s">
        <v>1400</v>
      </c>
      <c r="H300" s="168" t="s">
        <v>1107</v>
      </c>
      <c r="I300" s="168" t="s">
        <v>581</v>
      </c>
      <c r="J300" s="169">
        <v>30</v>
      </c>
      <c r="K300" s="169">
        <v>25796.67</v>
      </c>
    </row>
    <row r="301" spans="2:11" x14ac:dyDescent="0.25">
      <c r="B301" s="168" t="s">
        <v>1401</v>
      </c>
      <c r="C301" s="168" t="s">
        <v>573</v>
      </c>
      <c r="D301" s="168"/>
      <c r="E301" s="168" t="s">
        <v>574</v>
      </c>
      <c r="F301" s="168" t="s">
        <v>1279</v>
      </c>
      <c r="G301" s="168" t="s">
        <v>1402</v>
      </c>
      <c r="H301" s="168" t="s">
        <v>1107</v>
      </c>
      <c r="I301" s="168" t="s">
        <v>739</v>
      </c>
      <c r="J301" s="169">
        <v>320.67</v>
      </c>
      <c r="K301" s="169">
        <v>26117.34</v>
      </c>
    </row>
    <row r="302" spans="2:11" x14ac:dyDescent="0.25">
      <c r="B302" s="168" t="s">
        <v>1401</v>
      </c>
      <c r="C302" s="168" t="s">
        <v>573</v>
      </c>
      <c r="D302" s="168"/>
      <c r="E302" s="168" t="s">
        <v>574</v>
      </c>
      <c r="F302" s="168" t="s">
        <v>1122</v>
      </c>
      <c r="G302" s="168" t="s">
        <v>1403</v>
      </c>
      <c r="H302" s="168" t="s">
        <v>1107</v>
      </c>
      <c r="I302" s="168" t="s">
        <v>585</v>
      </c>
      <c r="J302" s="169">
        <v>123.98</v>
      </c>
      <c r="K302" s="169">
        <v>26241.32</v>
      </c>
    </row>
    <row r="303" spans="2:11" x14ac:dyDescent="0.25">
      <c r="B303" s="168" t="s">
        <v>1401</v>
      </c>
      <c r="C303" s="168" t="s">
        <v>573</v>
      </c>
      <c r="D303" s="168"/>
      <c r="E303" s="168" t="s">
        <v>574</v>
      </c>
      <c r="F303" s="168" t="s">
        <v>1122</v>
      </c>
      <c r="G303" s="168" t="s">
        <v>1403</v>
      </c>
      <c r="H303" s="168" t="s">
        <v>1107</v>
      </c>
      <c r="I303" s="168" t="s">
        <v>585</v>
      </c>
      <c r="J303" s="169">
        <v>123.98</v>
      </c>
      <c r="K303" s="169">
        <v>26365.3</v>
      </c>
    </row>
    <row r="304" spans="2:11" x14ac:dyDescent="0.25">
      <c r="B304" s="168" t="s">
        <v>1401</v>
      </c>
      <c r="C304" s="168" t="s">
        <v>573</v>
      </c>
      <c r="D304" s="168"/>
      <c r="E304" s="168" t="s">
        <v>574</v>
      </c>
      <c r="F304" s="168" t="s">
        <v>1122</v>
      </c>
      <c r="G304" s="168" t="s">
        <v>1403</v>
      </c>
      <c r="H304" s="168" t="s">
        <v>1107</v>
      </c>
      <c r="I304" s="168" t="s">
        <v>585</v>
      </c>
      <c r="J304" s="169">
        <v>123.98</v>
      </c>
      <c r="K304" s="169">
        <v>26489.279999999999</v>
      </c>
    </row>
    <row r="305" spans="1:11" x14ac:dyDescent="0.25">
      <c r="B305" s="168" t="s">
        <v>1401</v>
      </c>
      <c r="C305" s="168" t="s">
        <v>573</v>
      </c>
      <c r="D305" s="168"/>
      <c r="E305" s="168" t="s">
        <v>574</v>
      </c>
      <c r="F305" s="168" t="s">
        <v>1404</v>
      </c>
      <c r="G305" s="168" t="s">
        <v>1405</v>
      </c>
      <c r="H305" s="168" t="s">
        <v>1107</v>
      </c>
      <c r="I305" s="168" t="s">
        <v>739</v>
      </c>
      <c r="J305" s="169">
        <v>5.89</v>
      </c>
      <c r="K305" s="169">
        <v>26495.17</v>
      </c>
    </row>
    <row r="306" spans="1:11" x14ac:dyDescent="0.25">
      <c r="B306" s="168" t="s">
        <v>1401</v>
      </c>
      <c r="C306" s="168" t="s">
        <v>863</v>
      </c>
      <c r="D306" s="168"/>
      <c r="E306" s="168" t="s">
        <v>574</v>
      </c>
      <c r="F306" s="168" t="s">
        <v>250</v>
      </c>
      <c r="G306" s="168" t="s">
        <v>1406</v>
      </c>
      <c r="H306" s="168" t="s">
        <v>1107</v>
      </c>
      <c r="I306" s="168" t="s">
        <v>739</v>
      </c>
      <c r="J306" s="169">
        <v>-5.89</v>
      </c>
      <c r="K306" s="169">
        <v>26489.279999999999</v>
      </c>
    </row>
    <row r="307" spans="1:11" x14ac:dyDescent="0.25">
      <c r="B307" s="168" t="s">
        <v>1407</v>
      </c>
      <c r="C307" s="168" t="s">
        <v>573</v>
      </c>
      <c r="D307" s="168"/>
      <c r="E307" s="168" t="s">
        <v>574</v>
      </c>
      <c r="F307" s="168" t="s">
        <v>1232</v>
      </c>
      <c r="G307" s="168" t="s">
        <v>1408</v>
      </c>
      <c r="H307" s="168" t="s">
        <v>1107</v>
      </c>
      <c r="I307" s="168" t="s">
        <v>585</v>
      </c>
      <c r="J307" s="169">
        <v>256.25</v>
      </c>
      <c r="K307" s="169">
        <v>26745.53</v>
      </c>
    </row>
    <row r="308" spans="1:11" x14ac:dyDescent="0.25">
      <c r="B308" s="168" t="s">
        <v>1409</v>
      </c>
      <c r="C308" s="168" t="s">
        <v>573</v>
      </c>
      <c r="D308" s="168"/>
      <c r="E308" s="168" t="s">
        <v>574</v>
      </c>
      <c r="F308" s="168" t="s">
        <v>1164</v>
      </c>
      <c r="G308" s="168" t="s">
        <v>1410</v>
      </c>
      <c r="H308" s="168" t="s">
        <v>1107</v>
      </c>
      <c r="I308" s="168" t="s">
        <v>585</v>
      </c>
      <c r="J308" s="169">
        <v>14.99</v>
      </c>
      <c r="K308" s="169">
        <v>26760.52</v>
      </c>
    </row>
    <row r="309" spans="1:11" x14ac:dyDescent="0.25">
      <c r="B309" s="168" t="s">
        <v>1409</v>
      </c>
      <c r="C309" s="168" t="s">
        <v>573</v>
      </c>
      <c r="D309" s="168"/>
      <c r="E309" s="168" t="s">
        <v>574</v>
      </c>
      <c r="F309" s="168" t="s">
        <v>1164</v>
      </c>
      <c r="G309" s="168" t="s">
        <v>1410</v>
      </c>
      <c r="H309" s="168" t="s">
        <v>1107</v>
      </c>
      <c r="I309" s="168" t="s">
        <v>585</v>
      </c>
      <c r="J309" s="169">
        <v>20.440000000000001</v>
      </c>
      <c r="K309" s="169">
        <v>26780.959999999999</v>
      </c>
    </row>
    <row r="310" spans="1:11" x14ac:dyDescent="0.25">
      <c r="B310" s="168" t="s">
        <v>1000</v>
      </c>
      <c r="C310" s="168" t="s">
        <v>573</v>
      </c>
      <c r="D310" s="168"/>
      <c r="E310" s="168" t="s">
        <v>574</v>
      </c>
      <c r="F310" s="168" t="s">
        <v>1205</v>
      </c>
      <c r="G310" s="168" t="s">
        <v>1411</v>
      </c>
      <c r="H310" s="168" t="s">
        <v>1107</v>
      </c>
      <c r="I310" s="168" t="s">
        <v>585</v>
      </c>
      <c r="J310" s="169">
        <v>54.25</v>
      </c>
      <c r="K310" s="169">
        <v>26835.21</v>
      </c>
    </row>
    <row r="311" spans="1:11" x14ac:dyDescent="0.25">
      <c r="B311" s="168" t="s">
        <v>1412</v>
      </c>
      <c r="C311" s="168" t="s">
        <v>573</v>
      </c>
      <c r="D311" s="168"/>
      <c r="E311" s="168" t="s">
        <v>574</v>
      </c>
      <c r="F311" s="168"/>
      <c r="G311" s="168" t="s">
        <v>1413</v>
      </c>
      <c r="H311" s="168" t="s">
        <v>1107</v>
      </c>
      <c r="I311" s="168" t="s">
        <v>585</v>
      </c>
      <c r="J311" s="169">
        <v>474.59</v>
      </c>
      <c r="K311" s="169">
        <v>27309.8</v>
      </c>
    </row>
    <row r="312" spans="1:11" x14ac:dyDescent="0.25">
      <c r="B312" s="168" t="s">
        <v>1414</v>
      </c>
      <c r="C312" s="168" t="s">
        <v>573</v>
      </c>
      <c r="D312" s="168"/>
      <c r="E312" s="168" t="s">
        <v>574</v>
      </c>
      <c r="F312" s="168" t="s">
        <v>1415</v>
      </c>
      <c r="G312" s="168" t="s">
        <v>1416</v>
      </c>
      <c r="H312" s="168" t="s">
        <v>1107</v>
      </c>
      <c r="I312" s="168" t="s">
        <v>581</v>
      </c>
      <c r="J312" s="169">
        <v>15</v>
      </c>
      <c r="K312" s="169">
        <v>27324.799999999999</v>
      </c>
    </row>
    <row r="313" spans="1:11" x14ac:dyDescent="0.25">
      <c r="B313" s="168" t="s">
        <v>1417</v>
      </c>
      <c r="C313" s="168" t="s">
        <v>573</v>
      </c>
      <c r="D313" s="168"/>
      <c r="E313" s="168" t="s">
        <v>574</v>
      </c>
      <c r="F313" s="168" t="s">
        <v>1279</v>
      </c>
      <c r="G313" s="168" t="s">
        <v>1418</v>
      </c>
      <c r="H313" s="168" t="s">
        <v>1107</v>
      </c>
      <c r="I313" s="168" t="s">
        <v>739</v>
      </c>
      <c r="J313" s="169">
        <v>103</v>
      </c>
      <c r="K313" s="169">
        <v>27427.8</v>
      </c>
    </row>
    <row r="314" spans="1:11" x14ac:dyDescent="0.25">
      <c r="B314" s="168" t="s">
        <v>1417</v>
      </c>
      <c r="C314" s="168" t="s">
        <v>573</v>
      </c>
      <c r="D314" s="168"/>
      <c r="E314" s="168" t="s">
        <v>574</v>
      </c>
      <c r="F314" s="168" t="s">
        <v>1279</v>
      </c>
      <c r="G314" s="168" t="s">
        <v>1418</v>
      </c>
      <c r="H314" s="168" t="s">
        <v>1107</v>
      </c>
      <c r="I314" s="168" t="s">
        <v>739</v>
      </c>
      <c r="J314" s="169">
        <v>117.4</v>
      </c>
      <c r="K314" s="169">
        <v>27545.200000000001</v>
      </c>
    </row>
    <row r="315" spans="1:11" x14ac:dyDescent="0.25">
      <c r="B315" s="168" t="s">
        <v>1419</v>
      </c>
      <c r="C315" s="168" t="s">
        <v>573</v>
      </c>
      <c r="D315" s="168"/>
      <c r="E315" s="168" t="s">
        <v>574</v>
      </c>
      <c r="F315" s="168" t="s">
        <v>1128</v>
      </c>
      <c r="G315" s="168" t="s">
        <v>1420</v>
      </c>
      <c r="H315" s="168" t="s">
        <v>1107</v>
      </c>
      <c r="I315" s="168" t="s">
        <v>585</v>
      </c>
      <c r="J315" s="169">
        <v>5.6</v>
      </c>
      <c r="K315" s="169">
        <v>27550.799999999999</v>
      </c>
    </row>
    <row r="316" spans="1:11" x14ac:dyDescent="0.25">
      <c r="B316" s="168" t="s">
        <v>1419</v>
      </c>
      <c r="C316" s="168" t="s">
        <v>573</v>
      </c>
      <c r="D316" s="168"/>
      <c r="E316" s="168" t="s">
        <v>574</v>
      </c>
      <c r="F316" s="168" t="s">
        <v>1279</v>
      </c>
      <c r="G316" s="168" t="s">
        <v>1421</v>
      </c>
      <c r="H316" s="168" t="s">
        <v>1107</v>
      </c>
      <c r="I316" s="168" t="s">
        <v>585</v>
      </c>
      <c r="J316" s="169">
        <v>99.6</v>
      </c>
      <c r="K316" s="169">
        <v>27650.400000000001</v>
      </c>
    </row>
    <row r="317" spans="1:11" x14ac:dyDescent="0.25">
      <c r="B317" s="168" t="s">
        <v>1419</v>
      </c>
      <c r="C317" s="168" t="s">
        <v>573</v>
      </c>
      <c r="D317" s="168"/>
      <c r="E317" s="168" t="s">
        <v>574</v>
      </c>
      <c r="F317" s="168" t="s">
        <v>818</v>
      </c>
      <c r="G317" s="168" t="s">
        <v>1422</v>
      </c>
      <c r="H317" s="168" t="s">
        <v>1107</v>
      </c>
      <c r="I317" s="168" t="s">
        <v>585</v>
      </c>
      <c r="J317" s="169">
        <v>204.4</v>
      </c>
      <c r="K317" s="169">
        <v>27854.799999999999</v>
      </c>
    </row>
    <row r="318" spans="1:11" x14ac:dyDescent="0.25">
      <c r="B318" s="168" t="s">
        <v>1419</v>
      </c>
      <c r="C318" s="168" t="s">
        <v>573</v>
      </c>
      <c r="D318" s="168"/>
      <c r="E318" s="168" t="s">
        <v>574</v>
      </c>
      <c r="F318" s="168" t="s">
        <v>1386</v>
      </c>
      <c r="G318" s="168" t="s">
        <v>1423</v>
      </c>
      <c r="H318" s="168" t="s">
        <v>1107</v>
      </c>
      <c r="I318" s="168" t="s">
        <v>585</v>
      </c>
      <c r="J318" s="169">
        <v>288.39999999999998</v>
      </c>
      <c r="K318" s="169">
        <v>28143.200000000001</v>
      </c>
    </row>
    <row r="319" spans="1:11" x14ac:dyDescent="0.25">
      <c r="A319" s="167" t="s">
        <v>815</v>
      </c>
      <c r="J319" s="171">
        <v>28143.200000000001</v>
      </c>
    </row>
    <row r="320" spans="1:11" x14ac:dyDescent="0.25">
      <c r="A320" s="167" t="s">
        <v>1424</v>
      </c>
    </row>
    <row r="321" spans="1:11" x14ac:dyDescent="0.25">
      <c r="B321" s="168" t="s">
        <v>598</v>
      </c>
      <c r="C321" s="168" t="s">
        <v>573</v>
      </c>
      <c r="D321" s="168"/>
      <c r="E321" s="168" t="s">
        <v>574</v>
      </c>
      <c r="F321" s="168" t="s">
        <v>1425</v>
      </c>
      <c r="G321" s="168" t="s">
        <v>1426</v>
      </c>
      <c r="H321" s="168" t="s">
        <v>1427</v>
      </c>
      <c r="I321" s="168" t="s">
        <v>581</v>
      </c>
      <c r="J321" s="169">
        <v>22.71</v>
      </c>
      <c r="K321" s="169">
        <v>22.71</v>
      </c>
    </row>
    <row r="322" spans="1:11" x14ac:dyDescent="0.25">
      <c r="B322" s="168" t="s">
        <v>1191</v>
      </c>
      <c r="C322" s="168" t="s">
        <v>573</v>
      </c>
      <c r="D322" s="168"/>
      <c r="E322" s="168" t="s">
        <v>574</v>
      </c>
      <c r="F322" s="168" t="s">
        <v>1425</v>
      </c>
      <c r="G322" s="168" t="s">
        <v>1426</v>
      </c>
      <c r="H322" s="168" t="s">
        <v>1427</v>
      </c>
      <c r="I322" s="168" t="s">
        <v>602</v>
      </c>
      <c r="J322" s="169">
        <v>30.36</v>
      </c>
      <c r="K322" s="169">
        <v>53.07</v>
      </c>
    </row>
    <row r="323" spans="1:11" x14ac:dyDescent="0.25">
      <c r="B323" s="168" t="s">
        <v>1041</v>
      </c>
      <c r="C323" s="168" t="s">
        <v>573</v>
      </c>
      <c r="D323" s="168"/>
      <c r="E323" s="168" t="s">
        <v>574</v>
      </c>
      <c r="F323" s="168" t="s">
        <v>1425</v>
      </c>
      <c r="G323" s="168" t="s">
        <v>1428</v>
      </c>
      <c r="H323" s="168" t="s">
        <v>1427</v>
      </c>
      <c r="I323" s="168" t="s">
        <v>585</v>
      </c>
      <c r="J323" s="169">
        <v>48.11</v>
      </c>
      <c r="K323" s="169">
        <v>101.18</v>
      </c>
    </row>
    <row r="324" spans="1:11" x14ac:dyDescent="0.25">
      <c r="B324" s="168" t="s">
        <v>1211</v>
      </c>
      <c r="C324" s="168" t="s">
        <v>573</v>
      </c>
      <c r="D324" s="168"/>
      <c r="E324" s="168" t="s">
        <v>574</v>
      </c>
      <c r="F324" s="168" t="s">
        <v>1425</v>
      </c>
      <c r="G324" s="168" t="s">
        <v>1426</v>
      </c>
      <c r="H324" s="168" t="s">
        <v>1427</v>
      </c>
      <c r="I324" s="168" t="s">
        <v>581</v>
      </c>
      <c r="J324" s="169">
        <v>10.81</v>
      </c>
      <c r="K324" s="169">
        <v>111.99</v>
      </c>
    </row>
    <row r="325" spans="1:11" x14ac:dyDescent="0.25">
      <c r="B325" s="168" t="s">
        <v>768</v>
      </c>
      <c r="C325" s="168" t="s">
        <v>573</v>
      </c>
      <c r="D325" s="168"/>
      <c r="E325" s="168" t="s">
        <v>574</v>
      </c>
      <c r="F325" s="168" t="s">
        <v>1425</v>
      </c>
      <c r="G325" s="168" t="s">
        <v>1426</v>
      </c>
      <c r="H325" s="168" t="s">
        <v>1427</v>
      </c>
      <c r="I325" s="168" t="s">
        <v>581</v>
      </c>
      <c r="J325" s="169">
        <v>18.91</v>
      </c>
      <c r="K325" s="169">
        <v>130.9</v>
      </c>
    </row>
    <row r="326" spans="1:11" x14ac:dyDescent="0.25">
      <c r="B326" s="168" t="s">
        <v>1049</v>
      </c>
      <c r="C326" s="168" t="s">
        <v>573</v>
      </c>
      <c r="D326" s="168"/>
      <c r="E326" s="168" t="s">
        <v>574</v>
      </c>
      <c r="F326" s="168" t="s">
        <v>1425</v>
      </c>
      <c r="G326" s="168" t="s">
        <v>1429</v>
      </c>
      <c r="H326" s="168" t="s">
        <v>1427</v>
      </c>
      <c r="I326" s="168" t="s">
        <v>602</v>
      </c>
      <c r="J326" s="169">
        <v>10.14</v>
      </c>
      <c r="K326" s="169">
        <v>141.04</v>
      </c>
    </row>
    <row r="327" spans="1:11" x14ac:dyDescent="0.25">
      <c r="B327" s="168" t="s">
        <v>1049</v>
      </c>
      <c r="C327" s="168" t="s">
        <v>573</v>
      </c>
      <c r="D327" s="168"/>
      <c r="E327" s="168" t="s">
        <v>574</v>
      </c>
      <c r="F327" s="168" t="s">
        <v>1425</v>
      </c>
      <c r="G327" s="168" t="s">
        <v>1426</v>
      </c>
      <c r="H327" s="168" t="s">
        <v>1427</v>
      </c>
      <c r="I327" s="168" t="s">
        <v>602</v>
      </c>
      <c r="J327" s="169">
        <v>46.7</v>
      </c>
      <c r="K327" s="169">
        <v>187.74</v>
      </c>
    </row>
    <row r="328" spans="1:11" x14ac:dyDescent="0.25">
      <c r="B328" s="168" t="s">
        <v>898</v>
      </c>
      <c r="C328" s="168" t="s">
        <v>573</v>
      </c>
      <c r="D328" s="168"/>
      <c r="E328" s="168" t="s">
        <v>574</v>
      </c>
      <c r="F328" s="168" t="s">
        <v>1425</v>
      </c>
      <c r="G328" s="168" t="s">
        <v>1426</v>
      </c>
      <c r="H328" s="168" t="s">
        <v>1427</v>
      </c>
      <c r="I328" s="168" t="s">
        <v>602</v>
      </c>
      <c r="J328" s="169">
        <v>12.95</v>
      </c>
      <c r="K328" s="169">
        <v>200.69</v>
      </c>
    </row>
    <row r="329" spans="1:11" x14ac:dyDescent="0.25">
      <c r="B329" s="168" t="s">
        <v>1082</v>
      </c>
      <c r="C329" s="168" t="s">
        <v>573</v>
      </c>
      <c r="D329" s="168"/>
      <c r="E329" s="168" t="s">
        <v>574</v>
      </c>
      <c r="F329" s="168" t="s">
        <v>1425</v>
      </c>
      <c r="G329" s="168" t="s">
        <v>1429</v>
      </c>
      <c r="H329" s="168" t="s">
        <v>1427</v>
      </c>
      <c r="I329" s="168" t="s">
        <v>602</v>
      </c>
      <c r="J329" s="169">
        <v>16.96</v>
      </c>
      <c r="K329" s="169">
        <v>217.65</v>
      </c>
    </row>
    <row r="330" spans="1:11" x14ac:dyDescent="0.25">
      <c r="B330" s="168" t="s">
        <v>1430</v>
      </c>
      <c r="C330" s="168" t="s">
        <v>573</v>
      </c>
      <c r="D330" s="168"/>
      <c r="E330" s="168" t="s">
        <v>574</v>
      </c>
      <c r="F330" s="168" t="s">
        <v>1425</v>
      </c>
      <c r="G330" s="168" t="s">
        <v>1426</v>
      </c>
      <c r="H330" s="168" t="s">
        <v>1427</v>
      </c>
      <c r="I330" s="168" t="s">
        <v>602</v>
      </c>
      <c r="J330" s="169">
        <v>42.36</v>
      </c>
      <c r="K330" s="169">
        <v>260.01</v>
      </c>
    </row>
    <row r="331" spans="1:11" x14ac:dyDescent="0.25">
      <c r="B331" s="168" t="s">
        <v>907</v>
      </c>
      <c r="C331" s="168" t="s">
        <v>573</v>
      </c>
      <c r="D331" s="168"/>
      <c r="E331" s="168" t="s">
        <v>574</v>
      </c>
      <c r="F331" s="168" t="s">
        <v>1425</v>
      </c>
      <c r="G331" s="168" t="s">
        <v>1429</v>
      </c>
      <c r="H331" s="168" t="s">
        <v>1427</v>
      </c>
      <c r="I331" s="168" t="s">
        <v>602</v>
      </c>
      <c r="J331" s="169">
        <v>40.17</v>
      </c>
      <c r="K331" s="169">
        <v>300.18</v>
      </c>
    </row>
    <row r="332" spans="1:11" x14ac:dyDescent="0.25">
      <c r="B332" s="168" t="s">
        <v>1254</v>
      </c>
      <c r="C332" s="168" t="s">
        <v>573</v>
      </c>
      <c r="D332" s="168"/>
      <c r="E332" s="168" t="s">
        <v>574</v>
      </c>
      <c r="F332" s="168" t="s">
        <v>1425</v>
      </c>
      <c r="G332" s="168" t="s">
        <v>1429</v>
      </c>
      <c r="H332" s="168" t="s">
        <v>1427</v>
      </c>
      <c r="I332" s="168" t="s">
        <v>602</v>
      </c>
      <c r="J332" s="169">
        <v>52.6</v>
      </c>
      <c r="K332" s="169">
        <v>352.78</v>
      </c>
    </row>
    <row r="333" spans="1:11" x14ac:dyDescent="0.25">
      <c r="B333" s="168" t="s">
        <v>1431</v>
      </c>
      <c r="C333" s="168" t="s">
        <v>573</v>
      </c>
      <c r="D333" s="168"/>
      <c r="E333" s="168" t="s">
        <v>574</v>
      </c>
      <c r="F333" s="168" t="s">
        <v>1425</v>
      </c>
      <c r="G333" s="168" t="s">
        <v>1432</v>
      </c>
      <c r="H333" s="168" t="s">
        <v>1427</v>
      </c>
      <c r="I333" s="168" t="s">
        <v>585</v>
      </c>
      <c r="J333" s="169">
        <v>25.07</v>
      </c>
      <c r="K333" s="169">
        <v>377.85</v>
      </c>
    </row>
    <row r="334" spans="1:11" x14ac:dyDescent="0.25">
      <c r="A334" s="167" t="s">
        <v>1433</v>
      </c>
      <c r="J334" s="171">
        <v>377.85</v>
      </c>
    </row>
    <row r="335" spans="1:11" x14ac:dyDescent="0.25">
      <c r="A335" s="167" t="s">
        <v>1434</v>
      </c>
      <c r="J335" s="171">
        <v>28521.05</v>
      </c>
    </row>
    <row r="336" spans="1:11" x14ac:dyDescent="0.25">
      <c r="A336" s="167" t="s">
        <v>1103</v>
      </c>
      <c r="J336" s="171">
        <v>28521.05</v>
      </c>
    </row>
    <row r="339" spans="1:11" x14ac:dyDescent="0.25">
      <c r="A339" s="266" t="s">
        <v>1435</v>
      </c>
      <c r="B339" s="264"/>
      <c r="C339" s="264"/>
      <c r="D339" s="264"/>
      <c r="E339" s="264"/>
      <c r="F339" s="264"/>
      <c r="G339" s="264"/>
      <c r="H339" s="264"/>
      <c r="I339" s="264"/>
      <c r="J339" s="264"/>
      <c r="K339" s="264"/>
    </row>
  </sheetData>
  <mergeCells count="4">
    <mergeCell ref="A1:K1"/>
    <mergeCell ref="A2:K2"/>
    <mergeCell ref="A3:K3"/>
    <mergeCell ref="A339:K3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F417-E97E-4B30-92FA-57E46C382CA5}">
  <dimension ref="A1:P202"/>
  <sheetViews>
    <sheetView topLeftCell="B1" workbookViewId="0">
      <pane xSplit="1" ySplit="5" topLeftCell="E196"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10.42578125" customWidth="1"/>
    <col min="2" max="2" width="9.42578125" customWidth="1"/>
    <col min="3" max="3" width="9.85546875" customWidth="1"/>
    <col min="4" max="4" width="9.42578125" customWidth="1"/>
    <col min="5" max="5" width="7.7109375" customWidth="1"/>
    <col min="6" max="6" width="22.28515625" customWidth="1"/>
    <col min="7" max="7" width="86.85546875" customWidth="1"/>
    <col min="8" max="8" width="33.7109375" customWidth="1"/>
    <col min="9" max="9" width="34.42578125" customWidth="1"/>
    <col min="10" max="10" width="10.28515625" customWidth="1"/>
    <col min="11" max="11" width="9.42578125" customWidth="1"/>
    <col min="12" max="12" width="10.42578125" customWidth="1"/>
    <col min="13" max="14" width="10.28515625" customWidth="1"/>
    <col min="15" max="15" width="9.42578125" bestFit="1" customWidth="1"/>
    <col min="16" max="16" width="10.7109375" customWidth="1"/>
  </cols>
  <sheetData>
    <row r="1" spans="1:16" ht="18" x14ac:dyDescent="0.25">
      <c r="A1" s="263" t="s">
        <v>146</v>
      </c>
      <c r="B1" s="264"/>
      <c r="C1" s="264"/>
      <c r="D1" s="264"/>
      <c r="E1" s="264"/>
      <c r="F1" s="264"/>
      <c r="G1" s="264"/>
      <c r="H1" s="264"/>
      <c r="I1" s="264"/>
      <c r="J1" s="264"/>
      <c r="K1" s="264"/>
    </row>
    <row r="2" spans="1:16" ht="18" x14ac:dyDescent="0.25">
      <c r="A2" s="263" t="s">
        <v>548</v>
      </c>
      <c r="B2" s="264"/>
      <c r="C2" s="264"/>
      <c r="D2" s="264"/>
      <c r="E2" s="264"/>
      <c r="F2" s="264"/>
      <c r="G2" s="264"/>
      <c r="H2" s="264"/>
      <c r="I2" s="264"/>
      <c r="J2" s="264"/>
      <c r="K2" s="264"/>
    </row>
    <row r="3" spans="1:16" x14ac:dyDescent="0.25">
      <c r="A3" s="265" t="s">
        <v>549</v>
      </c>
      <c r="B3" s="264"/>
      <c r="C3" s="264"/>
      <c r="D3" s="264"/>
      <c r="E3" s="264"/>
      <c r="F3" s="264"/>
      <c r="G3" s="264"/>
      <c r="H3" s="264"/>
      <c r="I3" s="264"/>
      <c r="J3" s="264"/>
      <c r="K3" s="264"/>
    </row>
    <row r="5" spans="1:16" ht="24.75" x14ac:dyDescent="0.25">
      <c r="B5" s="37" t="s">
        <v>550</v>
      </c>
      <c r="C5" s="37" t="s">
        <v>551</v>
      </c>
      <c r="D5" s="37" t="s">
        <v>552</v>
      </c>
      <c r="E5" s="37" t="s">
        <v>553</v>
      </c>
      <c r="F5" s="37" t="s">
        <v>554</v>
      </c>
      <c r="G5" s="37" t="s">
        <v>555</v>
      </c>
      <c r="H5" s="37" t="s">
        <v>556</v>
      </c>
      <c r="I5" s="37" t="s">
        <v>557</v>
      </c>
      <c r="J5" s="37" t="s">
        <v>558</v>
      </c>
      <c r="K5" s="37" t="s">
        <v>559</v>
      </c>
      <c r="L5" s="36" t="s">
        <v>510</v>
      </c>
      <c r="M5" s="36" t="s">
        <v>465</v>
      </c>
      <c r="N5" s="36" t="s">
        <v>1780</v>
      </c>
      <c r="O5" s="36" t="s">
        <v>537</v>
      </c>
      <c r="P5" s="36"/>
    </row>
    <row r="6" spans="1:16" ht="34.5" x14ac:dyDescent="0.25">
      <c r="A6" s="167" t="s">
        <v>1439</v>
      </c>
    </row>
    <row r="7" spans="1:16" ht="23.25" x14ac:dyDescent="0.25">
      <c r="A7" s="167" t="s">
        <v>1440</v>
      </c>
    </row>
    <row r="8" spans="1:16" ht="23.25" x14ac:dyDescent="0.25">
      <c r="A8" s="167" t="s">
        <v>1441</v>
      </c>
    </row>
    <row r="9" spans="1:16" ht="23.25" x14ac:dyDescent="0.25">
      <c r="B9" s="168" t="s">
        <v>572</v>
      </c>
      <c r="C9" s="168" t="s">
        <v>573</v>
      </c>
      <c r="D9" s="168"/>
      <c r="E9" s="168" t="s">
        <v>574</v>
      </c>
      <c r="F9" s="168"/>
      <c r="G9" s="168" t="s">
        <v>1442</v>
      </c>
      <c r="H9" s="168" t="s">
        <v>1443</v>
      </c>
      <c r="I9" s="168" t="s">
        <v>742</v>
      </c>
      <c r="J9" s="169">
        <v>95</v>
      </c>
      <c r="K9" s="169">
        <v>95</v>
      </c>
      <c r="M9" s="172"/>
      <c r="N9" s="172">
        <f>J9</f>
        <v>95</v>
      </c>
      <c r="O9" s="172"/>
      <c r="P9" s="204"/>
    </row>
    <row r="10" spans="1:16" ht="23.25" x14ac:dyDescent="0.25">
      <c r="B10" s="168" t="s">
        <v>572</v>
      </c>
      <c r="C10" s="168" t="s">
        <v>573</v>
      </c>
      <c r="D10" s="168"/>
      <c r="E10" s="168" t="s">
        <v>574</v>
      </c>
      <c r="F10" s="168"/>
      <c r="G10" s="168" t="s">
        <v>1442</v>
      </c>
      <c r="H10" s="168" t="s">
        <v>1443</v>
      </c>
      <c r="I10" s="168" t="s">
        <v>577</v>
      </c>
      <c r="J10" s="169">
        <v>199</v>
      </c>
      <c r="K10" s="169">
        <v>294</v>
      </c>
      <c r="M10" s="172"/>
      <c r="N10" s="172">
        <f>J10</f>
        <v>199</v>
      </c>
      <c r="O10" s="172"/>
      <c r="P10" s="204"/>
    </row>
    <row r="11" spans="1:16" ht="23.25" x14ac:dyDescent="0.25">
      <c r="B11" s="168" t="s">
        <v>747</v>
      </c>
      <c r="C11" s="168" t="s">
        <v>573</v>
      </c>
      <c r="D11" s="168"/>
      <c r="E11" s="168" t="s">
        <v>574</v>
      </c>
      <c r="F11" s="168"/>
      <c r="G11" s="168" t="s">
        <v>1444</v>
      </c>
      <c r="H11" s="168" t="s">
        <v>1443</v>
      </c>
      <c r="I11" s="168" t="s">
        <v>585</v>
      </c>
      <c r="J11" s="169">
        <v>95</v>
      </c>
      <c r="K11" s="169">
        <v>389</v>
      </c>
      <c r="M11" s="172">
        <f t="shared" ref="M11:M12" si="0">J11</f>
        <v>95</v>
      </c>
      <c r="N11" s="172"/>
      <c r="O11" s="172"/>
      <c r="P11" s="204"/>
    </row>
    <row r="12" spans="1:16" ht="23.25" x14ac:dyDescent="0.25">
      <c r="B12" s="168" t="s">
        <v>822</v>
      </c>
      <c r="C12" s="168" t="s">
        <v>573</v>
      </c>
      <c r="D12" s="168"/>
      <c r="E12" s="168" t="s">
        <v>574</v>
      </c>
      <c r="F12" s="168" t="s">
        <v>1445</v>
      </c>
      <c r="G12" s="168" t="s">
        <v>1446</v>
      </c>
      <c r="H12" s="168" t="s">
        <v>1443</v>
      </c>
      <c r="I12" s="168" t="s">
        <v>585</v>
      </c>
      <c r="J12" s="169">
        <v>1</v>
      </c>
      <c r="K12" s="169">
        <v>390</v>
      </c>
      <c r="M12" s="172">
        <f t="shared" si="0"/>
        <v>1</v>
      </c>
      <c r="N12" s="172"/>
      <c r="O12" s="172"/>
      <c r="P12" s="204"/>
    </row>
    <row r="13" spans="1:16" ht="23.25" x14ac:dyDescent="0.25">
      <c r="B13" s="168" t="s">
        <v>757</v>
      </c>
      <c r="C13" s="168" t="s">
        <v>573</v>
      </c>
      <c r="D13" s="168"/>
      <c r="E13" s="168" t="s">
        <v>574</v>
      </c>
      <c r="F13" s="168"/>
      <c r="G13" s="168" t="s">
        <v>1447</v>
      </c>
      <c r="H13" s="168" t="s">
        <v>1443</v>
      </c>
      <c r="I13" s="168" t="s">
        <v>602</v>
      </c>
      <c r="J13" s="169">
        <v>911</v>
      </c>
      <c r="K13" s="169">
        <v>1301</v>
      </c>
      <c r="L13" s="172">
        <f>J13</f>
        <v>911</v>
      </c>
      <c r="P13" s="204"/>
    </row>
    <row r="14" spans="1:16" ht="23.25" x14ac:dyDescent="0.25">
      <c r="B14" s="168" t="s">
        <v>1076</v>
      </c>
      <c r="C14" s="168" t="s">
        <v>573</v>
      </c>
      <c r="D14" s="168"/>
      <c r="E14" s="168" t="s">
        <v>574</v>
      </c>
      <c r="F14" s="168" t="s">
        <v>952</v>
      </c>
      <c r="G14" s="168" t="s">
        <v>1448</v>
      </c>
      <c r="H14" s="168" t="s">
        <v>1443</v>
      </c>
      <c r="I14" s="168" t="s">
        <v>585</v>
      </c>
      <c r="J14" s="169">
        <v>95</v>
      </c>
      <c r="K14" s="169">
        <v>1396</v>
      </c>
      <c r="M14" s="172">
        <f>J14</f>
        <v>95</v>
      </c>
      <c r="N14" s="172"/>
      <c r="O14" s="172"/>
      <c r="P14" s="204"/>
    </row>
    <row r="15" spans="1:16" ht="23.25" x14ac:dyDescent="0.25">
      <c r="B15" s="168" t="s">
        <v>1181</v>
      </c>
      <c r="C15" s="168" t="s">
        <v>681</v>
      </c>
      <c r="D15" s="168"/>
      <c r="E15" s="168" t="s">
        <v>574</v>
      </c>
      <c r="F15" s="168"/>
      <c r="G15" s="168" t="s">
        <v>1449</v>
      </c>
      <c r="H15" s="168" t="s">
        <v>1443</v>
      </c>
      <c r="I15" s="168" t="s">
        <v>585</v>
      </c>
      <c r="J15" s="203">
        <v>2730</v>
      </c>
      <c r="K15" s="169">
        <v>4126</v>
      </c>
      <c r="L15" s="172">
        <f>J15</f>
        <v>2730</v>
      </c>
      <c r="P15" s="204"/>
    </row>
    <row r="16" spans="1:16" ht="23.25" x14ac:dyDescent="0.25">
      <c r="B16" s="168" t="s">
        <v>707</v>
      </c>
      <c r="C16" s="168" t="s">
        <v>573</v>
      </c>
      <c r="D16" s="168"/>
      <c r="E16" s="168" t="s">
        <v>574</v>
      </c>
      <c r="F16" s="168"/>
      <c r="G16" s="168" t="s">
        <v>1447</v>
      </c>
      <c r="H16" s="168" t="s">
        <v>1443</v>
      </c>
      <c r="I16" s="168" t="s">
        <v>602</v>
      </c>
      <c r="J16" s="169">
        <v>436</v>
      </c>
      <c r="K16" s="169">
        <v>4562</v>
      </c>
      <c r="L16" s="172">
        <f>J16</f>
        <v>436</v>
      </c>
      <c r="P16" s="204"/>
    </row>
    <row r="17" spans="2:16" ht="23.25" x14ac:dyDescent="0.25">
      <c r="B17" s="168" t="s">
        <v>1191</v>
      </c>
      <c r="C17" s="168" t="s">
        <v>681</v>
      </c>
      <c r="D17" s="168"/>
      <c r="E17" s="168" t="s">
        <v>574</v>
      </c>
      <c r="F17" s="168"/>
      <c r="G17" s="168" t="s">
        <v>1450</v>
      </c>
      <c r="H17" s="168" t="s">
        <v>1443</v>
      </c>
      <c r="I17" s="168" t="s">
        <v>585</v>
      </c>
      <c r="J17" s="169">
        <v>-132.87</v>
      </c>
      <c r="K17" s="169">
        <v>4429.13</v>
      </c>
      <c r="M17" s="172">
        <f>J17</f>
        <v>-132.87</v>
      </c>
      <c r="N17" s="172"/>
      <c r="O17" s="172"/>
      <c r="P17" s="204"/>
    </row>
    <row r="18" spans="2:16" ht="23.25" x14ac:dyDescent="0.25">
      <c r="B18" s="168" t="s">
        <v>1191</v>
      </c>
      <c r="C18" s="168" t="s">
        <v>573</v>
      </c>
      <c r="D18" s="168"/>
      <c r="E18" s="168" t="s">
        <v>574</v>
      </c>
      <c r="F18" s="168" t="s">
        <v>952</v>
      </c>
      <c r="G18" s="168" t="s">
        <v>1451</v>
      </c>
      <c r="H18" s="168" t="s">
        <v>1443</v>
      </c>
      <c r="I18" s="168" t="s">
        <v>585</v>
      </c>
      <c r="J18" s="169">
        <v>95</v>
      </c>
      <c r="K18" s="169">
        <v>4524.13</v>
      </c>
      <c r="M18" s="172">
        <f>J18</f>
        <v>95</v>
      </c>
      <c r="N18" s="172"/>
      <c r="P18" s="204"/>
    </row>
    <row r="19" spans="2:16" ht="23.25" x14ac:dyDescent="0.25">
      <c r="B19" s="168" t="s">
        <v>771</v>
      </c>
      <c r="C19" s="168" t="s">
        <v>676</v>
      </c>
      <c r="D19" s="168" t="s">
        <v>1452</v>
      </c>
      <c r="E19" s="168" t="s">
        <v>1453</v>
      </c>
      <c r="F19" s="168"/>
      <c r="G19" s="168" t="s">
        <v>1454</v>
      </c>
      <c r="H19" s="168" t="s">
        <v>1443</v>
      </c>
      <c r="I19" s="170" t="s">
        <v>679</v>
      </c>
      <c r="J19" s="169">
        <v>1258</v>
      </c>
      <c r="K19" s="169">
        <v>5782.13</v>
      </c>
      <c r="O19" s="172">
        <f>J19</f>
        <v>1258</v>
      </c>
      <c r="P19" s="204"/>
    </row>
    <row r="20" spans="2:16" ht="23.25" x14ac:dyDescent="0.25">
      <c r="B20" s="168" t="s">
        <v>609</v>
      </c>
      <c r="C20" s="168" t="s">
        <v>573</v>
      </c>
      <c r="D20" s="168"/>
      <c r="E20" s="168" t="s">
        <v>574</v>
      </c>
      <c r="F20" s="168"/>
      <c r="G20" s="168" t="s">
        <v>1442</v>
      </c>
      <c r="H20" s="168" t="s">
        <v>1443</v>
      </c>
      <c r="I20" s="168" t="s">
        <v>581</v>
      </c>
      <c r="J20" s="169">
        <v>95</v>
      </c>
      <c r="K20" s="169">
        <v>5877.13</v>
      </c>
      <c r="M20" s="172"/>
      <c r="N20" s="172">
        <f>J20</f>
        <v>95</v>
      </c>
      <c r="P20" s="204"/>
    </row>
    <row r="21" spans="2:16" ht="23.25" x14ac:dyDescent="0.25">
      <c r="B21" s="168" t="s">
        <v>812</v>
      </c>
      <c r="C21" s="168" t="s">
        <v>573</v>
      </c>
      <c r="D21" s="168"/>
      <c r="E21" s="168" t="s">
        <v>574</v>
      </c>
      <c r="F21" s="168" t="s">
        <v>952</v>
      </c>
      <c r="G21" s="168" t="s">
        <v>1455</v>
      </c>
      <c r="H21" s="168" t="s">
        <v>1443</v>
      </c>
      <c r="I21" s="168" t="s">
        <v>585</v>
      </c>
      <c r="J21" s="169">
        <v>95</v>
      </c>
      <c r="K21" s="169">
        <v>5972.13</v>
      </c>
      <c r="M21" s="172">
        <f>J21</f>
        <v>95</v>
      </c>
      <c r="N21" s="172"/>
      <c r="P21" s="204"/>
    </row>
    <row r="22" spans="2:16" ht="23.25" x14ac:dyDescent="0.25">
      <c r="B22" s="168" t="s">
        <v>1057</v>
      </c>
      <c r="C22" s="168" t="s">
        <v>573</v>
      </c>
      <c r="D22" s="168"/>
      <c r="E22" s="168" t="s">
        <v>574</v>
      </c>
      <c r="F22" s="168" t="s">
        <v>1456</v>
      </c>
      <c r="G22" s="168" t="s">
        <v>1447</v>
      </c>
      <c r="H22" s="168" t="s">
        <v>1443</v>
      </c>
      <c r="I22" s="168" t="s">
        <v>602</v>
      </c>
      <c r="J22" s="169">
        <v>1407</v>
      </c>
      <c r="K22" s="169">
        <v>7379.13</v>
      </c>
      <c r="L22" s="172">
        <f>J22</f>
        <v>1407</v>
      </c>
      <c r="P22" s="204"/>
    </row>
    <row r="23" spans="2:16" ht="23.25" x14ac:dyDescent="0.25">
      <c r="B23" s="168" t="s">
        <v>1457</v>
      </c>
      <c r="C23" s="168" t="s">
        <v>676</v>
      </c>
      <c r="D23" s="168" t="s">
        <v>1458</v>
      </c>
      <c r="E23" s="168" t="s">
        <v>1453</v>
      </c>
      <c r="F23" s="168"/>
      <c r="G23" s="168" t="s">
        <v>1454</v>
      </c>
      <c r="H23" s="168" t="s">
        <v>1443</v>
      </c>
      <c r="I23" s="170" t="s">
        <v>679</v>
      </c>
      <c r="J23" s="169">
        <v>703.4</v>
      </c>
      <c r="K23" s="169">
        <v>8082.53</v>
      </c>
      <c r="O23" s="172">
        <f>J23</f>
        <v>703.4</v>
      </c>
      <c r="P23" s="204"/>
    </row>
    <row r="24" spans="2:16" ht="23.25" x14ac:dyDescent="0.25">
      <c r="B24" s="168" t="s">
        <v>1266</v>
      </c>
      <c r="C24" s="168" t="s">
        <v>573</v>
      </c>
      <c r="D24" s="168"/>
      <c r="E24" s="168" t="s">
        <v>574</v>
      </c>
      <c r="F24" s="168" t="s">
        <v>952</v>
      </c>
      <c r="G24" s="168" t="s">
        <v>1459</v>
      </c>
      <c r="H24" s="168" t="s">
        <v>1443</v>
      </c>
      <c r="I24" s="168" t="s">
        <v>585</v>
      </c>
      <c r="J24" s="169">
        <v>95</v>
      </c>
      <c r="K24" s="169">
        <v>8177.53</v>
      </c>
      <c r="M24" s="172">
        <f>J24</f>
        <v>95</v>
      </c>
      <c r="N24" s="172"/>
      <c r="P24" s="204"/>
    </row>
    <row r="25" spans="2:16" ht="23.25" x14ac:dyDescent="0.25">
      <c r="B25" s="168" t="s">
        <v>1460</v>
      </c>
      <c r="C25" s="168" t="s">
        <v>676</v>
      </c>
      <c r="D25" s="168" t="s">
        <v>1461</v>
      </c>
      <c r="E25" s="168" t="s">
        <v>1453</v>
      </c>
      <c r="F25" s="168"/>
      <c r="G25" s="168" t="s">
        <v>1462</v>
      </c>
      <c r="H25" s="168" t="s">
        <v>1443</v>
      </c>
      <c r="I25" s="170" t="s">
        <v>679</v>
      </c>
      <c r="J25" s="169">
        <v>321.01</v>
      </c>
      <c r="K25" s="169">
        <v>8498.5400000000009</v>
      </c>
      <c r="O25" s="172">
        <f>J25</f>
        <v>321.01</v>
      </c>
      <c r="P25" s="204"/>
    </row>
    <row r="26" spans="2:16" ht="23.25" x14ac:dyDescent="0.25">
      <c r="B26" s="168" t="s">
        <v>914</v>
      </c>
      <c r="C26" s="168" t="s">
        <v>676</v>
      </c>
      <c r="D26" s="168" t="s">
        <v>1463</v>
      </c>
      <c r="E26" s="168" t="s">
        <v>1453</v>
      </c>
      <c r="F26" s="168"/>
      <c r="G26" s="168" t="s">
        <v>1464</v>
      </c>
      <c r="H26" s="168" t="s">
        <v>1443</v>
      </c>
      <c r="I26" s="170" t="s">
        <v>679</v>
      </c>
      <c r="J26" s="169">
        <v>577.16999999999996</v>
      </c>
      <c r="K26" s="169">
        <v>9075.7099999999991</v>
      </c>
      <c r="O26" s="172">
        <f t="shared" ref="O26:O27" si="1">J26</f>
        <v>577.16999999999996</v>
      </c>
      <c r="P26" s="204"/>
    </row>
    <row r="27" spans="2:16" ht="23.25" x14ac:dyDescent="0.25">
      <c r="B27" s="168" t="s">
        <v>1304</v>
      </c>
      <c r="C27" s="168" t="s">
        <v>676</v>
      </c>
      <c r="D27" s="168" t="s">
        <v>1465</v>
      </c>
      <c r="E27" s="168" t="s">
        <v>1453</v>
      </c>
      <c r="F27" s="168"/>
      <c r="G27" s="168" t="s">
        <v>1466</v>
      </c>
      <c r="H27" s="168" t="s">
        <v>1443</v>
      </c>
      <c r="I27" s="170" t="s">
        <v>679</v>
      </c>
      <c r="J27" s="169">
        <v>37.450000000000003</v>
      </c>
      <c r="K27" s="169">
        <v>9113.16</v>
      </c>
      <c r="O27" s="172">
        <f t="shared" si="1"/>
        <v>37.450000000000003</v>
      </c>
      <c r="P27" s="204"/>
    </row>
    <row r="28" spans="2:16" ht="23.25" x14ac:dyDescent="0.25">
      <c r="B28" s="168" t="s">
        <v>788</v>
      </c>
      <c r="C28" s="168" t="s">
        <v>573</v>
      </c>
      <c r="D28" s="168"/>
      <c r="E28" s="168" t="s">
        <v>574</v>
      </c>
      <c r="F28" s="168"/>
      <c r="G28" s="168" t="s">
        <v>1467</v>
      </c>
      <c r="H28" s="168" t="s">
        <v>1443</v>
      </c>
      <c r="I28" s="168" t="s">
        <v>602</v>
      </c>
      <c r="J28" s="169">
        <v>1064</v>
      </c>
      <c r="K28" s="169">
        <v>10177.16</v>
      </c>
      <c r="L28" s="172">
        <f>J28</f>
        <v>1064</v>
      </c>
      <c r="P28" s="204"/>
    </row>
    <row r="29" spans="2:16" ht="23.25" x14ac:dyDescent="0.25">
      <c r="B29" s="168" t="s">
        <v>1468</v>
      </c>
      <c r="C29" s="168" t="s">
        <v>676</v>
      </c>
      <c r="D29" s="168" t="s">
        <v>1469</v>
      </c>
      <c r="E29" s="168" t="s">
        <v>1453</v>
      </c>
      <c r="F29" s="168"/>
      <c r="G29" s="168" t="s">
        <v>1470</v>
      </c>
      <c r="H29" s="168" t="s">
        <v>1443</v>
      </c>
      <c r="I29" s="170" t="s">
        <v>679</v>
      </c>
      <c r="J29" s="169">
        <v>83.33</v>
      </c>
      <c r="K29" s="169">
        <v>10260.49</v>
      </c>
      <c r="O29" s="172">
        <f>J29</f>
        <v>83.33</v>
      </c>
      <c r="P29" s="204"/>
    </row>
    <row r="30" spans="2:16" ht="23.25" x14ac:dyDescent="0.25">
      <c r="B30" s="168" t="s">
        <v>626</v>
      </c>
      <c r="C30" s="168" t="s">
        <v>573</v>
      </c>
      <c r="D30" s="168"/>
      <c r="E30" s="168" t="s">
        <v>574</v>
      </c>
      <c r="F30" s="168" t="s">
        <v>952</v>
      </c>
      <c r="G30" s="168" t="s">
        <v>1471</v>
      </c>
      <c r="H30" s="168" t="s">
        <v>1443</v>
      </c>
      <c r="I30" s="168" t="s">
        <v>585</v>
      </c>
      <c r="J30" s="169">
        <v>95</v>
      </c>
      <c r="K30" s="169">
        <v>10355.49</v>
      </c>
      <c r="M30" s="172">
        <f>J30</f>
        <v>95</v>
      </c>
      <c r="N30" s="172"/>
      <c r="P30" s="204"/>
    </row>
    <row r="31" spans="2:16" ht="23.25" x14ac:dyDescent="0.25">
      <c r="B31" s="168" t="s">
        <v>1337</v>
      </c>
      <c r="C31" s="168" t="s">
        <v>573</v>
      </c>
      <c r="D31" s="168"/>
      <c r="E31" s="168" t="s">
        <v>574</v>
      </c>
      <c r="F31" s="168" t="s">
        <v>952</v>
      </c>
      <c r="G31" s="168" t="s">
        <v>1472</v>
      </c>
      <c r="H31" s="168" t="s">
        <v>1443</v>
      </c>
      <c r="I31" s="168" t="s">
        <v>742</v>
      </c>
      <c r="J31" s="169">
        <v>751.94</v>
      </c>
      <c r="K31" s="169">
        <v>11107.43</v>
      </c>
      <c r="L31" s="172">
        <f>J31</f>
        <v>751.94</v>
      </c>
      <c r="P31" s="204"/>
    </row>
    <row r="32" spans="2:16" ht="34.5" x14ac:dyDescent="0.25">
      <c r="B32" s="168" t="s">
        <v>1342</v>
      </c>
      <c r="C32" s="168" t="s">
        <v>681</v>
      </c>
      <c r="D32" s="168"/>
      <c r="E32" s="168" t="s">
        <v>574</v>
      </c>
      <c r="F32" s="168" t="s">
        <v>1473</v>
      </c>
      <c r="G32" s="168" t="s">
        <v>1474</v>
      </c>
      <c r="H32" s="168" t="s">
        <v>1443</v>
      </c>
      <c r="I32" s="168" t="s">
        <v>585</v>
      </c>
      <c r="J32" s="169">
        <v>-0.01</v>
      </c>
      <c r="K32" s="169">
        <v>11107.42</v>
      </c>
      <c r="L32" s="172">
        <f t="shared" ref="L32:L33" si="2">J32</f>
        <v>-0.01</v>
      </c>
      <c r="P32" s="204"/>
    </row>
    <row r="33" spans="2:16" ht="34.5" x14ac:dyDescent="0.25">
      <c r="B33" s="168" t="s">
        <v>1342</v>
      </c>
      <c r="C33" s="168" t="s">
        <v>573</v>
      </c>
      <c r="D33" s="168"/>
      <c r="E33" s="168" t="s">
        <v>574</v>
      </c>
      <c r="F33" s="168" t="s">
        <v>1473</v>
      </c>
      <c r="G33" s="168" t="s">
        <v>1475</v>
      </c>
      <c r="H33" s="168" t="s">
        <v>1443</v>
      </c>
      <c r="I33" s="168" t="s">
        <v>585</v>
      </c>
      <c r="J33" s="169">
        <v>0.01</v>
      </c>
      <c r="K33" s="169">
        <v>11107.43</v>
      </c>
      <c r="L33" s="172">
        <f t="shared" si="2"/>
        <v>0.01</v>
      </c>
      <c r="P33" s="204"/>
    </row>
    <row r="34" spans="2:16" ht="23.25" x14ac:dyDescent="0.25">
      <c r="B34" s="168" t="s">
        <v>1346</v>
      </c>
      <c r="C34" s="168" t="s">
        <v>573</v>
      </c>
      <c r="D34" s="168"/>
      <c r="E34" s="168" t="s">
        <v>574</v>
      </c>
      <c r="F34" s="168"/>
      <c r="G34" s="168" t="s">
        <v>1467</v>
      </c>
      <c r="H34" s="168" t="s">
        <v>1443</v>
      </c>
      <c r="I34" s="168" t="s">
        <v>602</v>
      </c>
      <c r="J34" s="169">
        <v>1240</v>
      </c>
      <c r="K34" s="169">
        <v>12347.43</v>
      </c>
      <c r="L34" s="172">
        <f>J34</f>
        <v>1240</v>
      </c>
      <c r="P34" s="204"/>
    </row>
    <row r="35" spans="2:16" ht="23.25" x14ac:dyDescent="0.25">
      <c r="B35" s="168" t="s">
        <v>794</v>
      </c>
      <c r="C35" s="168" t="s">
        <v>697</v>
      </c>
      <c r="D35" s="168">
        <v>9010</v>
      </c>
      <c r="E35" s="168" t="s">
        <v>574</v>
      </c>
      <c r="F35" s="168" t="s">
        <v>1476</v>
      </c>
      <c r="G35" s="168" t="s">
        <v>1477</v>
      </c>
      <c r="H35" s="168" t="s">
        <v>1443</v>
      </c>
      <c r="I35" s="168" t="s">
        <v>640</v>
      </c>
      <c r="J35" s="169">
        <v>20.46</v>
      </c>
      <c r="K35" s="169">
        <v>12367.89</v>
      </c>
      <c r="M35" s="172">
        <f>J35</f>
        <v>20.46</v>
      </c>
      <c r="N35" s="172"/>
      <c r="P35" s="204"/>
    </row>
    <row r="36" spans="2:16" ht="23.25" x14ac:dyDescent="0.25">
      <c r="B36" s="168" t="s">
        <v>1478</v>
      </c>
      <c r="C36" s="168" t="s">
        <v>573</v>
      </c>
      <c r="D36" s="168"/>
      <c r="E36" s="168" t="s">
        <v>574</v>
      </c>
      <c r="F36" s="168"/>
      <c r="G36" s="168" t="s">
        <v>1479</v>
      </c>
      <c r="H36" s="168" t="s">
        <v>1443</v>
      </c>
      <c r="I36" s="168" t="s">
        <v>585</v>
      </c>
      <c r="J36" s="169">
        <v>95</v>
      </c>
      <c r="K36" s="169">
        <v>12462.89</v>
      </c>
      <c r="M36" s="172">
        <f>J36</f>
        <v>95</v>
      </c>
      <c r="N36" s="172"/>
      <c r="P36" s="204"/>
    </row>
    <row r="37" spans="2:16" ht="23.25" x14ac:dyDescent="0.25">
      <c r="B37" s="168" t="s">
        <v>1369</v>
      </c>
      <c r="C37" s="168" t="s">
        <v>573</v>
      </c>
      <c r="D37" s="168"/>
      <c r="E37" s="168" t="s">
        <v>574</v>
      </c>
      <c r="F37" s="168" t="s">
        <v>952</v>
      </c>
      <c r="G37" s="168" t="s">
        <v>1472</v>
      </c>
      <c r="H37" s="168" t="s">
        <v>1443</v>
      </c>
      <c r="I37" s="168" t="s">
        <v>742</v>
      </c>
      <c r="J37" s="169">
        <v>734.42</v>
      </c>
      <c r="K37" s="169">
        <v>13197.31</v>
      </c>
      <c r="L37" s="172">
        <f>J37</f>
        <v>734.42</v>
      </c>
      <c r="P37" s="204"/>
    </row>
    <row r="38" spans="2:16" ht="23.25" x14ac:dyDescent="0.25">
      <c r="B38" s="168" t="s">
        <v>951</v>
      </c>
      <c r="C38" s="168" t="s">
        <v>573</v>
      </c>
      <c r="D38" s="168"/>
      <c r="E38" s="168" t="s">
        <v>574</v>
      </c>
      <c r="F38" s="168" t="s">
        <v>1480</v>
      </c>
      <c r="G38" s="168" t="s">
        <v>1447</v>
      </c>
      <c r="H38" s="168" t="s">
        <v>1443</v>
      </c>
      <c r="I38" s="168" t="s">
        <v>602</v>
      </c>
      <c r="J38" s="169">
        <v>1265</v>
      </c>
      <c r="K38" s="169">
        <v>14462.31</v>
      </c>
      <c r="L38" s="172">
        <f>J38</f>
        <v>1265</v>
      </c>
      <c r="P38" s="204"/>
    </row>
    <row r="39" spans="2:16" ht="23.25" x14ac:dyDescent="0.25">
      <c r="B39" s="168" t="s">
        <v>631</v>
      </c>
      <c r="C39" s="168" t="s">
        <v>697</v>
      </c>
      <c r="D39" s="168">
        <v>9055</v>
      </c>
      <c r="E39" s="168" t="s">
        <v>574</v>
      </c>
      <c r="F39" s="168" t="s">
        <v>1481</v>
      </c>
      <c r="G39" s="168" t="s">
        <v>1477</v>
      </c>
      <c r="H39" s="168" t="s">
        <v>1443</v>
      </c>
      <c r="I39" s="168" t="s">
        <v>640</v>
      </c>
      <c r="J39" s="169">
        <v>16</v>
      </c>
      <c r="K39" s="169">
        <v>14478.31</v>
      </c>
      <c r="M39" s="172">
        <f>J39</f>
        <v>16</v>
      </c>
      <c r="N39" s="172"/>
      <c r="P39" s="204"/>
    </row>
    <row r="40" spans="2:16" ht="23.25" x14ac:dyDescent="0.25">
      <c r="B40" s="168" t="s">
        <v>962</v>
      </c>
      <c r="C40" s="168" t="s">
        <v>573</v>
      </c>
      <c r="D40" s="168"/>
      <c r="E40" s="168" t="s">
        <v>574</v>
      </c>
      <c r="F40" s="168"/>
      <c r="G40" s="168" t="s">
        <v>1482</v>
      </c>
      <c r="H40" s="168" t="s">
        <v>1443</v>
      </c>
      <c r="I40" s="168" t="s">
        <v>585</v>
      </c>
      <c r="J40" s="169">
        <v>95</v>
      </c>
      <c r="K40" s="169">
        <v>14573.31</v>
      </c>
      <c r="M40" s="172">
        <f t="shared" ref="M40:M44" si="3">J40</f>
        <v>95</v>
      </c>
      <c r="N40" s="172"/>
      <c r="P40" s="204"/>
    </row>
    <row r="41" spans="2:16" ht="34.5" x14ac:dyDescent="0.25">
      <c r="B41" s="168" t="s">
        <v>652</v>
      </c>
      <c r="C41" s="168" t="s">
        <v>681</v>
      </c>
      <c r="D41" s="168"/>
      <c r="E41" s="168" t="s">
        <v>574</v>
      </c>
      <c r="F41" s="168" t="s">
        <v>1483</v>
      </c>
      <c r="G41" s="168" t="s">
        <v>1484</v>
      </c>
      <c r="H41" s="168" t="s">
        <v>1443</v>
      </c>
      <c r="I41" s="168" t="s">
        <v>585</v>
      </c>
      <c r="J41" s="169">
        <v>-0.53</v>
      </c>
      <c r="K41" s="169">
        <v>14572.78</v>
      </c>
      <c r="M41" s="172">
        <f t="shared" si="3"/>
        <v>-0.53</v>
      </c>
      <c r="N41" s="172"/>
      <c r="P41" s="204"/>
    </row>
    <row r="42" spans="2:16" ht="34.5" x14ac:dyDescent="0.25">
      <c r="B42" s="168" t="s">
        <v>652</v>
      </c>
      <c r="C42" s="168" t="s">
        <v>681</v>
      </c>
      <c r="D42" s="168"/>
      <c r="E42" s="168" t="s">
        <v>574</v>
      </c>
      <c r="F42" s="168" t="s">
        <v>1483</v>
      </c>
      <c r="G42" s="168" t="s">
        <v>1485</v>
      </c>
      <c r="H42" s="168" t="s">
        <v>1443</v>
      </c>
      <c r="I42" s="168" t="s">
        <v>585</v>
      </c>
      <c r="J42" s="169">
        <v>-0.43</v>
      </c>
      <c r="K42" s="169">
        <v>14572.35</v>
      </c>
      <c r="M42" s="172">
        <f t="shared" si="3"/>
        <v>-0.43</v>
      </c>
      <c r="N42" s="172"/>
      <c r="P42" s="204"/>
    </row>
    <row r="43" spans="2:16" ht="34.5" x14ac:dyDescent="0.25">
      <c r="B43" s="168" t="s">
        <v>652</v>
      </c>
      <c r="C43" s="168" t="s">
        <v>573</v>
      </c>
      <c r="D43" s="168"/>
      <c r="E43" s="168" t="s">
        <v>574</v>
      </c>
      <c r="F43" s="168" t="s">
        <v>1483</v>
      </c>
      <c r="G43" s="168" t="s">
        <v>1486</v>
      </c>
      <c r="H43" s="168" t="s">
        <v>1443</v>
      </c>
      <c r="I43" s="168" t="s">
        <v>585</v>
      </c>
      <c r="J43" s="169">
        <v>0.96</v>
      </c>
      <c r="K43" s="169">
        <v>14573.31</v>
      </c>
      <c r="M43" s="172">
        <f t="shared" si="3"/>
        <v>0.96</v>
      </c>
      <c r="N43" s="172"/>
      <c r="P43" s="204"/>
    </row>
    <row r="44" spans="2:16" ht="23.25" x14ac:dyDescent="0.25">
      <c r="B44" s="168" t="s">
        <v>656</v>
      </c>
      <c r="C44" s="168" t="s">
        <v>697</v>
      </c>
      <c r="D44" s="168">
        <v>9201</v>
      </c>
      <c r="E44" s="168" t="s">
        <v>574</v>
      </c>
      <c r="F44" s="168" t="s">
        <v>277</v>
      </c>
      <c r="G44" s="168" t="s">
        <v>1477</v>
      </c>
      <c r="H44" s="168" t="s">
        <v>1443</v>
      </c>
      <c r="I44" s="168" t="s">
        <v>640</v>
      </c>
      <c r="J44" s="169">
        <v>8</v>
      </c>
      <c r="K44" s="169">
        <v>14581.31</v>
      </c>
      <c r="M44" s="172">
        <f t="shared" si="3"/>
        <v>8</v>
      </c>
      <c r="N44" s="172"/>
      <c r="P44" s="204"/>
    </row>
    <row r="45" spans="2:16" ht="23.25" x14ac:dyDescent="0.25">
      <c r="B45" s="168" t="s">
        <v>977</v>
      </c>
      <c r="C45" s="168" t="s">
        <v>573</v>
      </c>
      <c r="D45" s="168"/>
      <c r="E45" s="168" t="s">
        <v>574</v>
      </c>
      <c r="F45" s="168" t="s">
        <v>952</v>
      </c>
      <c r="G45" s="168" t="s">
        <v>1472</v>
      </c>
      <c r="H45" s="168" t="s">
        <v>1443</v>
      </c>
      <c r="I45" s="168" t="s">
        <v>742</v>
      </c>
      <c r="J45" s="169">
        <v>758.72</v>
      </c>
      <c r="K45" s="169">
        <v>15340.03</v>
      </c>
      <c r="L45" s="172">
        <f>J45</f>
        <v>758.72</v>
      </c>
      <c r="P45" s="204"/>
    </row>
    <row r="46" spans="2:16" ht="23.25" x14ac:dyDescent="0.25">
      <c r="B46" s="168" t="s">
        <v>1487</v>
      </c>
      <c r="C46" s="168" t="s">
        <v>573</v>
      </c>
      <c r="D46" s="168"/>
      <c r="E46" s="168" t="s">
        <v>574</v>
      </c>
      <c r="F46" s="168" t="s">
        <v>952</v>
      </c>
      <c r="G46" s="168" t="s">
        <v>1472</v>
      </c>
      <c r="H46" s="168" t="s">
        <v>1443</v>
      </c>
      <c r="I46" s="168" t="s">
        <v>581</v>
      </c>
      <c r="J46" s="169">
        <v>330.91</v>
      </c>
      <c r="K46" s="169">
        <v>15670.94</v>
      </c>
      <c r="L46" s="172">
        <f>J46</f>
        <v>330.91</v>
      </c>
      <c r="P46" s="204"/>
    </row>
    <row r="47" spans="2:16" ht="23.25" x14ac:dyDescent="0.25">
      <c r="B47" s="168" t="s">
        <v>1391</v>
      </c>
      <c r="C47" s="168" t="s">
        <v>573</v>
      </c>
      <c r="D47" s="168"/>
      <c r="E47" s="168" t="s">
        <v>574</v>
      </c>
      <c r="F47" s="168" t="s">
        <v>1483</v>
      </c>
      <c r="G47" s="168" t="s">
        <v>1488</v>
      </c>
      <c r="H47" s="168" t="s">
        <v>1443</v>
      </c>
      <c r="I47" s="168" t="s">
        <v>585</v>
      </c>
      <c r="J47" s="169">
        <v>95</v>
      </c>
      <c r="K47" s="169">
        <v>15765.94</v>
      </c>
      <c r="M47" s="172">
        <f>J47</f>
        <v>95</v>
      </c>
      <c r="N47" s="172"/>
      <c r="P47" s="204"/>
    </row>
    <row r="48" spans="2:16" ht="23.25" x14ac:dyDescent="0.25">
      <c r="B48" s="168" t="s">
        <v>689</v>
      </c>
      <c r="C48" s="168" t="s">
        <v>676</v>
      </c>
      <c r="D48" s="168" t="s">
        <v>1489</v>
      </c>
      <c r="E48" s="168" t="s">
        <v>574</v>
      </c>
      <c r="F48" s="168"/>
      <c r="G48" s="168" t="s">
        <v>1477</v>
      </c>
      <c r="H48" s="168" t="s">
        <v>1443</v>
      </c>
      <c r="I48" s="170" t="s">
        <v>679</v>
      </c>
      <c r="J48" s="169">
        <v>8</v>
      </c>
      <c r="K48" s="169">
        <v>15773.94</v>
      </c>
      <c r="M48" s="172">
        <f t="shared" ref="M48:M49" si="4">J48</f>
        <v>8</v>
      </c>
      <c r="N48" s="172"/>
      <c r="P48" s="204"/>
    </row>
    <row r="49" spans="1:16" ht="23.25" x14ac:dyDescent="0.25">
      <c r="B49" s="168" t="s">
        <v>1490</v>
      </c>
      <c r="C49" s="168" t="s">
        <v>863</v>
      </c>
      <c r="D49" s="168"/>
      <c r="E49" s="168" t="s">
        <v>574</v>
      </c>
      <c r="F49" s="168"/>
      <c r="G49" s="168" t="s">
        <v>1491</v>
      </c>
      <c r="H49" s="168" t="s">
        <v>1443</v>
      </c>
      <c r="I49" s="168" t="s">
        <v>739</v>
      </c>
      <c r="J49" s="169">
        <v>-43.92</v>
      </c>
      <c r="K49" s="169">
        <v>15730.02</v>
      </c>
      <c r="M49" s="172">
        <f t="shared" si="4"/>
        <v>-43.92</v>
      </c>
      <c r="N49" s="172"/>
      <c r="P49" s="204"/>
    </row>
    <row r="50" spans="1:16" ht="23.25" x14ac:dyDescent="0.25">
      <c r="B50" s="168" t="s">
        <v>691</v>
      </c>
      <c r="C50" s="168" t="s">
        <v>573</v>
      </c>
      <c r="D50" s="168"/>
      <c r="E50" s="168" t="s">
        <v>574</v>
      </c>
      <c r="F50" s="168" t="s">
        <v>952</v>
      </c>
      <c r="G50" s="168" t="s">
        <v>1472</v>
      </c>
      <c r="H50" s="168" t="s">
        <v>1443</v>
      </c>
      <c r="I50" s="168" t="s">
        <v>581</v>
      </c>
      <c r="J50" s="169">
        <v>249.47</v>
      </c>
      <c r="K50" s="169">
        <v>15979.49</v>
      </c>
      <c r="L50" s="172">
        <f>J50</f>
        <v>249.47</v>
      </c>
      <c r="P50" s="204"/>
    </row>
    <row r="51" spans="1:16" ht="23.25" x14ac:dyDescent="0.25">
      <c r="B51" s="168" t="s">
        <v>1492</v>
      </c>
      <c r="C51" s="168" t="s">
        <v>573</v>
      </c>
      <c r="D51" s="168"/>
      <c r="E51" s="168" t="s">
        <v>574</v>
      </c>
      <c r="F51" s="168" t="s">
        <v>1483</v>
      </c>
      <c r="G51" s="168" t="s">
        <v>1493</v>
      </c>
      <c r="H51" s="168" t="s">
        <v>1443</v>
      </c>
      <c r="I51" s="168" t="s">
        <v>585</v>
      </c>
      <c r="J51" s="169">
        <v>95</v>
      </c>
      <c r="K51" s="169">
        <v>16074.49</v>
      </c>
      <c r="M51" s="172">
        <f>J51</f>
        <v>95</v>
      </c>
      <c r="N51" s="172"/>
      <c r="P51" s="204"/>
    </row>
    <row r="52" spans="1:16" ht="23.25" x14ac:dyDescent="0.25">
      <c r="A52" s="167" t="s">
        <v>1494</v>
      </c>
      <c r="J52" s="171">
        <v>16074.49</v>
      </c>
      <c r="P52" s="204"/>
    </row>
    <row r="53" spans="1:16" ht="23.25" x14ac:dyDescent="0.25">
      <c r="A53" s="167" t="s">
        <v>1495</v>
      </c>
      <c r="P53" s="204"/>
    </row>
    <row r="54" spans="1:16" ht="57" x14ac:dyDescent="0.25">
      <c r="B54" s="168" t="s">
        <v>586</v>
      </c>
      <c r="C54" s="168" t="s">
        <v>573</v>
      </c>
      <c r="D54" s="168"/>
      <c r="E54" s="168" t="s">
        <v>574</v>
      </c>
      <c r="F54" s="168" t="s">
        <v>250</v>
      </c>
      <c r="G54" s="168" t="s">
        <v>1496</v>
      </c>
      <c r="H54" s="168" t="s">
        <v>1497</v>
      </c>
      <c r="I54" s="168" t="s">
        <v>739</v>
      </c>
      <c r="J54" s="169">
        <v>7.56</v>
      </c>
      <c r="K54" s="169">
        <v>7.56</v>
      </c>
      <c r="N54" s="172">
        <f>J54</f>
        <v>7.56</v>
      </c>
      <c r="P54" s="204"/>
    </row>
    <row r="55" spans="1:16" ht="68.25" x14ac:dyDescent="0.25">
      <c r="B55" s="168" t="s">
        <v>895</v>
      </c>
      <c r="C55" s="168" t="s">
        <v>573</v>
      </c>
      <c r="D55" s="168"/>
      <c r="E55" s="168" t="s">
        <v>574</v>
      </c>
      <c r="F55" s="168" t="s">
        <v>250</v>
      </c>
      <c r="G55" s="168" t="s">
        <v>1498</v>
      </c>
      <c r="H55" s="168" t="s">
        <v>1497</v>
      </c>
      <c r="I55" s="168" t="s">
        <v>739</v>
      </c>
      <c r="J55" s="169">
        <v>22.08</v>
      </c>
      <c r="K55" s="169">
        <v>29.64</v>
      </c>
      <c r="N55" s="172">
        <f>J55</f>
        <v>22.08</v>
      </c>
      <c r="P55" s="204"/>
    </row>
    <row r="56" spans="1:16" ht="34.5" x14ac:dyDescent="0.25">
      <c r="B56" s="168" t="s">
        <v>1492</v>
      </c>
      <c r="C56" s="168" t="s">
        <v>573</v>
      </c>
      <c r="D56" s="168"/>
      <c r="E56" s="168" t="s">
        <v>574</v>
      </c>
      <c r="F56" s="168"/>
      <c r="G56" s="168" t="s">
        <v>1499</v>
      </c>
      <c r="H56" s="168" t="s">
        <v>1497</v>
      </c>
      <c r="I56" s="168" t="s">
        <v>585</v>
      </c>
      <c r="J56" s="169">
        <v>44.05</v>
      </c>
      <c r="K56" s="169">
        <v>73.69</v>
      </c>
      <c r="N56" s="172">
        <f>J56</f>
        <v>44.05</v>
      </c>
      <c r="P56" s="204"/>
    </row>
    <row r="57" spans="1:16" ht="34.5" x14ac:dyDescent="0.25">
      <c r="A57" s="167" t="s">
        <v>1500</v>
      </c>
      <c r="J57" s="171">
        <v>73.69</v>
      </c>
      <c r="P57" s="204"/>
    </row>
    <row r="58" spans="1:16" ht="23.25" x14ac:dyDescent="0.25">
      <c r="A58" s="167" t="s">
        <v>1501</v>
      </c>
      <c r="P58" s="204"/>
    </row>
    <row r="59" spans="1:16" ht="34.5" x14ac:dyDescent="0.25">
      <c r="B59" s="168" t="s">
        <v>1502</v>
      </c>
      <c r="C59" s="168" t="s">
        <v>573</v>
      </c>
      <c r="D59" s="168"/>
      <c r="E59" s="168" t="s">
        <v>574</v>
      </c>
      <c r="F59" s="168" t="s">
        <v>1503</v>
      </c>
      <c r="G59" s="168" t="s">
        <v>1504</v>
      </c>
      <c r="H59" s="168" t="s">
        <v>1505</v>
      </c>
      <c r="I59" s="168" t="s">
        <v>585</v>
      </c>
      <c r="J59" s="169">
        <v>15</v>
      </c>
      <c r="K59" s="169">
        <v>15</v>
      </c>
      <c r="M59" s="172">
        <f>J59</f>
        <v>15</v>
      </c>
      <c r="N59" s="172"/>
      <c r="P59" s="204"/>
    </row>
    <row r="60" spans="1:16" ht="34.5" x14ac:dyDescent="0.25">
      <c r="B60" s="168" t="s">
        <v>993</v>
      </c>
      <c r="C60" s="168" t="s">
        <v>573</v>
      </c>
      <c r="D60" s="168"/>
      <c r="E60" s="168" t="s">
        <v>574</v>
      </c>
      <c r="F60" s="168" t="s">
        <v>1503</v>
      </c>
      <c r="G60" s="168" t="s">
        <v>1506</v>
      </c>
      <c r="H60" s="168" t="s">
        <v>1505</v>
      </c>
      <c r="I60" s="168" t="s">
        <v>585</v>
      </c>
      <c r="J60" s="169">
        <v>204.67</v>
      </c>
      <c r="K60" s="169">
        <v>219.67</v>
      </c>
      <c r="M60" s="172">
        <f t="shared" ref="M60:M61" si="5">J60</f>
        <v>204.67</v>
      </c>
      <c r="N60" s="172"/>
      <c r="P60" s="204"/>
    </row>
    <row r="61" spans="1:16" ht="34.5" x14ac:dyDescent="0.25">
      <c r="B61" s="168" t="s">
        <v>1507</v>
      </c>
      <c r="C61" s="168" t="s">
        <v>573</v>
      </c>
      <c r="D61" s="168"/>
      <c r="E61" s="168" t="s">
        <v>574</v>
      </c>
      <c r="F61" s="168" t="s">
        <v>1503</v>
      </c>
      <c r="G61" s="168" t="s">
        <v>1508</v>
      </c>
      <c r="H61" s="168" t="s">
        <v>1505</v>
      </c>
      <c r="I61" s="168" t="s">
        <v>585</v>
      </c>
      <c r="J61" s="169">
        <v>113.96</v>
      </c>
      <c r="K61" s="169">
        <v>333.63</v>
      </c>
      <c r="M61" s="172">
        <f t="shared" si="5"/>
        <v>113.96</v>
      </c>
      <c r="N61" s="172"/>
      <c r="P61" s="204"/>
    </row>
    <row r="62" spans="1:16" ht="23.25" x14ac:dyDescent="0.25">
      <c r="A62" s="167" t="s">
        <v>1509</v>
      </c>
      <c r="J62" s="171">
        <v>333.63</v>
      </c>
      <c r="P62" s="204"/>
    </row>
    <row r="63" spans="1:16" ht="23.25" x14ac:dyDescent="0.25">
      <c r="A63" s="167" t="s">
        <v>1510</v>
      </c>
      <c r="P63" s="204"/>
    </row>
    <row r="64" spans="1:16" ht="23.25" x14ac:dyDescent="0.25">
      <c r="B64" s="168" t="s">
        <v>1121</v>
      </c>
      <c r="C64" s="168" t="s">
        <v>573</v>
      </c>
      <c r="D64" s="168"/>
      <c r="E64" s="168" t="s">
        <v>574</v>
      </c>
      <c r="F64" s="168"/>
      <c r="G64" s="168" t="s">
        <v>1511</v>
      </c>
      <c r="H64" s="168" t="s">
        <v>1512</v>
      </c>
      <c r="I64" s="168" t="s">
        <v>577</v>
      </c>
      <c r="J64" s="169">
        <v>361.69</v>
      </c>
      <c r="K64" s="169">
        <v>361.69</v>
      </c>
      <c r="L64" s="172">
        <f>J64</f>
        <v>361.69</v>
      </c>
      <c r="P64" s="204"/>
    </row>
    <row r="65" spans="2:16" ht="23.25" x14ac:dyDescent="0.25">
      <c r="B65" s="168" t="s">
        <v>582</v>
      </c>
      <c r="C65" s="168" t="s">
        <v>573</v>
      </c>
      <c r="D65" s="168"/>
      <c r="E65" s="168" t="s">
        <v>574</v>
      </c>
      <c r="F65" s="168" t="s">
        <v>952</v>
      </c>
      <c r="G65" s="168" t="s">
        <v>1472</v>
      </c>
      <c r="H65" s="168" t="s">
        <v>1512</v>
      </c>
      <c r="I65" s="168" t="s">
        <v>742</v>
      </c>
      <c r="J65" s="169">
        <v>697.53</v>
      </c>
      <c r="K65" s="169">
        <v>1059.22</v>
      </c>
      <c r="L65" s="172">
        <f t="shared" ref="L65:L128" si="6">J65</f>
        <v>697.53</v>
      </c>
      <c r="P65" s="204"/>
    </row>
    <row r="66" spans="2:16" ht="34.5" x14ac:dyDescent="0.25">
      <c r="B66" s="168" t="s">
        <v>582</v>
      </c>
      <c r="C66" s="168" t="s">
        <v>573</v>
      </c>
      <c r="D66" s="168"/>
      <c r="E66" s="168" t="s">
        <v>574</v>
      </c>
      <c r="F66" s="168" t="s">
        <v>1513</v>
      </c>
      <c r="G66" s="168" t="s">
        <v>1514</v>
      </c>
      <c r="H66" s="168" t="s">
        <v>1512</v>
      </c>
      <c r="I66" s="168" t="s">
        <v>585</v>
      </c>
      <c r="J66" s="169">
        <v>454.24</v>
      </c>
      <c r="K66" s="169">
        <v>1513.46</v>
      </c>
      <c r="L66" s="172">
        <f t="shared" si="6"/>
        <v>454.24</v>
      </c>
      <c r="P66" s="204"/>
    </row>
    <row r="67" spans="2:16" ht="23.25" x14ac:dyDescent="0.25">
      <c r="B67" s="168" t="s">
        <v>582</v>
      </c>
      <c r="C67" s="168" t="s">
        <v>681</v>
      </c>
      <c r="D67" s="168"/>
      <c r="E67" s="168" t="s">
        <v>574</v>
      </c>
      <c r="F67" s="168"/>
      <c r="G67" s="168"/>
      <c r="H67" s="168" t="s">
        <v>1512</v>
      </c>
      <c r="I67" s="168" t="s">
        <v>585</v>
      </c>
      <c r="J67" s="169">
        <v>16.68</v>
      </c>
      <c r="K67" s="169">
        <v>1530.14</v>
      </c>
      <c r="L67" s="172">
        <f t="shared" si="6"/>
        <v>16.68</v>
      </c>
      <c r="P67" s="204"/>
    </row>
    <row r="68" spans="2:16" ht="23.25" x14ac:dyDescent="0.25">
      <c r="B68" s="168" t="s">
        <v>843</v>
      </c>
      <c r="C68" s="168" t="s">
        <v>573</v>
      </c>
      <c r="D68" s="168"/>
      <c r="E68" s="168" t="s">
        <v>574</v>
      </c>
      <c r="F68" s="168" t="s">
        <v>1456</v>
      </c>
      <c r="G68" s="168" t="s">
        <v>1515</v>
      </c>
      <c r="H68" s="168" t="s">
        <v>1512</v>
      </c>
      <c r="I68" s="168" t="s">
        <v>585</v>
      </c>
      <c r="J68" s="169">
        <v>1185.51</v>
      </c>
      <c r="K68" s="169">
        <v>2715.65</v>
      </c>
      <c r="L68" s="172">
        <f t="shared" si="6"/>
        <v>1185.51</v>
      </c>
      <c r="P68" s="204"/>
    </row>
    <row r="69" spans="2:16" ht="23.25" x14ac:dyDescent="0.25">
      <c r="B69" s="168" t="s">
        <v>854</v>
      </c>
      <c r="C69" s="168" t="s">
        <v>573</v>
      </c>
      <c r="D69" s="168"/>
      <c r="E69" s="168" t="s">
        <v>574</v>
      </c>
      <c r="F69" s="168"/>
      <c r="G69" s="168" t="s">
        <v>1472</v>
      </c>
      <c r="H69" s="168" t="s">
        <v>1512</v>
      </c>
      <c r="I69" s="168" t="s">
        <v>581</v>
      </c>
      <c r="J69" s="169">
        <v>225.8</v>
      </c>
      <c r="K69" s="169">
        <v>2941.45</v>
      </c>
      <c r="L69" s="172">
        <f t="shared" si="6"/>
        <v>225.8</v>
      </c>
      <c r="P69" s="204"/>
    </row>
    <row r="70" spans="2:16" ht="23.25" x14ac:dyDescent="0.25">
      <c r="B70" s="168" t="s">
        <v>729</v>
      </c>
      <c r="C70" s="168" t="s">
        <v>676</v>
      </c>
      <c r="D70" s="168" t="s">
        <v>1516</v>
      </c>
      <c r="E70" s="168" t="s">
        <v>574</v>
      </c>
      <c r="F70" s="168"/>
      <c r="G70" s="168" t="s">
        <v>1517</v>
      </c>
      <c r="H70" s="168" t="s">
        <v>1512</v>
      </c>
      <c r="I70" s="170" t="s">
        <v>679</v>
      </c>
      <c r="J70" s="169">
        <v>785.42</v>
      </c>
      <c r="K70" s="169">
        <v>3726.87</v>
      </c>
      <c r="L70" s="172">
        <f t="shared" si="6"/>
        <v>785.42</v>
      </c>
      <c r="P70" s="204"/>
    </row>
    <row r="71" spans="2:16" ht="23.25" x14ac:dyDescent="0.25">
      <c r="B71" s="168" t="s">
        <v>729</v>
      </c>
      <c r="C71" s="168" t="s">
        <v>676</v>
      </c>
      <c r="D71" s="168" t="s">
        <v>1516</v>
      </c>
      <c r="E71" s="168" t="s">
        <v>574</v>
      </c>
      <c r="F71" s="168"/>
      <c r="G71" s="168" t="s">
        <v>1518</v>
      </c>
      <c r="H71" s="168" t="s">
        <v>1512</v>
      </c>
      <c r="I71" s="170" t="s">
        <v>679</v>
      </c>
      <c r="J71" s="169">
        <v>688.98</v>
      </c>
      <c r="K71" s="169">
        <v>4415.8500000000004</v>
      </c>
      <c r="L71" s="172">
        <f t="shared" si="6"/>
        <v>688.98</v>
      </c>
      <c r="P71" s="204"/>
    </row>
    <row r="72" spans="2:16" ht="23.25" x14ac:dyDescent="0.25">
      <c r="B72" s="168" t="s">
        <v>729</v>
      </c>
      <c r="C72" s="168" t="s">
        <v>676</v>
      </c>
      <c r="D72" s="168" t="s">
        <v>1516</v>
      </c>
      <c r="E72" s="168" t="s">
        <v>574</v>
      </c>
      <c r="F72" s="168"/>
      <c r="G72" s="168" t="s">
        <v>1519</v>
      </c>
      <c r="H72" s="168" t="s">
        <v>1512</v>
      </c>
      <c r="I72" s="170" t="s">
        <v>679</v>
      </c>
      <c r="J72" s="169">
        <v>557.03</v>
      </c>
      <c r="K72" s="169">
        <v>4972.88</v>
      </c>
      <c r="L72" s="172">
        <f t="shared" si="6"/>
        <v>557.03</v>
      </c>
      <c r="P72" s="204"/>
    </row>
    <row r="73" spans="2:16" ht="23.25" x14ac:dyDescent="0.25">
      <c r="B73" s="168" t="s">
        <v>729</v>
      </c>
      <c r="C73" s="168" t="s">
        <v>676</v>
      </c>
      <c r="D73" s="168" t="s">
        <v>1516</v>
      </c>
      <c r="E73" s="168" t="s">
        <v>574</v>
      </c>
      <c r="F73" s="168"/>
      <c r="G73" s="168" t="s">
        <v>1520</v>
      </c>
      <c r="H73" s="168" t="s">
        <v>1512</v>
      </c>
      <c r="I73" s="170" t="s">
        <v>679</v>
      </c>
      <c r="J73" s="169">
        <v>349.38</v>
      </c>
      <c r="K73" s="169">
        <v>5322.26</v>
      </c>
      <c r="L73" s="172">
        <f t="shared" si="6"/>
        <v>349.38</v>
      </c>
      <c r="P73" s="204"/>
    </row>
    <row r="74" spans="2:16" ht="23.25" x14ac:dyDescent="0.25">
      <c r="B74" s="168" t="s">
        <v>729</v>
      </c>
      <c r="C74" s="168" t="s">
        <v>676</v>
      </c>
      <c r="D74" s="168" t="s">
        <v>1516</v>
      </c>
      <c r="E74" s="168" t="s">
        <v>574</v>
      </c>
      <c r="F74" s="168"/>
      <c r="G74" s="168" t="s">
        <v>1521</v>
      </c>
      <c r="H74" s="168" t="s">
        <v>1512</v>
      </c>
      <c r="I74" s="170" t="s">
        <v>679</v>
      </c>
      <c r="J74" s="169">
        <v>1159.82</v>
      </c>
      <c r="K74" s="169">
        <v>6482.08</v>
      </c>
      <c r="L74" s="172">
        <f t="shared" si="6"/>
        <v>1159.82</v>
      </c>
      <c r="P74" s="204"/>
    </row>
    <row r="75" spans="2:16" ht="23.25" x14ac:dyDescent="0.25">
      <c r="B75" s="168" t="s">
        <v>729</v>
      </c>
      <c r="C75" s="168" t="s">
        <v>676</v>
      </c>
      <c r="D75" s="168" t="s">
        <v>1516</v>
      </c>
      <c r="E75" s="168" t="s">
        <v>574</v>
      </c>
      <c r="F75" s="168"/>
      <c r="G75" s="168" t="s">
        <v>1522</v>
      </c>
      <c r="H75" s="168" t="s">
        <v>1512</v>
      </c>
      <c r="I75" s="170" t="s">
        <v>679</v>
      </c>
      <c r="J75" s="169">
        <v>0</v>
      </c>
      <c r="K75" s="169">
        <v>6482.08</v>
      </c>
      <c r="L75" s="172">
        <f t="shared" si="6"/>
        <v>0</v>
      </c>
      <c r="P75" s="204"/>
    </row>
    <row r="76" spans="2:16" ht="23.25" x14ac:dyDescent="0.25">
      <c r="B76" s="168" t="s">
        <v>759</v>
      </c>
      <c r="C76" s="168" t="s">
        <v>573</v>
      </c>
      <c r="D76" s="168"/>
      <c r="E76" s="168" t="s">
        <v>574</v>
      </c>
      <c r="F76" s="168"/>
      <c r="G76" s="168" t="s">
        <v>1472</v>
      </c>
      <c r="H76" s="168" t="s">
        <v>1512</v>
      </c>
      <c r="I76" s="168" t="s">
        <v>577</v>
      </c>
      <c r="J76" s="169">
        <v>206.41</v>
      </c>
      <c r="K76" s="169">
        <v>6688.49</v>
      </c>
      <c r="L76" s="172">
        <f t="shared" si="6"/>
        <v>206.41</v>
      </c>
      <c r="P76" s="204"/>
    </row>
    <row r="77" spans="2:16" ht="34.5" x14ac:dyDescent="0.25">
      <c r="B77" s="168" t="s">
        <v>878</v>
      </c>
      <c r="C77" s="168" t="s">
        <v>573</v>
      </c>
      <c r="D77" s="168"/>
      <c r="E77" s="168" t="s">
        <v>574</v>
      </c>
      <c r="F77" s="168" t="s">
        <v>1513</v>
      </c>
      <c r="G77" s="168" t="s">
        <v>1523</v>
      </c>
      <c r="H77" s="168" t="s">
        <v>1512</v>
      </c>
      <c r="I77" s="168" t="s">
        <v>585</v>
      </c>
      <c r="J77" s="169">
        <v>418.45</v>
      </c>
      <c r="K77" s="169">
        <v>7106.94</v>
      </c>
      <c r="L77" s="172">
        <f t="shared" si="6"/>
        <v>418.45</v>
      </c>
      <c r="P77" s="204"/>
    </row>
    <row r="78" spans="2:16" ht="23.25" x14ac:dyDescent="0.25">
      <c r="B78" s="168" t="s">
        <v>1524</v>
      </c>
      <c r="C78" s="168" t="s">
        <v>573</v>
      </c>
      <c r="D78" s="168"/>
      <c r="E78" s="168" t="s">
        <v>574</v>
      </c>
      <c r="F78" s="168"/>
      <c r="G78" s="168" t="s">
        <v>1525</v>
      </c>
      <c r="H78" s="168" t="s">
        <v>1512</v>
      </c>
      <c r="I78" s="168" t="s">
        <v>585</v>
      </c>
      <c r="J78" s="169">
        <v>1152.69</v>
      </c>
      <c r="K78" s="169">
        <v>8259.6299999999992</v>
      </c>
      <c r="L78" s="172">
        <f t="shared" si="6"/>
        <v>1152.69</v>
      </c>
      <c r="P78" s="204"/>
    </row>
    <row r="79" spans="2:16" ht="23.25" x14ac:dyDescent="0.25">
      <c r="B79" s="168" t="s">
        <v>1524</v>
      </c>
      <c r="C79" s="168" t="s">
        <v>573</v>
      </c>
      <c r="D79" s="168"/>
      <c r="E79" s="168" t="s">
        <v>574</v>
      </c>
      <c r="F79" s="168"/>
      <c r="G79" s="168" t="s">
        <v>1472</v>
      </c>
      <c r="H79" s="168" t="s">
        <v>1512</v>
      </c>
      <c r="I79" s="168" t="s">
        <v>742</v>
      </c>
      <c r="J79" s="169">
        <v>665.52</v>
      </c>
      <c r="K79" s="169">
        <v>8925.15</v>
      </c>
      <c r="L79" s="172">
        <f t="shared" si="6"/>
        <v>665.52</v>
      </c>
      <c r="P79" s="204"/>
    </row>
    <row r="80" spans="2:16" ht="23.25" x14ac:dyDescent="0.25">
      <c r="B80" s="168" t="s">
        <v>764</v>
      </c>
      <c r="C80" s="168" t="s">
        <v>573</v>
      </c>
      <c r="D80" s="168"/>
      <c r="E80" s="168" t="s">
        <v>574</v>
      </c>
      <c r="F80" s="168" t="s">
        <v>952</v>
      </c>
      <c r="G80" s="168" t="s">
        <v>1472</v>
      </c>
      <c r="H80" s="168" t="s">
        <v>1512</v>
      </c>
      <c r="I80" s="168" t="s">
        <v>581</v>
      </c>
      <c r="J80" s="169">
        <v>335.95</v>
      </c>
      <c r="K80" s="169">
        <v>9261.1</v>
      </c>
      <c r="L80" s="172">
        <f t="shared" si="6"/>
        <v>335.95</v>
      </c>
      <c r="P80" s="204"/>
    </row>
    <row r="81" spans="2:16" ht="23.25" x14ac:dyDescent="0.25">
      <c r="B81" s="168" t="s">
        <v>882</v>
      </c>
      <c r="C81" s="168" t="s">
        <v>676</v>
      </c>
      <c r="D81" s="168" t="s">
        <v>1526</v>
      </c>
      <c r="E81" s="168" t="s">
        <v>574</v>
      </c>
      <c r="F81" s="168"/>
      <c r="G81" s="168" t="s">
        <v>1521</v>
      </c>
      <c r="H81" s="168" t="s">
        <v>1512</v>
      </c>
      <c r="I81" s="170" t="s">
        <v>679</v>
      </c>
      <c r="J81" s="169">
        <v>637.9</v>
      </c>
      <c r="K81" s="169">
        <v>9899</v>
      </c>
      <c r="L81" s="172">
        <f t="shared" si="6"/>
        <v>637.9</v>
      </c>
      <c r="P81" s="204"/>
    </row>
    <row r="82" spans="2:16" ht="23.25" x14ac:dyDescent="0.25">
      <c r="B82" s="168" t="s">
        <v>882</v>
      </c>
      <c r="C82" s="168" t="s">
        <v>676</v>
      </c>
      <c r="D82" s="168" t="s">
        <v>1526</v>
      </c>
      <c r="E82" s="168" t="s">
        <v>574</v>
      </c>
      <c r="F82" s="168"/>
      <c r="G82" s="168" t="s">
        <v>1517</v>
      </c>
      <c r="H82" s="168" t="s">
        <v>1512</v>
      </c>
      <c r="I82" s="170" t="s">
        <v>679</v>
      </c>
      <c r="J82" s="169">
        <v>511.99</v>
      </c>
      <c r="K82" s="169">
        <v>10410.99</v>
      </c>
      <c r="L82" s="172">
        <f t="shared" si="6"/>
        <v>511.99</v>
      </c>
      <c r="P82" s="204"/>
    </row>
    <row r="83" spans="2:16" ht="23.25" x14ac:dyDescent="0.25">
      <c r="B83" s="168" t="s">
        <v>882</v>
      </c>
      <c r="C83" s="168" t="s">
        <v>676</v>
      </c>
      <c r="D83" s="168" t="s">
        <v>1526</v>
      </c>
      <c r="E83" s="168" t="s">
        <v>574</v>
      </c>
      <c r="F83" s="168"/>
      <c r="G83" s="168" t="s">
        <v>1518</v>
      </c>
      <c r="H83" s="168" t="s">
        <v>1512</v>
      </c>
      <c r="I83" s="170" t="s">
        <v>679</v>
      </c>
      <c r="J83" s="169">
        <v>410.59</v>
      </c>
      <c r="K83" s="169">
        <v>10821.58</v>
      </c>
      <c r="L83" s="172">
        <f t="shared" si="6"/>
        <v>410.59</v>
      </c>
      <c r="P83" s="204"/>
    </row>
    <row r="84" spans="2:16" ht="23.25" x14ac:dyDescent="0.25">
      <c r="B84" s="168" t="s">
        <v>882</v>
      </c>
      <c r="C84" s="168" t="s">
        <v>676</v>
      </c>
      <c r="D84" s="168" t="s">
        <v>1526</v>
      </c>
      <c r="E84" s="168" t="s">
        <v>574</v>
      </c>
      <c r="F84" s="168"/>
      <c r="G84" s="168" t="s">
        <v>1522</v>
      </c>
      <c r="H84" s="168" t="s">
        <v>1512</v>
      </c>
      <c r="I84" s="170" t="s">
        <v>679</v>
      </c>
      <c r="J84" s="169">
        <v>300.68</v>
      </c>
      <c r="K84" s="169">
        <v>11122.26</v>
      </c>
      <c r="L84" s="172">
        <f t="shared" si="6"/>
        <v>300.68</v>
      </c>
      <c r="P84" s="204"/>
    </row>
    <row r="85" spans="2:16" ht="23.25" x14ac:dyDescent="0.25">
      <c r="B85" s="168" t="s">
        <v>882</v>
      </c>
      <c r="C85" s="168" t="s">
        <v>676</v>
      </c>
      <c r="D85" s="168" t="s">
        <v>1526</v>
      </c>
      <c r="E85" s="168" t="s">
        <v>574</v>
      </c>
      <c r="F85" s="168"/>
      <c r="G85" s="168" t="s">
        <v>1520</v>
      </c>
      <c r="H85" s="168" t="s">
        <v>1512</v>
      </c>
      <c r="I85" s="170" t="s">
        <v>679</v>
      </c>
      <c r="J85" s="169">
        <v>198.22</v>
      </c>
      <c r="K85" s="169">
        <v>11320.48</v>
      </c>
      <c r="L85" s="172">
        <f t="shared" si="6"/>
        <v>198.22</v>
      </c>
      <c r="P85" s="204"/>
    </row>
    <row r="86" spans="2:16" ht="23.25" x14ac:dyDescent="0.25">
      <c r="B86" s="168" t="s">
        <v>882</v>
      </c>
      <c r="C86" s="168" t="s">
        <v>676</v>
      </c>
      <c r="D86" s="168" t="s">
        <v>1526</v>
      </c>
      <c r="E86" s="168" t="s">
        <v>574</v>
      </c>
      <c r="F86" s="168"/>
      <c r="G86" s="168" t="s">
        <v>1519</v>
      </c>
      <c r="H86" s="168" t="s">
        <v>1512</v>
      </c>
      <c r="I86" s="170" t="s">
        <v>679</v>
      </c>
      <c r="J86" s="169">
        <v>991.33</v>
      </c>
      <c r="K86" s="169">
        <v>12311.81</v>
      </c>
      <c r="L86" s="172">
        <f t="shared" si="6"/>
        <v>991.33</v>
      </c>
      <c r="P86" s="204"/>
    </row>
    <row r="87" spans="2:16" ht="23.25" x14ac:dyDescent="0.25">
      <c r="B87" s="168" t="s">
        <v>882</v>
      </c>
      <c r="C87" s="168" t="s">
        <v>676</v>
      </c>
      <c r="D87" s="168" t="s">
        <v>1526</v>
      </c>
      <c r="E87" s="168" t="s">
        <v>574</v>
      </c>
      <c r="F87" s="168"/>
      <c r="G87" s="168" t="s">
        <v>1527</v>
      </c>
      <c r="H87" s="168" t="s">
        <v>1512</v>
      </c>
      <c r="I87" s="170" t="s">
        <v>679</v>
      </c>
      <c r="J87" s="169">
        <v>117.4</v>
      </c>
      <c r="K87" s="169">
        <v>12429.21</v>
      </c>
      <c r="L87" s="172">
        <f t="shared" si="6"/>
        <v>117.4</v>
      </c>
      <c r="P87" s="204"/>
    </row>
    <row r="88" spans="2:16" ht="23.25" x14ac:dyDescent="0.25">
      <c r="B88" s="168" t="s">
        <v>598</v>
      </c>
      <c r="C88" s="168" t="s">
        <v>681</v>
      </c>
      <c r="D88" s="168"/>
      <c r="E88" s="168" t="s">
        <v>574</v>
      </c>
      <c r="F88" s="168"/>
      <c r="G88" s="168"/>
      <c r="H88" s="168" t="s">
        <v>1512</v>
      </c>
      <c r="I88" s="168" t="s">
        <v>585</v>
      </c>
      <c r="J88" s="169">
        <v>-530.42999999999995</v>
      </c>
      <c r="K88" s="169">
        <v>11898.78</v>
      </c>
      <c r="L88" s="172">
        <f t="shared" si="6"/>
        <v>-530.42999999999995</v>
      </c>
      <c r="P88" s="204"/>
    </row>
    <row r="89" spans="2:16" ht="23.25" x14ac:dyDescent="0.25">
      <c r="B89" s="168" t="s">
        <v>767</v>
      </c>
      <c r="C89" s="168" t="s">
        <v>573</v>
      </c>
      <c r="D89" s="168"/>
      <c r="E89" s="168" t="s">
        <v>574</v>
      </c>
      <c r="F89" s="168"/>
      <c r="G89" s="168" t="s">
        <v>1472</v>
      </c>
      <c r="H89" s="168" t="s">
        <v>1512</v>
      </c>
      <c r="I89" s="168" t="s">
        <v>577</v>
      </c>
      <c r="J89" s="169">
        <v>478.6</v>
      </c>
      <c r="K89" s="169">
        <v>12377.38</v>
      </c>
      <c r="L89" s="172">
        <f t="shared" si="6"/>
        <v>478.6</v>
      </c>
      <c r="P89" s="204"/>
    </row>
    <row r="90" spans="2:16" ht="34.5" x14ac:dyDescent="0.25">
      <c r="B90" s="168" t="s">
        <v>1211</v>
      </c>
      <c r="C90" s="168" t="s">
        <v>573</v>
      </c>
      <c r="D90" s="168"/>
      <c r="E90" s="168" t="s">
        <v>574</v>
      </c>
      <c r="F90" s="168" t="s">
        <v>1513</v>
      </c>
      <c r="G90" s="168" t="s">
        <v>1528</v>
      </c>
      <c r="H90" s="168" t="s">
        <v>1512</v>
      </c>
      <c r="I90" s="168" t="s">
        <v>585</v>
      </c>
      <c r="J90" s="169">
        <v>345.29</v>
      </c>
      <c r="K90" s="169">
        <v>12722.67</v>
      </c>
      <c r="L90" s="172">
        <f t="shared" si="6"/>
        <v>345.29</v>
      </c>
      <c r="P90" s="204"/>
    </row>
    <row r="91" spans="2:16" ht="34.5" x14ac:dyDescent="0.25">
      <c r="B91" s="168" t="s">
        <v>1211</v>
      </c>
      <c r="C91" s="168" t="s">
        <v>681</v>
      </c>
      <c r="D91" s="168"/>
      <c r="E91" s="168" t="s">
        <v>574</v>
      </c>
      <c r="F91" s="168"/>
      <c r="G91" s="168" t="s">
        <v>1529</v>
      </c>
      <c r="H91" s="168" t="s">
        <v>1512</v>
      </c>
      <c r="I91" s="168" t="s">
        <v>585</v>
      </c>
      <c r="J91" s="169">
        <v>-530.42999999999995</v>
      </c>
      <c r="K91" s="169">
        <v>12192.24</v>
      </c>
      <c r="L91" s="172">
        <f t="shared" si="6"/>
        <v>-530.42999999999995</v>
      </c>
      <c r="P91" s="204"/>
    </row>
    <row r="92" spans="2:16" ht="23.25" x14ac:dyDescent="0.25">
      <c r="B92" s="168" t="s">
        <v>603</v>
      </c>
      <c r="C92" s="168" t="s">
        <v>573</v>
      </c>
      <c r="D92" s="168"/>
      <c r="E92" s="168" t="s">
        <v>574</v>
      </c>
      <c r="F92" s="168"/>
      <c r="G92" s="168" t="s">
        <v>1530</v>
      </c>
      <c r="H92" s="168" t="s">
        <v>1512</v>
      </c>
      <c r="I92" s="168" t="s">
        <v>585</v>
      </c>
      <c r="J92" s="169">
        <v>1119.47</v>
      </c>
      <c r="K92" s="169">
        <v>13311.71</v>
      </c>
      <c r="L92" s="172">
        <f t="shared" si="6"/>
        <v>1119.47</v>
      </c>
      <c r="P92" s="204"/>
    </row>
    <row r="93" spans="2:16" ht="23.25" x14ac:dyDescent="0.25">
      <c r="B93" s="168" t="s">
        <v>603</v>
      </c>
      <c r="C93" s="168" t="s">
        <v>573</v>
      </c>
      <c r="D93" s="168"/>
      <c r="E93" s="168" t="s">
        <v>574</v>
      </c>
      <c r="F93" s="168"/>
      <c r="G93" s="168" t="s">
        <v>1472</v>
      </c>
      <c r="H93" s="168" t="s">
        <v>1512</v>
      </c>
      <c r="I93" s="168" t="s">
        <v>742</v>
      </c>
      <c r="J93" s="169">
        <v>567.95000000000005</v>
      </c>
      <c r="K93" s="169">
        <v>13879.66</v>
      </c>
      <c r="L93" s="172">
        <f t="shared" si="6"/>
        <v>567.95000000000005</v>
      </c>
      <c r="P93" s="204"/>
    </row>
    <row r="94" spans="2:16" ht="23.25" x14ac:dyDescent="0.25">
      <c r="B94" s="168" t="s">
        <v>810</v>
      </c>
      <c r="C94" s="168" t="s">
        <v>573</v>
      </c>
      <c r="D94" s="168"/>
      <c r="E94" s="168" t="s">
        <v>574</v>
      </c>
      <c r="F94" s="168" t="s">
        <v>952</v>
      </c>
      <c r="G94" s="168" t="s">
        <v>1472</v>
      </c>
      <c r="H94" s="168" t="s">
        <v>1512</v>
      </c>
      <c r="I94" s="168" t="s">
        <v>581</v>
      </c>
      <c r="J94" s="169">
        <v>294.79000000000002</v>
      </c>
      <c r="K94" s="169">
        <v>14174.45</v>
      </c>
      <c r="L94" s="172">
        <f t="shared" si="6"/>
        <v>294.79000000000002</v>
      </c>
      <c r="P94" s="204"/>
    </row>
    <row r="95" spans="2:16" ht="23.25" x14ac:dyDescent="0.25">
      <c r="B95" s="168" t="s">
        <v>771</v>
      </c>
      <c r="C95" s="168" t="s">
        <v>676</v>
      </c>
      <c r="D95" s="168" t="s">
        <v>1531</v>
      </c>
      <c r="E95" s="168" t="s">
        <v>574</v>
      </c>
      <c r="F95" s="168"/>
      <c r="G95" s="168" t="s">
        <v>1527</v>
      </c>
      <c r="H95" s="168" t="s">
        <v>1512</v>
      </c>
      <c r="I95" s="170" t="s">
        <v>679</v>
      </c>
      <c r="J95" s="169">
        <v>427.43</v>
      </c>
      <c r="K95" s="169">
        <v>14601.88</v>
      </c>
      <c r="L95" s="172">
        <f t="shared" si="6"/>
        <v>427.43</v>
      </c>
      <c r="P95" s="204"/>
    </row>
    <row r="96" spans="2:16" ht="23.25" x14ac:dyDescent="0.25">
      <c r="B96" s="168" t="s">
        <v>771</v>
      </c>
      <c r="C96" s="168" t="s">
        <v>676</v>
      </c>
      <c r="D96" s="168" t="s">
        <v>1531</v>
      </c>
      <c r="E96" s="168" t="s">
        <v>574</v>
      </c>
      <c r="F96" s="168"/>
      <c r="G96" s="168" t="s">
        <v>1517</v>
      </c>
      <c r="H96" s="168" t="s">
        <v>1512</v>
      </c>
      <c r="I96" s="170" t="s">
        <v>679</v>
      </c>
      <c r="J96" s="169">
        <v>405.91</v>
      </c>
      <c r="K96" s="169">
        <v>15007.79</v>
      </c>
      <c r="L96" s="172">
        <f t="shared" si="6"/>
        <v>405.91</v>
      </c>
      <c r="P96" s="204"/>
    </row>
    <row r="97" spans="2:16" ht="23.25" x14ac:dyDescent="0.25">
      <c r="B97" s="168" t="s">
        <v>771</v>
      </c>
      <c r="C97" s="168" t="s">
        <v>676</v>
      </c>
      <c r="D97" s="168" t="s">
        <v>1531</v>
      </c>
      <c r="E97" s="168" t="s">
        <v>574</v>
      </c>
      <c r="F97" s="168"/>
      <c r="G97" s="168" t="s">
        <v>1521</v>
      </c>
      <c r="H97" s="168" t="s">
        <v>1512</v>
      </c>
      <c r="I97" s="170" t="s">
        <v>679</v>
      </c>
      <c r="J97" s="169">
        <v>373.5</v>
      </c>
      <c r="K97" s="169">
        <v>15381.29</v>
      </c>
      <c r="L97" s="172">
        <f t="shared" si="6"/>
        <v>373.5</v>
      </c>
      <c r="P97" s="204"/>
    </row>
    <row r="98" spans="2:16" ht="23.25" x14ac:dyDescent="0.25">
      <c r="B98" s="168" t="s">
        <v>771</v>
      </c>
      <c r="C98" s="168" t="s">
        <v>676</v>
      </c>
      <c r="D98" s="168" t="s">
        <v>1531</v>
      </c>
      <c r="E98" s="168" t="s">
        <v>574</v>
      </c>
      <c r="F98" s="168"/>
      <c r="G98" s="168" t="s">
        <v>1522</v>
      </c>
      <c r="H98" s="168" t="s">
        <v>1512</v>
      </c>
      <c r="I98" s="170" t="s">
        <v>679</v>
      </c>
      <c r="J98" s="169">
        <v>310.76</v>
      </c>
      <c r="K98" s="169">
        <v>15692.05</v>
      </c>
      <c r="L98" s="172">
        <f t="shared" si="6"/>
        <v>310.76</v>
      </c>
      <c r="P98" s="204"/>
    </row>
    <row r="99" spans="2:16" ht="23.25" x14ac:dyDescent="0.25">
      <c r="B99" s="168" t="s">
        <v>771</v>
      </c>
      <c r="C99" s="168" t="s">
        <v>676</v>
      </c>
      <c r="D99" s="168" t="s">
        <v>1531</v>
      </c>
      <c r="E99" s="168" t="s">
        <v>574</v>
      </c>
      <c r="F99" s="168"/>
      <c r="G99" s="168" t="s">
        <v>1518</v>
      </c>
      <c r="H99" s="168" t="s">
        <v>1512</v>
      </c>
      <c r="I99" s="170" t="s">
        <v>679</v>
      </c>
      <c r="J99" s="169">
        <v>282.42</v>
      </c>
      <c r="K99" s="169">
        <v>15974.47</v>
      </c>
      <c r="L99" s="172">
        <f t="shared" si="6"/>
        <v>282.42</v>
      </c>
      <c r="P99" s="204"/>
    </row>
    <row r="100" spans="2:16" ht="23.25" x14ac:dyDescent="0.25">
      <c r="B100" s="168" t="s">
        <v>771</v>
      </c>
      <c r="C100" s="168" t="s">
        <v>676</v>
      </c>
      <c r="D100" s="168" t="s">
        <v>1531</v>
      </c>
      <c r="E100" s="168" t="s">
        <v>574</v>
      </c>
      <c r="F100" s="168"/>
      <c r="G100" s="168" t="s">
        <v>1520</v>
      </c>
      <c r="H100" s="168" t="s">
        <v>1512</v>
      </c>
      <c r="I100" s="170" t="s">
        <v>679</v>
      </c>
      <c r="J100" s="169">
        <v>124.11</v>
      </c>
      <c r="K100" s="169">
        <v>16098.58</v>
      </c>
      <c r="L100" s="172">
        <f t="shared" si="6"/>
        <v>124.11</v>
      </c>
      <c r="P100" s="204"/>
    </row>
    <row r="101" spans="2:16" ht="23.25" x14ac:dyDescent="0.25">
      <c r="B101" s="168" t="s">
        <v>771</v>
      </c>
      <c r="C101" s="168" t="s">
        <v>676</v>
      </c>
      <c r="D101" s="168" t="s">
        <v>1531</v>
      </c>
      <c r="E101" s="168" t="s">
        <v>574</v>
      </c>
      <c r="F101" s="168"/>
      <c r="G101" s="168" t="s">
        <v>1519</v>
      </c>
      <c r="H101" s="168" t="s">
        <v>1512</v>
      </c>
      <c r="I101" s="170" t="s">
        <v>679</v>
      </c>
      <c r="J101" s="169">
        <v>824.47</v>
      </c>
      <c r="K101" s="169">
        <v>16923.05</v>
      </c>
      <c r="L101" s="172">
        <f t="shared" si="6"/>
        <v>824.47</v>
      </c>
      <c r="P101" s="204"/>
    </row>
    <row r="102" spans="2:16" ht="23.25" x14ac:dyDescent="0.25">
      <c r="B102" s="168" t="s">
        <v>771</v>
      </c>
      <c r="C102" s="168" t="s">
        <v>676</v>
      </c>
      <c r="D102" s="168" t="s">
        <v>1531</v>
      </c>
      <c r="E102" s="168" t="s">
        <v>574</v>
      </c>
      <c r="F102" s="168"/>
      <c r="G102" s="168" t="s">
        <v>1532</v>
      </c>
      <c r="H102" s="168" t="s">
        <v>1512</v>
      </c>
      <c r="I102" s="170" t="s">
        <v>679</v>
      </c>
      <c r="J102" s="169">
        <v>57.65</v>
      </c>
      <c r="K102" s="169">
        <v>16980.7</v>
      </c>
      <c r="L102" s="172">
        <f t="shared" si="6"/>
        <v>57.65</v>
      </c>
      <c r="P102" s="204"/>
    </row>
    <row r="103" spans="2:16" ht="23.25" x14ac:dyDescent="0.25">
      <c r="B103" s="168" t="s">
        <v>737</v>
      </c>
      <c r="C103" s="168" t="s">
        <v>573</v>
      </c>
      <c r="D103" s="168"/>
      <c r="E103" s="168" t="s">
        <v>574</v>
      </c>
      <c r="F103" s="168" t="s">
        <v>952</v>
      </c>
      <c r="G103" s="168" t="s">
        <v>1472</v>
      </c>
      <c r="H103" s="168" t="s">
        <v>1512</v>
      </c>
      <c r="I103" s="168" t="s">
        <v>577</v>
      </c>
      <c r="J103" s="169">
        <v>640.28</v>
      </c>
      <c r="K103" s="169">
        <v>17620.98</v>
      </c>
      <c r="L103" s="172">
        <f t="shared" si="6"/>
        <v>640.28</v>
      </c>
      <c r="P103" s="204"/>
    </row>
    <row r="104" spans="2:16" ht="23.25" x14ac:dyDescent="0.25">
      <c r="B104" s="168" t="s">
        <v>776</v>
      </c>
      <c r="C104" s="168" t="s">
        <v>681</v>
      </c>
      <c r="D104" s="168"/>
      <c r="E104" s="168" t="s">
        <v>574</v>
      </c>
      <c r="F104" s="168"/>
      <c r="G104" s="168" t="s">
        <v>1533</v>
      </c>
      <c r="H104" s="168" t="s">
        <v>1512</v>
      </c>
      <c r="I104" s="168" t="s">
        <v>585</v>
      </c>
      <c r="J104" s="169">
        <v>530.41999999999996</v>
      </c>
      <c r="K104" s="169">
        <v>18151.400000000001</v>
      </c>
      <c r="L104" s="172">
        <f t="shared" si="6"/>
        <v>530.41999999999996</v>
      </c>
      <c r="P104" s="204"/>
    </row>
    <row r="105" spans="2:16" ht="34.5" x14ac:dyDescent="0.25">
      <c r="B105" s="168" t="s">
        <v>909</v>
      </c>
      <c r="C105" s="168" t="s">
        <v>573</v>
      </c>
      <c r="D105" s="168"/>
      <c r="E105" s="168" t="s">
        <v>574</v>
      </c>
      <c r="F105" s="168" t="s">
        <v>1513</v>
      </c>
      <c r="G105" s="168" t="s">
        <v>1534</v>
      </c>
      <c r="H105" s="168" t="s">
        <v>1512</v>
      </c>
      <c r="I105" s="168" t="s">
        <v>585</v>
      </c>
      <c r="J105" s="169">
        <v>345.38</v>
      </c>
      <c r="K105" s="169">
        <v>18496.78</v>
      </c>
      <c r="L105" s="172">
        <f t="shared" si="6"/>
        <v>345.38</v>
      </c>
      <c r="P105" s="204"/>
    </row>
    <row r="106" spans="2:16" ht="23.25" x14ac:dyDescent="0.25">
      <c r="B106" s="168" t="s">
        <v>909</v>
      </c>
      <c r="C106" s="168" t="s">
        <v>573</v>
      </c>
      <c r="D106" s="168"/>
      <c r="E106" s="168" t="s">
        <v>574</v>
      </c>
      <c r="F106" s="168" t="s">
        <v>1480</v>
      </c>
      <c r="G106" s="168" t="s">
        <v>1472</v>
      </c>
      <c r="H106" s="168" t="s">
        <v>1512</v>
      </c>
      <c r="I106" s="168" t="s">
        <v>742</v>
      </c>
      <c r="J106" s="169">
        <v>640.51</v>
      </c>
      <c r="K106" s="169">
        <v>19137.29</v>
      </c>
      <c r="L106" s="172">
        <f t="shared" si="6"/>
        <v>640.51</v>
      </c>
      <c r="P106" s="204"/>
    </row>
    <row r="107" spans="2:16" ht="23.25" x14ac:dyDescent="0.25">
      <c r="B107" s="168" t="s">
        <v>1055</v>
      </c>
      <c r="C107" s="168" t="s">
        <v>573</v>
      </c>
      <c r="D107" s="168"/>
      <c r="E107" s="168" t="s">
        <v>574</v>
      </c>
      <c r="F107" s="168" t="s">
        <v>1456</v>
      </c>
      <c r="G107" s="168"/>
      <c r="H107" s="168" t="s">
        <v>1512</v>
      </c>
      <c r="I107" s="168" t="s">
        <v>585</v>
      </c>
      <c r="J107" s="169">
        <v>1085.83</v>
      </c>
      <c r="K107" s="169">
        <v>20223.12</v>
      </c>
      <c r="L107" s="172">
        <f t="shared" si="6"/>
        <v>1085.83</v>
      </c>
      <c r="P107" s="204"/>
    </row>
    <row r="108" spans="2:16" ht="23.25" x14ac:dyDescent="0.25">
      <c r="B108" s="168" t="s">
        <v>912</v>
      </c>
      <c r="C108" s="168" t="s">
        <v>573</v>
      </c>
      <c r="D108" s="168"/>
      <c r="E108" s="168" t="s">
        <v>574</v>
      </c>
      <c r="F108" s="168" t="s">
        <v>952</v>
      </c>
      <c r="G108" s="168" t="s">
        <v>1472</v>
      </c>
      <c r="H108" s="168" t="s">
        <v>1512</v>
      </c>
      <c r="I108" s="168" t="s">
        <v>581</v>
      </c>
      <c r="J108" s="169">
        <v>336.41</v>
      </c>
      <c r="K108" s="169">
        <v>20559.53</v>
      </c>
      <c r="L108" s="172">
        <f t="shared" si="6"/>
        <v>336.41</v>
      </c>
      <c r="P108" s="204"/>
    </row>
    <row r="109" spans="2:16" ht="23.25" x14ac:dyDescent="0.25">
      <c r="B109" s="168" t="s">
        <v>1457</v>
      </c>
      <c r="C109" s="168" t="s">
        <v>676</v>
      </c>
      <c r="D109" s="168" t="s">
        <v>1535</v>
      </c>
      <c r="E109" s="168" t="s">
        <v>574</v>
      </c>
      <c r="F109" s="168"/>
      <c r="G109" s="168" t="s">
        <v>1536</v>
      </c>
      <c r="H109" s="168" t="s">
        <v>1512</v>
      </c>
      <c r="I109" s="170" t="s">
        <v>679</v>
      </c>
      <c r="J109" s="169">
        <v>293.5</v>
      </c>
      <c r="K109" s="169">
        <v>20853.03</v>
      </c>
      <c r="L109" s="172">
        <f t="shared" si="6"/>
        <v>293.5</v>
      </c>
      <c r="P109" s="204"/>
    </row>
    <row r="110" spans="2:16" ht="23.25" x14ac:dyDescent="0.25">
      <c r="B110" s="168" t="s">
        <v>1457</v>
      </c>
      <c r="C110" s="168" t="s">
        <v>676</v>
      </c>
      <c r="D110" s="168" t="s">
        <v>1535</v>
      </c>
      <c r="E110" s="168" t="s">
        <v>574</v>
      </c>
      <c r="F110" s="168"/>
      <c r="G110" s="168" t="s">
        <v>1517</v>
      </c>
      <c r="H110" s="168" t="s">
        <v>1512</v>
      </c>
      <c r="I110" s="170" t="s">
        <v>679</v>
      </c>
      <c r="J110" s="169">
        <v>297.33</v>
      </c>
      <c r="K110" s="169">
        <v>21150.36</v>
      </c>
      <c r="L110" s="172">
        <f t="shared" si="6"/>
        <v>297.33</v>
      </c>
      <c r="P110" s="204"/>
    </row>
    <row r="111" spans="2:16" ht="23.25" x14ac:dyDescent="0.25">
      <c r="B111" s="168" t="s">
        <v>1457</v>
      </c>
      <c r="C111" s="168" t="s">
        <v>676</v>
      </c>
      <c r="D111" s="168" t="s">
        <v>1535</v>
      </c>
      <c r="E111" s="168" t="s">
        <v>574</v>
      </c>
      <c r="F111" s="168"/>
      <c r="G111" s="168" t="s">
        <v>1527</v>
      </c>
      <c r="H111" s="168" t="s">
        <v>1512</v>
      </c>
      <c r="I111" s="170" t="s">
        <v>679</v>
      </c>
      <c r="J111" s="169">
        <v>358.75</v>
      </c>
      <c r="K111" s="169">
        <v>21509.11</v>
      </c>
      <c r="L111" s="172">
        <f t="shared" si="6"/>
        <v>358.75</v>
      </c>
      <c r="P111" s="204"/>
    </row>
    <row r="112" spans="2:16" ht="23.25" x14ac:dyDescent="0.25">
      <c r="B112" s="168" t="s">
        <v>1457</v>
      </c>
      <c r="C112" s="168" t="s">
        <v>676</v>
      </c>
      <c r="D112" s="168" t="s">
        <v>1535</v>
      </c>
      <c r="E112" s="168" t="s">
        <v>574</v>
      </c>
      <c r="F112" s="168"/>
      <c r="G112" s="168" t="s">
        <v>1537</v>
      </c>
      <c r="H112" s="168" t="s">
        <v>1512</v>
      </c>
      <c r="I112" s="170" t="s">
        <v>679</v>
      </c>
      <c r="J112" s="169">
        <v>237.72</v>
      </c>
      <c r="K112" s="169">
        <v>21746.83</v>
      </c>
      <c r="L112" s="172">
        <f t="shared" si="6"/>
        <v>237.72</v>
      </c>
      <c r="P112" s="204"/>
    </row>
    <row r="113" spans="2:16" ht="23.25" x14ac:dyDescent="0.25">
      <c r="B113" s="168" t="s">
        <v>1457</v>
      </c>
      <c r="C113" s="168" t="s">
        <v>676</v>
      </c>
      <c r="D113" s="168" t="s">
        <v>1535</v>
      </c>
      <c r="E113" s="168" t="s">
        <v>574</v>
      </c>
      <c r="F113" s="168"/>
      <c r="G113" s="168" t="s">
        <v>1522</v>
      </c>
      <c r="H113" s="168" t="s">
        <v>1512</v>
      </c>
      <c r="I113" s="170" t="s">
        <v>679</v>
      </c>
      <c r="J113" s="169">
        <v>195.19</v>
      </c>
      <c r="K113" s="169">
        <v>21942.02</v>
      </c>
      <c r="L113" s="172">
        <f t="shared" si="6"/>
        <v>195.19</v>
      </c>
      <c r="P113" s="204"/>
    </row>
    <row r="114" spans="2:16" ht="23.25" x14ac:dyDescent="0.25">
      <c r="B114" s="168" t="s">
        <v>1457</v>
      </c>
      <c r="C114" s="168" t="s">
        <v>676</v>
      </c>
      <c r="D114" s="168" t="s">
        <v>1535</v>
      </c>
      <c r="E114" s="168" t="s">
        <v>574</v>
      </c>
      <c r="F114" s="168"/>
      <c r="G114" s="168" t="s">
        <v>1518</v>
      </c>
      <c r="H114" s="168" t="s">
        <v>1512</v>
      </c>
      <c r="I114" s="170" t="s">
        <v>679</v>
      </c>
      <c r="J114" s="169">
        <v>151.19999999999999</v>
      </c>
      <c r="K114" s="169">
        <v>22093.22</v>
      </c>
      <c r="L114" s="172">
        <f t="shared" si="6"/>
        <v>151.19999999999999</v>
      </c>
      <c r="P114" s="204"/>
    </row>
    <row r="115" spans="2:16" ht="23.25" x14ac:dyDescent="0.25">
      <c r="B115" s="168" t="s">
        <v>1457</v>
      </c>
      <c r="C115" s="168" t="s">
        <v>676</v>
      </c>
      <c r="D115" s="168" t="s">
        <v>1535</v>
      </c>
      <c r="E115" s="168" t="s">
        <v>574</v>
      </c>
      <c r="F115" s="168"/>
      <c r="G115" s="168" t="s">
        <v>1521</v>
      </c>
      <c r="H115" s="168" t="s">
        <v>1512</v>
      </c>
      <c r="I115" s="170" t="s">
        <v>679</v>
      </c>
      <c r="J115" s="169">
        <v>102.88</v>
      </c>
      <c r="K115" s="169">
        <v>22196.1</v>
      </c>
      <c r="L115" s="172">
        <f t="shared" si="6"/>
        <v>102.88</v>
      </c>
      <c r="P115" s="204"/>
    </row>
    <row r="116" spans="2:16" ht="23.25" x14ac:dyDescent="0.25">
      <c r="B116" s="168" t="s">
        <v>1457</v>
      </c>
      <c r="C116" s="168" t="s">
        <v>676</v>
      </c>
      <c r="D116" s="168" t="s">
        <v>1535</v>
      </c>
      <c r="E116" s="168" t="s">
        <v>574</v>
      </c>
      <c r="F116" s="168"/>
      <c r="G116" s="168" t="s">
        <v>1519</v>
      </c>
      <c r="H116" s="168" t="s">
        <v>1512</v>
      </c>
      <c r="I116" s="170" t="s">
        <v>679</v>
      </c>
      <c r="J116" s="169">
        <v>653.66999999999996</v>
      </c>
      <c r="K116" s="169">
        <v>22849.77</v>
      </c>
      <c r="L116" s="172">
        <f t="shared" si="6"/>
        <v>653.66999999999996</v>
      </c>
      <c r="P116" s="204"/>
    </row>
    <row r="117" spans="2:16" ht="23.25" x14ac:dyDescent="0.25">
      <c r="B117" s="168" t="s">
        <v>1457</v>
      </c>
      <c r="C117" s="168" t="s">
        <v>676</v>
      </c>
      <c r="D117" s="168" t="s">
        <v>1535</v>
      </c>
      <c r="E117" s="168" t="s">
        <v>574</v>
      </c>
      <c r="F117" s="168"/>
      <c r="G117" s="168" t="s">
        <v>1520</v>
      </c>
      <c r="H117" s="168" t="s">
        <v>1512</v>
      </c>
      <c r="I117" s="170" t="s">
        <v>679</v>
      </c>
      <c r="J117" s="169">
        <v>48.25</v>
      </c>
      <c r="K117" s="169">
        <v>22898.02</v>
      </c>
      <c r="L117" s="172">
        <f t="shared" si="6"/>
        <v>48.25</v>
      </c>
      <c r="P117" s="204"/>
    </row>
    <row r="118" spans="2:16" ht="23.25" x14ac:dyDescent="0.25">
      <c r="B118" s="168" t="s">
        <v>1457</v>
      </c>
      <c r="C118" s="168" t="s">
        <v>676</v>
      </c>
      <c r="D118" s="168" t="s">
        <v>1535</v>
      </c>
      <c r="E118" s="168" t="s">
        <v>574</v>
      </c>
      <c r="F118" s="168"/>
      <c r="G118" s="168" t="s">
        <v>1532</v>
      </c>
      <c r="H118" s="168" t="s">
        <v>1512</v>
      </c>
      <c r="I118" s="170" t="s">
        <v>679</v>
      </c>
      <c r="J118" s="169">
        <v>102.61</v>
      </c>
      <c r="K118" s="169">
        <v>23000.63</v>
      </c>
      <c r="L118" s="172">
        <f t="shared" si="6"/>
        <v>102.61</v>
      </c>
      <c r="P118" s="204"/>
    </row>
    <row r="119" spans="2:16" ht="23.25" x14ac:dyDescent="0.25">
      <c r="B119" s="168" t="s">
        <v>1262</v>
      </c>
      <c r="C119" s="168" t="s">
        <v>681</v>
      </c>
      <c r="D119" s="168"/>
      <c r="E119" s="168" t="s">
        <v>574</v>
      </c>
      <c r="F119" s="168"/>
      <c r="G119" s="168" t="s">
        <v>1533</v>
      </c>
      <c r="H119" s="168" t="s">
        <v>1512</v>
      </c>
      <c r="I119" s="168" t="s">
        <v>585</v>
      </c>
      <c r="J119" s="169">
        <v>530.41999999999996</v>
      </c>
      <c r="K119" s="169">
        <v>23531.05</v>
      </c>
      <c r="L119" s="172">
        <f t="shared" si="6"/>
        <v>530.41999999999996</v>
      </c>
      <c r="P119" s="204"/>
    </row>
    <row r="120" spans="2:16" ht="23.25" x14ac:dyDescent="0.25">
      <c r="B120" s="168" t="s">
        <v>1287</v>
      </c>
      <c r="C120" s="168" t="s">
        <v>573</v>
      </c>
      <c r="D120" s="168"/>
      <c r="E120" s="168" t="s">
        <v>574</v>
      </c>
      <c r="F120" s="168" t="s">
        <v>952</v>
      </c>
      <c r="G120" s="168" t="s">
        <v>1472</v>
      </c>
      <c r="H120" s="168" t="s">
        <v>1512</v>
      </c>
      <c r="I120" s="168" t="s">
        <v>577</v>
      </c>
      <c r="J120" s="169">
        <v>685.16</v>
      </c>
      <c r="K120" s="169">
        <v>24216.21</v>
      </c>
      <c r="L120" s="172">
        <f t="shared" si="6"/>
        <v>685.16</v>
      </c>
      <c r="P120" s="204"/>
    </row>
    <row r="121" spans="2:16" ht="23.25" x14ac:dyDescent="0.25">
      <c r="B121" s="168" t="s">
        <v>616</v>
      </c>
      <c r="C121" s="168" t="s">
        <v>863</v>
      </c>
      <c r="D121" s="168"/>
      <c r="E121" s="168" t="s">
        <v>574</v>
      </c>
      <c r="F121" s="168"/>
      <c r="G121" s="168" t="s">
        <v>1538</v>
      </c>
      <c r="H121" s="168" t="s">
        <v>1512</v>
      </c>
      <c r="I121" s="168" t="s">
        <v>577</v>
      </c>
      <c r="J121" s="169">
        <v>-0.28000000000000003</v>
      </c>
      <c r="K121" s="169">
        <v>24215.93</v>
      </c>
      <c r="L121" s="172">
        <f t="shared" si="6"/>
        <v>-0.28000000000000003</v>
      </c>
      <c r="P121" s="204"/>
    </row>
    <row r="122" spans="2:16" ht="23.25" x14ac:dyDescent="0.25">
      <c r="B122" s="168" t="s">
        <v>616</v>
      </c>
      <c r="C122" s="168" t="s">
        <v>863</v>
      </c>
      <c r="D122" s="168"/>
      <c r="E122" s="168" t="s">
        <v>574</v>
      </c>
      <c r="F122" s="168"/>
      <c r="G122" s="168" t="s">
        <v>1538</v>
      </c>
      <c r="H122" s="168" t="s">
        <v>1512</v>
      </c>
      <c r="I122" s="168" t="s">
        <v>577</v>
      </c>
      <c r="J122" s="169">
        <v>-0.57999999999999996</v>
      </c>
      <c r="K122" s="169">
        <v>24215.35</v>
      </c>
      <c r="L122" s="172">
        <f t="shared" si="6"/>
        <v>-0.57999999999999996</v>
      </c>
      <c r="P122" s="204"/>
    </row>
    <row r="123" spans="2:16" ht="23.25" x14ac:dyDescent="0.25">
      <c r="B123" s="168" t="s">
        <v>616</v>
      </c>
      <c r="C123" s="168" t="s">
        <v>863</v>
      </c>
      <c r="D123" s="168"/>
      <c r="E123" s="168" t="s">
        <v>574</v>
      </c>
      <c r="F123" s="168"/>
      <c r="G123" s="168" t="s">
        <v>1538</v>
      </c>
      <c r="H123" s="168" t="s">
        <v>1512</v>
      </c>
      <c r="I123" s="168" t="s">
        <v>577</v>
      </c>
      <c r="J123" s="169">
        <v>-0.18</v>
      </c>
      <c r="K123" s="169">
        <v>24215.17</v>
      </c>
      <c r="L123" s="172">
        <f t="shared" si="6"/>
        <v>-0.18</v>
      </c>
      <c r="P123" s="204"/>
    </row>
    <row r="124" spans="2:16" ht="23.25" x14ac:dyDescent="0.25">
      <c r="B124" s="168" t="s">
        <v>616</v>
      </c>
      <c r="C124" s="168" t="s">
        <v>863</v>
      </c>
      <c r="D124" s="168"/>
      <c r="E124" s="168" t="s">
        <v>574</v>
      </c>
      <c r="F124" s="168"/>
      <c r="G124" s="168" t="s">
        <v>1538</v>
      </c>
      <c r="H124" s="168" t="s">
        <v>1512</v>
      </c>
      <c r="I124" s="168" t="s">
        <v>577</v>
      </c>
      <c r="J124" s="169">
        <v>-0.16</v>
      </c>
      <c r="K124" s="169">
        <v>24215.01</v>
      </c>
      <c r="L124" s="172">
        <f t="shared" si="6"/>
        <v>-0.16</v>
      </c>
      <c r="P124" s="204"/>
    </row>
    <row r="125" spans="2:16" ht="23.25" x14ac:dyDescent="0.25">
      <c r="B125" s="168" t="s">
        <v>616</v>
      </c>
      <c r="C125" s="168" t="s">
        <v>863</v>
      </c>
      <c r="D125" s="168"/>
      <c r="E125" s="168" t="s">
        <v>574</v>
      </c>
      <c r="F125" s="168"/>
      <c r="G125" s="168" t="s">
        <v>1538</v>
      </c>
      <c r="H125" s="168" t="s">
        <v>1512</v>
      </c>
      <c r="I125" s="168" t="s">
        <v>577</v>
      </c>
      <c r="J125" s="169">
        <v>-0.15</v>
      </c>
      <c r="K125" s="169">
        <v>24214.86</v>
      </c>
      <c r="L125" s="172">
        <f t="shared" si="6"/>
        <v>-0.15</v>
      </c>
      <c r="P125" s="204"/>
    </row>
    <row r="126" spans="2:16" ht="23.25" x14ac:dyDescent="0.25">
      <c r="B126" s="168" t="s">
        <v>616</v>
      </c>
      <c r="C126" s="168" t="s">
        <v>863</v>
      </c>
      <c r="D126" s="168"/>
      <c r="E126" s="168" t="s">
        <v>574</v>
      </c>
      <c r="F126" s="168"/>
      <c r="G126" s="168" t="s">
        <v>1538</v>
      </c>
      <c r="H126" s="168" t="s">
        <v>1512</v>
      </c>
      <c r="I126" s="168" t="s">
        <v>577</v>
      </c>
      <c r="J126" s="169">
        <v>-0.08</v>
      </c>
      <c r="K126" s="169">
        <v>24214.78</v>
      </c>
      <c r="L126" s="172">
        <f t="shared" si="6"/>
        <v>-0.08</v>
      </c>
      <c r="P126" s="204"/>
    </row>
    <row r="127" spans="2:16" ht="23.25" x14ac:dyDescent="0.25">
      <c r="B127" s="168" t="s">
        <v>616</v>
      </c>
      <c r="C127" s="168" t="s">
        <v>863</v>
      </c>
      <c r="D127" s="168"/>
      <c r="E127" s="168" t="s">
        <v>574</v>
      </c>
      <c r="F127" s="168"/>
      <c r="G127" s="168" t="s">
        <v>1538</v>
      </c>
      <c r="H127" s="168" t="s">
        <v>1512</v>
      </c>
      <c r="I127" s="168" t="s">
        <v>577</v>
      </c>
      <c r="J127" s="169">
        <v>-0.05</v>
      </c>
      <c r="K127" s="169">
        <v>24214.73</v>
      </c>
      <c r="L127" s="172">
        <f t="shared" si="6"/>
        <v>-0.05</v>
      </c>
      <c r="P127" s="204"/>
    </row>
    <row r="128" spans="2:16" ht="23.25" x14ac:dyDescent="0.25">
      <c r="B128" s="168" t="s">
        <v>617</v>
      </c>
      <c r="C128" s="168" t="s">
        <v>573</v>
      </c>
      <c r="D128" s="168"/>
      <c r="E128" s="168" t="s">
        <v>574</v>
      </c>
      <c r="F128" s="168" t="s">
        <v>1513</v>
      </c>
      <c r="G128" s="168"/>
      <c r="H128" s="168" t="s">
        <v>1512</v>
      </c>
      <c r="I128" s="168" t="s">
        <v>585</v>
      </c>
      <c r="J128" s="169">
        <v>298.52999999999997</v>
      </c>
      <c r="K128" s="169">
        <v>24513.26</v>
      </c>
      <c r="L128" s="172">
        <f t="shared" si="6"/>
        <v>298.52999999999997</v>
      </c>
      <c r="P128" s="204"/>
    </row>
    <row r="129" spans="2:16" ht="23.25" x14ac:dyDescent="0.25">
      <c r="B129" s="168" t="s">
        <v>786</v>
      </c>
      <c r="C129" s="168" t="s">
        <v>573</v>
      </c>
      <c r="D129" s="168"/>
      <c r="E129" s="168" t="s">
        <v>574</v>
      </c>
      <c r="F129" s="168" t="s">
        <v>1480</v>
      </c>
      <c r="G129" s="168" t="s">
        <v>1472</v>
      </c>
      <c r="H129" s="168" t="s">
        <v>1512</v>
      </c>
      <c r="I129" s="168" t="s">
        <v>742</v>
      </c>
      <c r="J129" s="169">
        <v>714.01</v>
      </c>
      <c r="K129" s="169">
        <v>25227.27</v>
      </c>
      <c r="L129" s="172">
        <f t="shared" ref="L129:L192" si="7">J129</f>
        <v>714.01</v>
      </c>
      <c r="P129" s="204"/>
    </row>
    <row r="130" spans="2:16" ht="23.25" x14ac:dyDescent="0.25">
      <c r="B130" s="168" t="s">
        <v>786</v>
      </c>
      <c r="C130" s="168" t="s">
        <v>573</v>
      </c>
      <c r="D130" s="168"/>
      <c r="E130" s="168" t="s">
        <v>574</v>
      </c>
      <c r="F130" s="168" t="s">
        <v>1456</v>
      </c>
      <c r="G130" s="168"/>
      <c r="H130" s="168" t="s">
        <v>1512</v>
      </c>
      <c r="I130" s="168" t="s">
        <v>585</v>
      </c>
      <c r="J130" s="169">
        <v>1051.76</v>
      </c>
      <c r="K130" s="169">
        <v>26279.03</v>
      </c>
      <c r="L130" s="172">
        <f t="shared" si="7"/>
        <v>1051.76</v>
      </c>
      <c r="P130" s="204"/>
    </row>
    <row r="131" spans="2:16" ht="23.25" x14ac:dyDescent="0.25">
      <c r="B131" s="168" t="s">
        <v>918</v>
      </c>
      <c r="C131" s="168" t="s">
        <v>573</v>
      </c>
      <c r="D131" s="168"/>
      <c r="E131" s="168" t="s">
        <v>574</v>
      </c>
      <c r="F131" s="168" t="s">
        <v>952</v>
      </c>
      <c r="G131" s="168" t="s">
        <v>1472</v>
      </c>
      <c r="H131" s="168" t="s">
        <v>1512</v>
      </c>
      <c r="I131" s="168" t="s">
        <v>581</v>
      </c>
      <c r="J131" s="169">
        <v>321.72000000000003</v>
      </c>
      <c r="K131" s="169">
        <v>26600.75</v>
      </c>
      <c r="L131" s="172">
        <f t="shared" si="7"/>
        <v>321.72000000000003</v>
      </c>
      <c r="P131" s="204"/>
    </row>
    <row r="132" spans="2:16" ht="23.25" x14ac:dyDescent="0.25">
      <c r="B132" s="168" t="s">
        <v>714</v>
      </c>
      <c r="C132" s="168" t="s">
        <v>676</v>
      </c>
      <c r="D132" s="168" t="s">
        <v>1539</v>
      </c>
      <c r="E132" s="168" t="s">
        <v>1453</v>
      </c>
      <c r="F132" s="168"/>
      <c r="G132" s="168" t="s">
        <v>1532</v>
      </c>
      <c r="H132" s="168" t="s">
        <v>1512</v>
      </c>
      <c r="I132" s="170" t="s">
        <v>679</v>
      </c>
      <c r="J132" s="169">
        <v>103.92</v>
      </c>
      <c r="K132" s="169">
        <v>26704.67</v>
      </c>
      <c r="L132" s="172">
        <f t="shared" si="7"/>
        <v>103.92</v>
      </c>
      <c r="P132" s="204"/>
    </row>
    <row r="133" spans="2:16" ht="23.25" x14ac:dyDescent="0.25">
      <c r="B133" s="168" t="s">
        <v>714</v>
      </c>
      <c r="C133" s="168" t="s">
        <v>676</v>
      </c>
      <c r="D133" s="168" t="s">
        <v>1539</v>
      </c>
      <c r="E133" s="168" t="s">
        <v>1453</v>
      </c>
      <c r="F133" s="168"/>
      <c r="G133" s="168" t="s">
        <v>1522</v>
      </c>
      <c r="H133" s="168" t="s">
        <v>1512</v>
      </c>
      <c r="I133" s="170" t="s">
        <v>679</v>
      </c>
      <c r="J133" s="169">
        <v>146.47999999999999</v>
      </c>
      <c r="K133" s="169">
        <v>26851.15</v>
      </c>
      <c r="L133" s="172">
        <f t="shared" si="7"/>
        <v>146.47999999999999</v>
      </c>
      <c r="P133" s="204"/>
    </row>
    <row r="134" spans="2:16" ht="23.25" x14ac:dyDescent="0.25">
      <c r="B134" s="168" t="s">
        <v>714</v>
      </c>
      <c r="C134" s="168" t="s">
        <v>676</v>
      </c>
      <c r="D134" s="168" t="s">
        <v>1539</v>
      </c>
      <c r="E134" s="168" t="s">
        <v>1453</v>
      </c>
      <c r="F134" s="168"/>
      <c r="G134" s="168" t="s">
        <v>1536</v>
      </c>
      <c r="H134" s="168" t="s">
        <v>1512</v>
      </c>
      <c r="I134" s="170" t="s">
        <v>679</v>
      </c>
      <c r="J134" s="169">
        <v>1309.03</v>
      </c>
      <c r="K134" s="169">
        <v>28160.18</v>
      </c>
      <c r="L134" s="172">
        <f t="shared" si="7"/>
        <v>1309.03</v>
      </c>
      <c r="P134" s="204"/>
    </row>
    <row r="135" spans="2:16" ht="23.25" x14ac:dyDescent="0.25">
      <c r="B135" s="168" t="s">
        <v>714</v>
      </c>
      <c r="C135" s="168" t="s">
        <v>676</v>
      </c>
      <c r="D135" s="168" t="s">
        <v>1539</v>
      </c>
      <c r="E135" s="168" t="s">
        <v>1453</v>
      </c>
      <c r="F135" s="168"/>
      <c r="G135" s="168" t="s">
        <v>1537</v>
      </c>
      <c r="H135" s="168" t="s">
        <v>1512</v>
      </c>
      <c r="I135" s="170" t="s">
        <v>679</v>
      </c>
      <c r="J135" s="169">
        <v>275.3</v>
      </c>
      <c r="K135" s="169">
        <v>28435.48</v>
      </c>
      <c r="L135" s="172">
        <f t="shared" si="7"/>
        <v>275.3</v>
      </c>
      <c r="P135" s="204"/>
    </row>
    <row r="136" spans="2:16" ht="23.25" x14ac:dyDescent="0.25">
      <c r="B136" s="168" t="s">
        <v>714</v>
      </c>
      <c r="C136" s="168" t="s">
        <v>676</v>
      </c>
      <c r="D136" s="168" t="s">
        <v>1539</v>
      </c>
      <c r="E136" s="168" t="s">
        <v>1453</v>
      </c>
      <c r="F136" s="168"/>
      <c r="G136" s="168" t="s">
        <v>1527</v>
      </c>
      <c r="H136" s="168" t="s">
        <v>1512</v>
      </c>
      <c r="I136" s="170" t="s">
        <v>679</v>
      </c>
      <c r="J136" s="169">
        <v>349.38</v>
      </c>
      <c r="K136" s="169">
        <v>28784.86</v>
      </c>
      <c r="L136" s="172">
        <f t="shared" si="7"/>
        <v>349.38</v>
      </c>
      <c r="P136" s="204"/>
    </row>
    <row r="137" spans="2:16" ht="23.25" x14ac:dyDescent="0.25">
      <c r="B137" s="168" t="s">
        <v>714</v>
      </c>
      <c r="C137" s="168" t="s">
        <v>676</v>
      </c>
      <c r="D137" s="168" t="s">
        <v>1539</v>
      </c>
      <c r="E137" s="168" t="s">
        <v>1453</v>
      </c>
      <c r="F137" s="168"/>
      <c r="G137" s="168" t="s">
        <v>1519</v>
      </c>
      <c r="H137" s="168" t="s">
        <v>1512</v>
      </c>
      <c r="I137" s="170" t="s">
        <v>679</v>
      </c>
      <c r="J137" s="169">
        <v>570.67999999999995</v>
      </c>
      <c r="K137" s="169">
        <v>29355.54</v>
      </c>
      <c r="L137" s="172">
        <f t="shared" si="7"/>
        <v>570.67999999999995</v>
      </c>
      <c r="P137" s="204"/>
    </row>
    <row r="138" spans="2:16" ht="23.25" x14ac:dyDescent="0.25">
      <c r="B138" s="168" t="s">
        <v>714</v>
      </c>
      <c r="C138" s="168" t="s">
        <v>676</v>
      </c>
      <c r="D138" s="168" t="s">
        <v>1539</v>
      </c>
      <c r="E138" s="168" t="s">
        <v>1453</v>
      </c>
      <c r="F138" s="168"/>
      <c r="G138" s="168" t="s">
        <v>1518</v>
      </c>
      <c r="H138" s="168" t="s">
        <v>1512</v>
      </c>
      <c r="I138" s="170" t="s">
        <v>679</v>
      </c>
      <c r="J138" s="169">
        <v>25.44</v>
      </c>
      <c r="K138" s="169">
        <v>29380.98</v>
      </c>
      <c r="L138" s="172">
        <f t="shared" si="7"/>
        <v>25.44</v>
      </c>
      <c r="P138" s="204"/>
    </row>
    <row r="139" spans="2:16" ht="23.25" x14ac:dyDescent="0.25">
      <c r="B139" s="168" t="s">
        <v>714</v>
      </c>
      <c r="C139" s="168" t="s">
        <v>676</v>
      </c>
      <c r="D139" s="168" t="s">
        <v>1539</v>
      </c>
      <c r="E139" s="168" t="s">
        <v>1453</v>
      </c>
      <c r="F139" s="168"/>
      <c r="G139" s="168" t="s">
        <v>1517</v>
      </c>
      <c r="H139" s="168" t="s">
        <v>1512</v>
      </c>
      <c r="I139" s="170" t="s">
        <v>679</v>
      </c>
      <c r="J139" s="169">
        <v>215.05</v>
      </c>
      <c r="K139" s="169">
        <v>29596.03</v>
      </c>
      <c r="L139" s="172">
        <f t="shared" si="7"/>
        <v>215.05</v>
      </c>
      <c r="P139" s="204"/>
    </row>
    <row r="140" spans="2:16" ht="23.25" x14ac:dyDescent="0.25">
      <c r="B140" s="168" t="s">
        <v>627</v>
      </c>
      <c r="C140" s="168" t="s">
        <v>573</v>
      </c>
      <c r="D140" s="168"/>
      <c r="E140" s="168" t="s">
        <v>574</v>
      </c>
      <c r="F140" s="168" t="s">
        <v>952</v>
      </c>
      <c r="G140" s="168" t="s">
        <v>1472</v>
      </c>
      <c r="H140" s="168" t="s">
        <v>1512</v>
      </c>
      <c r="I140" s="168" t="s">
        <v>577</v>
      </c>
      <c r="J140" s="169">
        <v>870.45</v>
      </c>
      <c r="K140" s="169">
        <v>30466.48</v>
      </c>
      <c r="L140" s="172">
        <f t="shared" si="7"/>
        <v>870.45</v>
      </c>
      <c r="P140" s="204"/>
    </row>
    <row r="141" spans="2:16" ht="23.25" x14ac:dyDescent="0.25">
      <c r="B141" s="168" t="s">
        <v>1325</v>
      </c>
      <c r="C141" s="168" t="s">
        <v>681</v>
      </c>
      <c r="D141" s="168"/>
      <c r="E141" s="168" t="s">
        <v>574</v>
      </c>
      <c r="F141" s="168"/>
      <c r="G141" s="168" t="s">
        <v>1533</v>
      </c>
      <c r="H141" s="168" t="s">
        <v>1512</v>
      </c>
      <c r="I141" s="168" t="s">
        <v>585</v>
      </c>
      <c r="J141" s="169">
        <v>530.41999999999996</v>
      </c>
      <c r="K141" s="169">
        <v>30996.9</v>
      </c>
      <c r="L141" s="172">
        <f t="shared" si="7"/>
        <v>530.41999999999996</v>
      </c>
      <c r="P141" s="204"/>
    </row>
    <row r="142" spans="2:16" ht="34.5" x14ac:dyDescent="0.25">
      <c r="B142" s="168" t="s">
        <v>1334</v>
      </c>
      <c r="C142" s="168" t="s">
        <v>573</v>
      </c>
      <c r="D142" s="168"/>
      <c r="E142" s="168" t="s">
        <v>574</v>
      </c>
      <c r="F142" s="168" t="s">
        <v>1513</v>
      </c>
      <c r="G142" s="168" t="s">
        <v>1540</v>
      </c>
      <c r="H142" s="168" t="s">
        <v>1512</v>
      </c>
      <c r="I142" s="168" t="s">
        <v>585</v>
      </c>
      <c r="J142" s="169">
        <v>271.08999999999997</v>
      </c>
      <c r="K142" s="169">
        <v>31267.99</v>
      </c>
      <c r="L142" s="172">
        <f t="shared" si="7"/>
        <v>271.08999999999997</v>
      </c>
      <c r="P142" s="204"/>
    </row>
    <row r="143" spans="2:16" ht="23.25" x14ac:dyDescent="0.25">
      <c r="B143" s="168" t="s">
        <v>1342</v>
      </c>
      <c r="C143" s="168" t="s">
        <v>573</v>
      </c>
      <c r="D143" s="168"/>
      <c r="E143" s="168" t="s">
        <v>574</v>
      </c>
      <c r="F143" s="168" t="s">
        <v>1456</v>
      </c>
      <c r="G143" s="168" t="s">
        <v>1541</v>
      </c>
      <c r="H143" s="168" t="s">
        <v>1512</v>
      </c>
      <c r="I143" s="168" t="s">
        <v>585</v>
      </c>
      <c r="J143" s="169">
        <v>1017.27</v>
      </c>
      <c r="K143" s="169">
        <v>32285.26</v>
      </c>
      <c r="L143" s="172">
        <f t="shared" si="7"/>
        <v>1017.27</v>
      </c>
      <c r="P143" s="204"/>
    </row>
    <row r="144" spans="2:16" ht="23.25" x14ac:dyDescent="0.25">
      <c r="B144" s="168" t="s">
        <v>1344</v>
      </c>
      <c r="C144" s="168" t="s">
        <v>681</v>
      </c>
      <c r="D144" s="168"/>
      <c r="E144" s="168" t="s">
        <v>574</v>
      </c>
      <c r="F144" s="168" t="s">
        <v>1473</v>
      </c>
      <c r="G144" s="168" t="s">
        <v>1542</v>
      </c>
      <c r="H144" s="168" t="s">
        <v>1512</v>
      </c>
      <c r="I144" s="168" t="s">
        <v>585</v>
      </c>
      <c r="J144" s="169">
        <v>5175</v>
      </c>
      <c r="K144" s="169">
        <v>37460.26</v>
      </c>
      <c r="L144" s="172">
        <f t="shared" si="7"/>
        <v>5175</v>
      </c>
      <c r="P144" s="204"/>
    </row>
    <row r="145" spans="2:16" ht="23.25" x14ac:dyDescent="0.25">
      <c r="B145" s="168" t="s">
        <v>794</v>
      </c>
      <c r="C145" s="168" t="s">
        <v>573</v>
      </c>
      <c r="D145" s="168"/>
      <c r="E145" s="168" t="s">
        <v>574</v>
      </c>
      <c r="F145" s="168" t="s">
        <v>952</v>
      </c>
      <c r="G145" s="168" t="s">
        <v>1472</v>
      </c>
      <c r="H145" s="168" t="s">
        <v>1512</v>
      </c>
      <c r="I145" s="168" t="s">
        <v>581</v>
      </c>
      <c r="J145" s="169">
        <v>365.18</v>
      </c>
      <c r="K145" s="169">
        <v>37825.440000000002</v>
      </c>
      <c r="L145" s="172">
        <f t="shared" si="7"/>
        <v>365.18</v>
      </c>
      <c r="P145" s="204"/>
    </row>
    <row r="146" spans="2:16" ht="23.25" x14ac:dyDescent="0.25">
      <c r="B146" s="168" t="s">
        <v>1366</v>
      </c>
      <c r="C146" s="168" t="s">
        <v>676</v>
      </c>
      <c r="D146" s="168" t="s">
        <v>1543</v>
      </c>
      <c r="E146" s="168" t="s">
        <v>1453</v>
      </c>
      <c r="F146" s="168"/>
      <c r="G146" s="168" t="s">
        <v>1537</v>
      </c>
      <c r="H146" s="168" t="s">
        <v>1512</v>
      </c>
      <c r="I146" s="170" t="s">
        <v>679</v>
      </c>
      <c r="J146" s="169">
        <v>275.58999999999997</v>
      </c>
      <c r="K146" s="169">
        <v>38101.03</v>
      </c>
      <c r="L146" s="172">
        <f t="shared" si="7"/>
        <v>275.58999999999997</v>
      </c>
      <c r="P146" s="204"/>
    </row>
    <row r="147" spans="2:16" ht="23.25" x14ac:dyDescent="0.25">
      <c r="B147" s="168" t="s">
        <v>1366</v>
      </c>
      <c r="C147" s="168" t="s">
        <v>676</v>
      </c>
      <c r="D147" s="168" t="s">
        <v>1543</v>
      </c>
      <c r="E147" s="168" t="s">
        <v>1453</v>
      </c>
      <c r="F147" s="168"/>
      <c r="G147" s="168" t="s">
        <v>1544</v>
      </c>
      <c r="H147" s="168" t="s">
        <v>1512</v>
      </c>
      <c r="I147" s="170" t="s">
        <v>679</v>
      </c>
      <c r="J147" s="169">
        <v>403.56</v>
      </c>
      <c r="K147" s="169">
        <v>38504.589999999997</v>
      </c>
      <c r="L147" s="172">
        <f t="shared" si="7"/>
        <v>403.56</v>
      </c>
      <c r="P147" s="204"/>
    </row>
    <row r="148" spans="2:16" ht="23.25" x14ac:dyDescent="0.25">
      <c r="B148" s="168" t="s">
        <v>1366</v>
      </c>
      <c r="C148" s="168" t="s">
        <v>676</v>
      </c>
      <c r="D148" s="168" t="s">
        <v>1543</v>
      </c>
      <c r="E148" s="168" t="s">
        <v>1453</v>
      </c>
      <c r="F148" s="168"/>
      <c r="G148" s="168" t="s">
        <v>1519</v>
      </c>
      <c r="H148" s="168" t="s">
        <v>1512</v>
      </c>
      <c r="I148" s="170" t="s">
        <v>679</v>
      </c>
      <c r="J148" s="169">
        <v>254.38</v>
      </c>
      <c r="K148" s="169">
        <v>38758.97</v>
      </c>
      <c r="L148" s="172">
        <f t="shared" si="7"/>
        <v>254.38</v>
      </c>
      <c r="P148" s="204"/>
    </row>
    <row r="149" spans="2:16" ht="23.25" x14ac:dyDescent="0.25">
      <c r="B149" s="168" t="s">
        <v>1366</v>
      </c>
      <c r="C149" s="168" t="s">
        <v>676</v>
      </c>
      <c r="D149" s="168" t="s">
        <v>1543</v>
      </c>
      <c r="E149" s="168" t="s">
        <v>1453</v>
      </c>
      <c r="F149" s="168"/>
      <c r="G149" s="168" t="s">
        <v>1527</v>
      </c>
      <c r="H149" s="168" t="s">
        <v>1512</v>
      </c>
      <c r="I149" s="170" t="s">
        <v>679</v>
      </c>
      <c r="J149" s="169">
        <v>198.22</v>
      </c>
      <c r="K149" s="169">
        <v>38957.19</v>
      </c>
      <c r="L149" s="172">
        <f t="shared" si="7"/>
        <v>198.22</v>
      </c>
      <c r="P149" s="204"/>
    </row>
    <row r="150" spans="2:16" ht="23.25" x14ac:dyDescent="0.25">
      <c r="B150" s="168" t="s">
        <v>1366</v>
      </c>
      <c r="C150" s="168" t="s">
        <v>676</v>
      </c>
      <c r="D150" s="168" t="s">
        <v>1543</v>
      </c>
      <c r="E150" s="168" t="s">
        <v>1453</v>
      </c>
      <c r="F150" s="168"/>
      <c r="G150" s="168" t="s">
        <v>1545</v>
      </c>
      <c r="H150" s="168" t="s">
        <v>1512</v>
      </c>
      <c r="I150" s="170" t="s">
        <v>679</v>
      </c>
      <c r="J150" s="169">
        <v>172.96</v>
      </c>
      <c r="K150" s="169">
        <v>39130.15</v>
      </c>
      <c r="L150" s="172">
        <f t="shared" si="7"/>
        <v>172.96</v>
      </c>
      <c r="P150" s="204"/>
    </row>
    <row r="151" spans="2:16" ht="23.25" x14ac:dyDescent="0.25">
      <c r="B151" s="168" t="s">
        <v>1366</v>
      </c>
      <c r="C151" s="168" t="s">
        <v>676</v>
      </c>
      <c r="D151" s="168" t="s">
        <v>1543</v>
      </c>
      <c r="E151" s="168" t="s">
        <v>1453</v>
      </c>
      <c r="F151" s="168"/>
      <c r="G151" s="168" t="s">
        <v>1522</v>
      </c>
      <c r="H151" s="168" t="s">
        <v>1512</v>
      </c>
      <c r="I151" s="170" t="s">
        <v>679</v>
      </c>
      <c r="J151" s="169">
        <v>112.86</v>
      </c>
      <c r="K151" s="169">
        <v>39243.01</v>
      </c>
      <c r="L151" s="172">
        <f t="shared" si="7"/>
        <v>112.86</v>
      </c>
      <c r="P151" s="204"/>
    </row>
    <row r="152" spans="2:16" ht="23.25" x14ac:dyDescent="0.25">
      <c r="B152" s="168" t="s">
        <v>1366</v>
      </c>
      <c r="C152" s="168" t="s">
        <v>676</v>
      </c>
      <c r="D152" s="168" t="s">
        <v>1543</v>
      </c>
      <c r="E152" s="168" t="s">
        <v>1453</v>
      </c>
      <c r="F152" s="168"/>
      <c r="G152" s="168" t="s">
        <v>1536</v>
      </c>
      <c r="H152" s="168" t="s">
        <v>1512</v>
      </c>
      <c r="I152" s="170" t="s">
        <v>679</v>
      </c>
      <c r="J152" s="169">
        <v>853.32</v>
      </c>
      <c r="K152" s="169">
        <v>40096.33</v>
      </c>
      <c r="L152" s="172">
        <f t="shared" si="7"/>
        <v>853.32</v>
      </c>
      <c r="P152" s="204"/>
    </row>
    <row r="153" spans="2:16" ht="23.25" x14ac:dyDescent="0.25">
      <c r="B153" s="168" t="s">
        <v>1366</v>
      </c>
      <c r="C153" s="168" t="s">
        <v>676</v>
      </c>
      <c r="D153" s="168" t="s">
        <v>1543</v>
      </c>
      <c r="E153" s="168" t="s">
        <v>1453</v>
      </c>
      <c r="F153" s="168"/>
      <c r="G153" s="168" t="s">
        <v>1517</v>
      </c>
      <c r="H153" s="168" t="s">
        <v>1512</v>
      </c>
      <c r="I153" s="170" t="s">
        <v>679</v>
      </c>
      <c r="J153" s="169">
        <v>43.51</v>
      </c>
      <c r="K153" s="169">
        <v>40139.839999999997</v>
      </c>
      <c r="L153" s="172">
        <f t="shared" si="7"/>
        <v>43.51</v>
      </c>
      <c r="P153" s="204"/>
    </row>
    <row r="154" spans="2:16" ht="23.25" x14ac:dyDescent="0.25">
      <c r="B154" s="168" t="s">
        <v>1366</v>
      </c>
      <c r="C154" s="168" t="s">
        <v>676</v>
      </c>
      <c r="D154" s="168" t="s">
        <v>1543</v>
      </c>
      <c r="E154" s="168" t="s">
        <v>1453</v>
      </c>
      <c r="F154" s="168"/>
      <c r="G154" s="168" t="s">
        <v>1532</v>
      </c>
      <c r="H154" s="168" t="s">
        <v>1512</v>
      </c>
      <c r="I154" s="170" t="s">
        <v>679</v>
      </c>
      <c r="J154" s="169">
        <v>63.17</v>
      </c>
      <c r="K154" s="169">
        <v>40203.01</v>
      </c>
      <c r="L154" s="172">
        <f t="shared" si="7"/>
        <v>63.17</v>
      </c>
      <c r="P154" s="204"/>
    </row>
    <row r="155" spans="2:16" ht="23.25" x14ac:dyDescent="0.25">
      <c r="B155" s="168" t="s">
        <v>1546</v>
      </c>
      <c r="C155" s="168" t="s">
        <v>573</v>
      </c>
      <c r="D155" s="168"/>
      <c r="E155" s="168" t="s">
        <v>574</v>
      </c>
      <c r="F155" s="168" t="s">
        <v>952</v>
      </c>
      <c r="G155" s="168" t="s">
        <v>1472</v>
      </c>
      <c r="H155" s="168" t="s">
        <v>1512</v>
      </c>
      <c r="I155" s="168" t="s">
        <v>577</v>
      </c>
      <c r="J155" s="169">
        <v>1097.46</v>
      </c>
      <c r="K155" s="169">
        <v>41300.47</v>
      </c>
      <c r="L155" s="172">
        <f t="shared" si="7"/>
        <v>1097.46</v>
      </c>
      <c r="P155" s="204"/>
    </row>
    <row r="156" spans="2:16" ht="34.5" x14ac:dyDescent="0.25">
      <c r="B156" s="168" t="s">
        <v>1547</v>
      </c>
      <c r="C156" s="168" t="s">
        <v>573</v>
      </c>
      <c r="D156" s="168"/>
      <c r="E156" s="168" t="s">
        <v>574</v>
      </c>
      <c r="F156" s="168" t="s">
        <v>1513</v>
      </c>
      <c r="G156" s="168" t="s">
        <v>1548</v>
      </c>
      <c r="H156" s="168" t="s">
        <v>1512</v>
      </c>
      <c r="I156" s="168" t="s">
        <v>585</v>
      </c>
      <c r="J156" s="169">
        <v>225.9</v>
      </c>
      <c r="K156" s="169">
        <v>41526.370000000003</v>
      </c>
      <c r="L156" s="172">
        <f t="shared" si="7"/>
        <v>225.9</v>
      </c>
      <c r="P156" s="204"/>
    </row>
    <row r="157" spans="2:16" ht="23.25" x14ac:dyDescent="0.25">
      <c r="B157" s="168" t="s">
        <v>948</v>
      </c>
      <c r="C157" s="168" t="s">
        <v>573</v>
      </c>
      <c r="D157" s="168"/>
      <c r="E157" s="168" t="s">
        <v>574</v>
      </c>
      <c r="F157" s="168" t="s">
        <v>1456</v>
      </c>
      <c r="G157" s="168" t="s">
        <v>1549</v>
      </c>
      <c r="H157" s="168" t="s">
        <v>1512</v>
      </c>
      <c r="I157" s="168" t="s">
        <v>585</v>
      </c>
      <c r="J157" s="169">
        <v>982.35</v>
      </c>
      <c r="K157" s="169">
        <v>42508.72</v>
      </c>
      <c r="L157" s="172">
        <f t="shared" si="7"/>
        <v>982.35</v>
      </c>
      <c r="P157" s="204"/>
    </row>
    <row r="158" spans="2:16" ht="23.25" x14ac:dyDescent="0.25">
      <c r="B158" s="168" t="s">
        <v>951</v>
      </c>
      <c r="C158" s="168" t="s">
        <v>573</v>
      </c>
      <c r="D158" s="168"/>
      <c r="E158" s="168" t="s">
        <v>574</v>
      </c>
      <c r="F158" s="168" t="s">
        <v>952</v>
      </c>
      <c r="G158" s="168" t="s">
        <v>1472</v>
      </c>
      <c r="H158" s="168" t="s">
        <v>1512</v>
      </c>
      <c r="I158" s="168" t="s">
        <v>581</v>
      </c>
      <c r="J158" s="169">
        <v>357.24</v>
      </c>
      <c r="K158" s="169">
        <v>42865.96</v>
      </c>
      <c r="L158" s="172">
        <f t="shared" si="7"/>
        <v>357.24</v>
      </c>
      <c r="P158" s="204"/>
    </row>
    <row r="159" spans="2:16" ht="23.25" x14ac:dyDescent="0.25">
      <c r="B159" s="168" t="s">
        <v>1550</v>
      </c>
      <c r="C159" s="168" t="s">
        <v>676</v>
      </c>
      <c r="D159" s="168" t="s">
        <v>1551</v>
      </c>
      <c r="E159" s="168" t="s">
        <v>1453</v>
      </c>
      <c r="F159" s="168"/>
      <c r="G159" s="168" t="s">
        <v>1537</v>
      </c>
      <c r="H159" s="168" t="s">
        <v>1512</v>
      </c>
      <c r="I159" s="170" t="s">
        <v>679</v>
      </c>
      <c r="J159" s="169">
        <v>164.24</v>
      </c>
      <c r="K159" s="169">
        <v>43030.2</v>
      </c>
      <c r="L159" s="172">
        <f t="shared" si="7"/>
        <v>164.24</v>
      </c>
      <c r="P159" s="204"/>
    </row>
    <row r="160" spans="2:16" ht="23.25" x14ac:dyDescent="0.25">
      <c r="B160" s="168" t="s">
        <v>1550</v>
      </c>
      <c r="C160" s="168" t="s">
        <v>676</v>
      </c>
      <c r="D160" s="168" t="s">
        <v>1551</v>
      </c>
      <c r="E160" s="168" t="s">
        <v>1453</v>
      </c>
      <c r="F160" s="168"/>
      <c r="G160" s="168" t="s">
        <v>1552</v>
      </c>
      <c r="H160" s="168" t="s">
        <v>1512</v>
      </c>
      <c r="I160" s="170" t="s">
        <v>679</v>
      </c>
      <c r="J160" s="169">
        <v>288.66000000000003</v>
      </c>
      <c r="K160" s="169">
        <v>43318.86</v>
      </c>
      <c r="L160" s="172">
        <f t="shared" si="7"/>
        <v>288.66000000000003</v>
      </c>
      <c r="P160" s="204"/>
    </row>
    <row r="161" spans="2:16" ht="23.25" x14ac:dyDescent="0.25">
      <c r="B161" s="168" t="s">
        <v>1550</v>
      </c>
      <c r="C161" s="168" t="s">
        <v>676</v>
      </c>
      <c r="D161" s="168" t="s">
        <v>1551</v>
      </c>
      <c r="E161" s="168" t="s">
        <v>1453</v>
      </c>
      <c r="F161" s="168"/>
      <c r="G161" s="168" t="s">
        <v>1545</v>
      </c>
      <c r="H161" s="168" t="s">
        <v>1512</v>
      </c>
      <c r="I161" s="170" t="s">
        <v>679</v>
      </c>
      <c r="J161" s="169">
        <v>307.8</v>
      </c>
      <c r="K161" s="169">
        <v>43626.66</v>
      </c>
      <c r="L161" s="172">
        <f t="shared" si="7"/>
        <v>307.8</v>
      </c>
      <c r="P161" s="204"/>
    </row>
    <row r="162" spans="2:16" ht="23.25" x14ac:dyDescent="0.25">
      <c r="B162" s="168" t="s">
        <v>1550</v>
      </c>
      <c r="C162" s="168" t="s">
        <v>676</v>
      </c>
      <c r="D162" s="168" t="s">
        <v>1551</v>
      </c>
      <c r="E162" s="168" t="s">
        <v>1453</v>
      </c>
      <c r="F162" s="168"/>
      <c r="G162" s="168" t="s">
        <v>1536</v>
      </c>
      <c r="H162" s="168" t="s">
        <v>1512</v>
      </c>
      <c r="I162" s="170" t="s">
        <v>679</v>
      </c>
      <c r="J162" s="169">
        <v>817.54</v>
      </c>
      <c r="K162" s="169">
        <v>44444.2</v>
      </c>
      <c r="L162" s="172">
        <f t="shared" si="7"/>
        <v>817.54</v>
      </c>
      <c r="P162" s="204"/>
    </row>
    <row r="163" spans="2:16" ht="23.25" x14ac:dyDescent="0.25">
      <c r="B163" s="168" t="s">
        <v>1550</v>
      </c>
      <c r="C163" s="168" t="s">
        <v>676</v>
      </c>
      <c r="D163" s="168" t="s">
        <v>1551</v>
      </c>
      <c r="E163" s="168" t="s">
        <v>1453</v>
      </c>
      <c r="F163" s="168"/>
      <c r="G163" s="168" t="s">
        <v>1527</v>
      </c>
      <c r="H163" s="168" t="s">
        <v>1512</v>
      </c>
      <c r="I163" s="170" t="s">
        <v>679</v>
      </c>
      <c r="J163" s="169">
        <v>124.11</v>
      </c>
      <c r="K163" s="169">
        <v>44568.31</v>
      </c>
      <c r="L163" s="172">
        <f t="shared" si="7"/>
        <v>124.11</v>
      </c>
      <c r="P163" s="204"/>
    </row>
    <row r="164" spans="2:16" ht="23.25" x14ac:dyDescent="0.25">
      <c r="B164" s="168" t="s">
        <v>1550</v>
      </c>
      <c r="C164" s="168" t="s">
        <v>676</v>
      </c>
      <c r="D164" s="168" t="s">
        <v>1551</v>
      </c>
      <c r="E164" s="168" t="s">
        <v>1453</v>
      </c>
      <c r="F164" s="168"/>
      <c r="G164" s="168" t="s">
        <v>1544</v>
      </c>
      <c r="H164" s="168" t="s">
        <v>1512</v>
      </c>
      <c r="I164" s="170" t="s">
        <v>679</v>
      </c>
      <c r="J164" s="169">
        <v>878.98</v>
      </c>
      <c r="K164" s="169">
        <v>45447.29</v>
      </c>
      <c r="L164" s="172">
        <f t="shared" si="7"/>
        <v>878.98</v>
      </c>
      <c r="P164" s="204"/>
    </row>
    <row r="165" spans="2:16" ht="23.25" x14ac:dyDescent="0.25">
      <c r="B165" s="168" t="s">
        <v>1550</v>
      </c>
      <c r="C165" s="168" t="s">
        <v>676</v>
      </c>
      <c r="D165" s="168" t="s">
        <v>1551</v>
      </c>
      <c r="E165" s="168" t="s">
        <v>1453</v>
      </c>
      <c r="F165" s="168"/>
      <c r="G165" s="168" t="s">
        <v>1532</v>
      </c>
      <c r="H165" s="168" t="s">
        <v>1512</v>
      </c>
      <c r="I165" s="170" t="s">
        <v>679</v>
      </c>
      <c r="J165" s="169">
        <v>44.96</v>
      </c>
      <c r="K165" s="169">
        <v>45492.25</v>
      </c>
      <c r="L165" s="172">
        <f t="shared" si="7"/>
        <v>44.96</v>
      </c>
      <c r="P165" s="204"/>
    </row>
    <row r="166" spans="2:16" ht="23.25" x14ac:dyDescent="0.25">
      <c r="B166" s="168" t="s">
        <v>1550</v>
      </c>
      <c r="C166" s="168" t="s">
        <v>676</v>
      </c>
      <c r="D166" s="168" t="s">
        <v>1551</v>
      </c>
      <c r="E166" s="168" t="s">
        <v>1453</v>
      </c>
      <c r="F166" s="168"/>
      <c r="G166" s="168" t="s">
        <v>1522</v>
      </c>
      <c r="H166" s="168" t="s">
        <v>1512</v>
      </c>
      <c r="I166" s="170" t="s">
        <v>679</v>
      </c>
      <c r="J166" s="169">
        <v>32.65</v>
      </c>
      <c r="K166" s="169">
        <v>45524.9</v>
      </c>
      <c r="L166" s="172">
        <f t="shared" si="7"/>
        <v>32.65</v>
      </c>
      <c r="P166" s="204"/>
    </row>
    <row r="167" spans="2:16" ht="23.25" x14ac:dyDescent="0.25">
      <c r="B167" s="168" t="s">
        <v>1550</v>
      </c>
      <c r="C167" s="168" t="s">
        <v>676</v>
      </c>
      <c r="D167" s="168" t="s">
        <v>1551</v>
      </c>
      <c r="E167" s="168" t="s">
        <v>1453</v>
      </c>
      <c r="F167" s="168"/>
      <c r="G167" s="168" t="s">
        <v>1519</v>
      </c>
      <c r="H167" s="168" t="s">
        <v>1512</v>
      </c>
      <c r="I167" s="170" t="s">
        <v>679</v>
      </c>
      <c r="J167" s="169">
        <v>70.069999999999993</v>
      </c>
      <c r="K167" s="169">
        <v>45594.97</v>
      </c>
      <c r="L167" s="172">
        <f t="shared" si="7"/>
        <v>70.069999999999993</v>
      </c>
      <c r="P167" s="204"/>
    </row>
    <row r="168" spans="2:16" ht="23.25" x14ac:dyDescent="0.25">
      <c r="B168" s="168" t="s">
        <v>652</v>
      </c>
      <c r="C168" s="168" t="s">
        <v>676</v>
      </c>
      <c r="D168" s="168" t="s">
        <v>1553</v>
      </c>
      <c r="E168" s="168" t="s">
        <v>1453</v>
      </c>
      <c r="F168" s="168"/>
      <c r="G168" s="168" t="s">
        <v>1554</v>
      </c>
      <c r="H168" s="168" t="s">
        <v>1512</v>
      </c>
      <c r="I168" s="170" t="s">
        <v>679</v>
      </c>
      <c r="J168" s="169">
        <v>725.27</v>
      </c>
      <c r="K168" s="169">
        <v>46320.24</v>
      </c>
      <c r="L168" s="172">
        <f t="shared" si="7"/>
        <v>725.27</v>
      </c>
      <c r="P168" s="204"/>
    </row>
    <row r="169" spans="2:16" ht="23.25" x14ac:dyDescent="0.25">
      <c r="B169" s="168" t="s">
        <v>652</v>
      </c>
      <c r="C169" s="168" t="s">
        <v>676</v>
      </c>
      <c r="D169" s="168" t="s">
        <v>1555</v>
      </c>
      <c r="E169" s="168" t="s">
        <v>1453</v>
      </c>
      <c r="F169" s="168"/>
      <c r="G169" s="168" t="s">
        <v>1554</v>
      </c>
      <c r="H169" s="168" t="s">
        <v>1512</v>
      </c>
      <c r="I169" s="170" t="s">
        <v>679</v>
      </c>
      <c r="J169" s="169">
        <v>582.11</v>
      </c>
      <c r="K169" s="169">
        <v>46902.35</v>
      </c>
      <c r="L169" s="172">
        <f t="shared" si="7"/>
        <v>582.11</v>
      </c>
      <c r="P169" s="204"/>
    </row>
    <row r="170" spans="2:16" ht="23.25" x14ac:dyDescent="0.25">
      <c r="B170" s="168" t="s">
        <v>1380</v>
      </c>
      <c r="C170" s="168" t="s">
        <v>573</v>
      </c>
      <c r="D170" s="168"/>
      <c r="E170" s="168" t="s">
        <v>574</v>
      </c>
      <c r="F170" s="168" t="s">
        <v>952</v>
      </c>
      <c r="G170" s="168" t="s">
        <v>1472</v>
      </c>
      <c r="H170" s="168" t="s">
        <v>1512</v>
      </c>
      <c r="I170" s="168" t="s">
        <v>577</v>
      </c>
      <c r="J170" s="169">
        <v>1181.4100000000001</v>
      </c>
      <c r="K170" s="169">
        <v>48083.76</v>
      </c>
      <c r="L170" s="172">
        <f t="shared" si="7"/>
        <v>1181.4100000000001</v>
      </c>
      <c r="P170" s="204"/>
    </row>
    <row r="171" spans="2:16" ht="34.5" x14ac:dyDescent="0.25">
      <c r="B171" s="168" t="s">
        <v>1384</v>
      </c>
      <c r="C171" s="168" t="s">
        <v>573</v>
      </c>
      <c r="D171" s="168"/>
      <c r="E171" s="168" t="s">
        <v>574</v>
      </c>
      <c r="F171" s="168" t="s">
        <v>1513</v>
      </c>
      <c r="G171" s="168" t="s">
        <v>1556</v>
      </c>
      <c r="H171" s="168" t="s">
        <v>1512</v>
      </c>
      <c r="I171" s="168" t="s">
        <v>585</v>
      </c>
      <c r="J171" s="169">
        <v>195.31</v>
      </c>
      <c r="K171" s="169">
        <v>48279.07</v>
      </c>
      <c r="L171" s="172">
        <f t="shared" si="7"/>
        <v>195.31</v>
      </c>
      <c r="P171" s="204"/>
    </row>
    <row r="172" spans="2:16" ht="23.25" x14ac:dyDescent="0.25">
      <c r="B172" s="168" t="s">
        <v>977</v>
      </c>
      <c r="C172" s="168" t="s">
        <v>573</v>
      </c>
      <c r="D172" s="168"/>
      <c r="E172" s="168" t="s">
        <v>574</v>
      </c>
      <c r="F172" s="168" t="s">
        <v>1456</v>
      </c>
      <c r="G172" s="168"/>
      <c r="H172" s="168" t="s">
        <v>1512</v>
      </c>
      <c r="I172" s="168" t="s">
        <v>585</v>
      </c>
      <c r="J172" s="169">
        <v>947</v>
      </c>
      <c r="K172" s="169">
        <v>49226.07</v>
      </c>
      <c r="L172" s="172">
        <f t="shared" si="7"/>
        <v>947</v>
      </c>
      <c r="P172" s="204"/>
    </row>
    <row r="173" spans="2:16" ht="23.25" x14ac:dyDescent="0.25">
      <c r="B173" s="168" t="s">
        <v>662</v>
      </c>
      <c r="C173" s="168" t="s">
        <v>676</v>
      </c>
      <c r="D173" s="168" t="s">
        <v>1557</v>
      </c>
      <c r="E173" s="168" t="s">
        <v>1453</v>
      </c>
      <c r="F173" s="168"/>
      <c r="G173" s="168" t="s">
        <v>1552</v>
      </c>
      <c r="H173" s="168" t="s">
        <v>1512</v>
      </c>
      <c r="I173" s="170" t="s">
        <v>679</v>
      </c>
      <c r="J173" s="169">
        <v>334.3</v>
      </c>
      <c r="K173" s="169">
        <v>49560.37</v>
      </c>
      <c r="L173" s="172">
        <f t="shared" si="7"/>
        <v>334.3</v>
      </c>
      <c r="P173" s="204"/>
    </row>
    <row r="174" spans="2:16" ht="23.25" x14ac:dyDescent="0.25">
      <c r="B174" s="168" t="s">
        <v>662</v>
      </c>
      <c r="C174" s="168" t="s">
        <v>676</v>
      </c>
      <c r="D174" s="168" t="s">
        <v>1557</v>
      </c>
      <c r="E174" s="168" t="s">
        <v>1453</v>
      </c>
      <c r="F174" s="168"/>
      <c r="G174" s="168" t="s">
        <v>1536</v>
      </c>
      <c r="H174" s="168" t="s">
        <v>1512</v>
      </c>
      <c r="I174" s="170" t="s">
        <v>679</v>
      </c>
      <c r="J174" s="169">
        <v>449.64</v>
      </c>
      <c r="K174" s="169">
        <v>50010.01</v>
      </c>
      <c r="L174" s="172">
        <f t="shared" si="7"/>
        <v>449.64</v>
      </c>
      <c r="P174" s="204"/>
    </row>
    <row r="175" spans="2:16" ht="23.25" x14ac:dyDescent="0.25">
      <c r="B175" s="168" t="s">
        <v>662</v>
      </c>
      <c r="C175" s="168" t="s">
        <v>676</v>
      </c>
      <c r="D175" s="168" t="s">
        <v>1557</v>
      </c>
      <c r="E175" s="168" t="s">
        <v>1453</v>
      </c>
      <c r="F175" s="168"/>
      <c r="G175" s="168" t="s">
        <v>1545</v>
      </c>
      <c r="H175" s="168" t="s">
        <v>1512</v>
      </c>
      <c r="I175" s="170" t="s">
        <v>679</v>
      </c>
      <c r="J175" s="169">
        <v>311.75</v>
      </c>
      <c r="K175" s="169">
        <v>50321.760000000002</v>
      </c>
      <c r="L175" s="172">
        <f t="shared" si="7"/>
        <v>311.75</v>
      </c>
      <c r="P175" s="204"/>
    </row>
    <row r="176" spans="2:16" ht="23.25" x14ac:dyDescent="0.25">
      <c r="B176" s="168" t="s">
        <v>662</v>
      </c>
      <c r="C176" s="168" t="s">
        <v>676</v>
      </c>
      <c r="D176" s="168" t="s">
        <v>1557</v>
      </c>
      <c r="E176" s="168" t="s">
        <v>1453</v>
      </c>
      <c r="F176" s="168"/>
      <c r="G176" s="168" t="s">
        <v>1558</v>
      </c>
      <c r="H176" s="168" t="s">
        <v>1512</v>
      </c>
      <c r="I176" s="170" t="s">
        <v>679</v>
      </c>
      <c r="J176" s="169">
        <v>117.4</v>
      </c>
      <c r="K176" s="169">
        <v>50439.16</v>
      </c>
      <c r="L176" s="172">
        <f t="shared" si="7"/>
        <v>117.4</v>
      </c>
      <c r="P176" s="204"/>
    </row>
    <row r="177" spans="2:16" ht="23.25" x14ac:dyDescent="0.25">
      <c r="B177" s="168" t="s">
        <v>662</v>
      </c>
      <c r="C177" s="168" t="s">
        <v>676</v>
      </c>
      <c r="D177" s="168" t="s">
        <v>1557</v>
      </c>
      <c r="E177" s="168" t="s">
        <v>1453</v>
      </c>
      <c r="F177" s="168"/>
      <c r="G177" s="168" t="s">
        <v>1537</v>
      </c>
      <c r="H177" s="168" t="s">
        <v>1512</v>
      </c>
      <c r="I177" s="170" t="s">
        <v>679</v>
      </c>
      <c r="J177" s="169">
        <v>112.97</v>
      </c>
      <c r="K177" s="169">
        <v>50552.13</v>
      </c>
      <c r="L177" s="172">
        <f t="shared" si="7"/>
        <v>112.97</v>
      </c>
      <c r="P177" s="204"/>
    </row>
    <row r="178" spans="2:16" ht="23.25" x14ac:dyDescent="0.25">
      <c r="B178" s="168" t="s">
        <v>662</v>
      </c>
      <c r="C178" s="168" t="s">
        <v>676</v>
      </c>
      <c r="D178" s="168" t="s">
        <v>1557</v>
      </c>
      <c r="E178" s="168" t="s">
        <v>1453</v>
      </c>
      <c r="F178" s="168"/>
      <c r="G178" s="168" t="s">
        <v>1544</v>
      </c>
      <c r="H178" s="168" t="s">
        <v>1512</v>
      </c>
      <c r="I178" s="170" t="s">
        <v>679</v>
      </c>
      <c r="J178" s="169">
        <v>566.65</v>
      </c>
      <c r="K178" s="169">
        <v>51118.78</v>
      </c>
      <c r="L178" s="172">
        <f t="shared" si="7"/>
        <v>566.65</v>
      </c>
      <c r="P178" s="204"/>
    </row>
    <row r="179" spans="2:16" ht="23.25" x14ac:dyDescent="0.25">
      <c r="B179" s="168" t="s">
        <v>662</v>
      </c>
      <c r="C179" s="168" t="s">
        <v>676</v>
      </c>
      <c r="D179" s="168" t="s">
        <v>1557</v>
      </c>
      <c r="E179" s="168" t="s">
        <v>1453</v>
      </c>
      <c r="F179" s="168"/>
      <c r="G179" s="168" t="s">
        <v>1532</v>
      </c>
      <c r="H179" s="168" t="s">
        <v>1512</v>
      </c>
      <c r="I179" s="170" t="s">
        <v>679</v>
      </c>
      <c r="J179" s="169">
        <v>29.95</v>
      </c>
      <c r="K179" s="169">
        <v>51148.73</v>
      </c>
      <c r="L179" s="172">
        <f t="shared" si="7"/>
        <v>29.95</v>
      </c>
      <c r="P179" s="204"/>
    </row>
    <row r="180" spans="2:16" ht="23.25" x14ac:dyDescent="0.25">
      <c r="B180" s="168" t="s">
        <v>662</v>
      </c>
      <c r="C180" s="168" t="s">
        <v>676</v>
      </c>
      <c r="D180" s="168" t="s">
        <v>1557</v>
      </c>
      <c r="E180" s="168" t="s">
        <v>1453</v>
      </c>
      <c r="F180" s="168"/>
      <c r="G180" s="168" t="s">
        <v>1527</v>
      </c>
      <c r="H180" s="168" t="s">
        <v>1512</v>
      </c>
      <c r="I180" s="170" t="s">
        <v>679</v>
      </c>
      <c r="J180" s="169">
        <v>48.25</v>
      </c>
      <c r="K180" s="169">
        <v>51196.98</v>
      </c>
      <c r="L180" s="172">
        <f t="shared" si="7"/>
        <v>48.25</v>
      </c>
      <c r="P180" s="204"/>
    </row>
    <row r="181" spans="2:16" ht="23.25" x14ac:dyDescent="0.25">
      <c r="B181" s="168" t="s">
        <v>802</v>
      </c>
      <c r="C181" s="168" t="s">
        <v>676</v>
      </c>
      <c r="D181" s="168" t="s">
        <v>1559</v>
      </c>
      <c r="E181" s="168" t="s">
        <v>1453</v>
      </c>
      <c r="F181" s="168"/>
      <c r="G181" s="168" t="s">
        <v>1554</v>
      </c>
      <c r="H181" s="168" t="s">
        <v>1512</v>
      </c>
      <c r="I181" s="170" t="s">
        <v>679</v>
      </c>
      <c r="J181" s="169">
        <v>-582.11</v>
      </c>
      <c r="K181" s="169">
        <v>50614.87</v>
      </c>
      <c r="L181" s="172">
        <f t="shared" si="7"/>
        <v>-582.11</v>
      </c>
      <c r="P181" s="204"/>
    </row>
    <row r="182" spans="2:16" ht="23.25" x14ac:dyDescent="0.25">
      <c r="B182" s="168" t="s">
        <v>675</v>
      </c>
      <c r="C182" s="168" t="s">
        <v>573</v>
      </c>
      <c r="D182" s="168"/>
      <c r="E182" s="168" t="s">
        <v>574</v>
      </c>
      <c r="F182" s="168"/>
      <c r="G182" s="168" t="s">
        <v>1560</v>
      </c>
      <c r="H182" s="168" t="s">
        <v>1512</v>
      </c>
      <c r="I182" s="168" t="s">
        <v>577</v>
      </c>
      <c r="J182" s="169">
        <v>1175.83</v>
      </c>
      <c r="K182" s="169">
        <v>51790.7</v>
      </c>
      <c r="L182" s="172">
        <f t="shared" si="7"/>
        <v>1175.83</v>
      </c>
      <c r="P182" s="204"/>
    </row>
    <row r="183" spans="2:16" ht="23.25" x14ac:dyDescent="0.25">
      <c r="B183" s="168" t="s">
        <v>1399</v>
      </c>
      <c r="C183" s="168" t="s">
        <v>573</v>
      </c>
      <c r="D183" s="168"/>
      <c r="E183" s="168" t="s">
        <v>574</v>
      </c>
      <c r="F183" s="168" t="s">
        <v>1513</v>
      </c>
      <c r="G183" s="168" t="s">
        <v>1561</v>
      </c>
      <c r="H183" s="168" t="s">
        <v>1512</v>
      </c>
      <c r="I183" s="168" t="s">
        <v>585</v>
      </c>
      <c r="J183" s="169">
        <v>156.87</v>
      </c>
      <c r="K183" s="169">
        <v>51947.57</v>
      </c>
      <c r="L183" s="172">
        <f t="shared" si="7"/>
        <v>156.87</v>
      </c>
      <c r="P183" s="204"/>
    </row>
    <row r="184" spans="2:16" ht="23.25" x14ac:dyDescent="0.25">
      <c r="B184" s="168" t="s">
        <v>1562</v>
      </c>
      <c r="C184" s="168" t="s">
        <v>573</v>
      </c>
      <c r="D184" s="168"/>
      <c r="E184" s="168" t="s">
        <v>574</v>
      </c>
      <c r="F184" s="168" t="s">
        <v>1456</v>
      </c>
      <c r="G184" s="168"/>
      <c r="H184" s="168" t="s">
        <v>1512</v>
      </c>
      <c r="I184" s="168" t="s">
        <v>585</v>
      </c>
      <c r="J184" s="169">
        <v>911.2</v>
      </c>
      <c r="K184" s="169">
        <v>52858.77</v>
      </c>
      <c r="L184" s="172">
        <f t="shared" si="7"/>
        <v>911.2</v>
      </c>
      <c r="P184" s="204"/>
    </row>
    <row r="185" spans="2:16" ht="23.25" x14ac:dyDescent="0.25">
      <c r="B185" s="168" t="s">
        <v>1562</v>
      </c>
      <c r="C185" s="168" t="s">
        <v>676</v>
      </c>
      <c r="D185" s="168" t="s">
        <v>1563</v>
      </c>
      <c r="E185" s="168" t="s">
        <v>1453</v>
      </c>
      <c r="F185" s="168"/>
      <c r="G185" s="168" t="s">
        <v>1554</v>
      </c>
      <c r="H185" s="168" t="s">
        <v>1512</v>
      </c>
      <c r="I185" s="170" t="s">
        <v>679</v>
      </c>
      <c r="J185" s="169">
        <v>668.34</v>
      </c>
      <c r="K185" s="169">
        <v>53527.11</v>
      </c>
      <c r="L185" s="172">
        <f t="shared" si="7"/>
        <v>668.34</v>
      </c>
      <c r="P185" s="204"/>
    </row>
    <row r="186" spans="2:16" ht="23.25" x14ac:dyDescent="0.25">
      <c r="B186" s="168" t="s">
        <v>1564</v>
      </c>
      <c r="C186" s="168" t="s">
        <v>676</v>
      </c>
      <c r="D186" s="168" t="s">
        <v>1565</v>
      </c>
      <c r="E186" s="168" t="s">
        <v>1453</v>
      </c>
      <c r="F186" s="168"/>
      <c r="G186" s="168" t="s">
        <v>1558</v>
      </c>
      <c r="H186" s="168" t="s">
        <v>1512</v>
      </c>
      <c r="I186" s="170" t="s">
        <v>679</v>
      </c>
      <c r="J186" s="169">
        <v>427.43</v>
      </c>
      <c r="K186" s="169">
        <v>53954.54</v>
      </c>
      <c r="L186" s="172">
        <f t="shared" si="7"/>
        <v>427.43</v>
      </c>
      <c r="P186" s="204"/>
    </row>
    <row r="187" spans="2:16" ht="23.25" x14ac:dyDescent="0.25">
      <c r="B187" s="168" t="s">
        <v>1564</v>
      </c>
      <c r="C187" s="168" t="s">
        <v>676</v>
      </c>
      <c r="D187" s="168" t="s">
        <v>1565</v>
      </c>
      <c r="E187" s="168" t="s">
        <v>1453</v>
      </c>
      <c r="F187" s="168"/>
      <c r="G187" s="168" t="s">
        <v>1552</v>
      </c>
      <c r="H187" s="168" t="s">
        <v>1512</v>
      </c>
      <c r="I187" s="170" t="s">
        <v>679</v>
      </c>
      <c r="J187" s="169">
        <v>334.66</v>
      </c>
      <c r="K187" s="169">
        <v>54289.2</v>
      </c>
      <c r="L187" s="172">
        <f t="shared" si="7"/>
        <v>334.66</v>
      </c>
      <c r="P187" s="204"/>
    </row>
    <row r="188" spans="2:16" ht="23.25" x14ac:dyDescent="0.25">
      <c r="B188" s="168" t="s">
        <v>1564</v>
      </c>
      <c r="C188" s="168" t="s">
        <v>676</v>
      </c>
      <c r="D188" s="168" t="s">
        <v>1565</v>
      </c>
      <c r="E188" s="168" t="s">
        <v>1453</v>
      </c>
      <c r="F188" s="168"/>
      <c r="G188" s="168" t="s">
        <v>1536</v>
      </c>
      <c r="H188" s="168" t="s">
        <v>1512</v>
      </c>
      <c r="I188" s="170" t="s">
        <v>679</v>
      </c>
      <c r="J188" s="169">
        <v>263.27999999999997</v>
      </c>
      <c r="K188" s="169">
        <v>54552.480000000003</v>
      </c>
      <c r="L188" s="172">
        <f t="shared" si="7"/>
        <v>263.27999999999997</v>
      </c>
      <c r="P188" s="204"/>
    </row>
    <row r="189" spans="2:16" ht="23.25" x14ac:dyDescent="0.25">
      <c r="B189" s="168" t="s">
        <v>1564</v>
      </c>
      <c r="C189" s="168" t="s">
        <v>676</v>
      </c>
      <c r="D189" s="168" t="s">
        <v>1565</v>
      </c>
      <c r="E189" s="168" t="s">
        <v>1453</v>
      </c>
      <c r="F189" s="168"/>
      <c r="G189" s="168" t="s">
        <v>1545</v>
      </c>
      <c r="H189" s="168" t="s">
        <v>1512</v>
      </c>
      <c r="I189" s="170" t="s">
        <v>679</v>
      </c>
      <c r="J189" s="169">
        <v>189.51</v>
      </c>
      <c r="K189" s="169">
        <v>54741.99</v>
      </c>
      <c r="L189" s="172">
        <f t="shared" si="7"/>
        <v>189.51</v>
      </c>
      <c r="P189" s="204"/>
    </row>
    <row r="190" spans="2:16" ht="23.25" x14ac:dyDescent="0.25">
      <c r="B190" s="168" t="s">
        <v>1564</v>
      </c>
      <c r="C190" s="168" t="s">
        <v>676</v>
      </c>
      <c r="D190" s="168" t="s">
        <v>1565</v>
      </c>
      <c r="E190" s="168" t="s">
        <v>1453</v>
      </c>
      <c r="F190" s="168"/>
      <c r="G190" s="168" t="s">
        <v>1537</v>
      </c>
      <c r="H190" s="168" t="s">
        <v>1512</v>
      </c>
      <c r="I190" s="170" t="s">
        <v>679</v>
      </c>
      <c r="J190" s="169">
        <v>67.25</v>
      </c>
      <c r="K190" s="169">
        <v>54809.24</v>
      </c>
      <c r="L190" s="172">
        <f t="shared" si="7"/>
        <v>67.25</v>
      </c>
      <c r="P190" s="204"/>
    </row>
    <row r="191" spans="2:16" ht="23.25" x14ac:dyDescent="0.25">
      <c r="B191" s="168" t="s">
        <v>1564</v>
      </c>
      <c r="C191" s="168" t="s">
        <v>676</v>
      </c>
      <c r="D191" s="168" t="s">
        <v>1565</v>
      </c>
      <c r="E191" s="168" t="s">
        <v>1453</v>
      </c>
      <c r="F191" s="168"/>
      <c r="G191" s="168" t="s">
        <v>1544</v>
      </c>
      <c r="H191" s="168" t="s">
        <v>1512</v>
      </c>
      <c r="I191" s="170" t="s">
        <v>679</v>
      </c>
      <c r="J191" s="169">
        <v>442.17</v>
      </c>
      <c r="K191" s="169">
        <v>55251.41</v>
      </c>
      <c r="L191" s="172">
        <f t="shared" si="7"/>
        <v>442.17</v>
      </c>
      <c r="P191" s="204"/>
    </row>
    <row r="192" spans="2:16" ht="23.25" x14ac:dyDescent="0.25">
      <c r="B192" s="168" t="s">
        <v>1564</v>
      </c>
      <c r="C192" s="168" t="s">
        <v>676</v>
      </c>
      <c r="D192" s="168" t="s">
        <v>1565</v>
      </c>
      <c r="E192" s="168" t="s">
        <v>1453</v>
      </c>
      <c r="F192" s="168"/>
      <c r="G192" s="168" t="s">
        <v>1532</v>
      </c>
      <c r="H192" s="168" t="s">
        <v>1512</v>
      </c>
      <c r="I192" s="170" t="s">
        <v>679</v>
      </c>
      <c r="J192" s="169">
        <v>3.63</v>
      </c>
      <c r="K192" s="169">
        <v>55255.040000000001</v>
      </c>
      <c r="L192" s="172">
        <f t="shared" si="7"/>
        <v>3.63</v>
      </c>
      <c r="P192" s="204"/>
    </row>
    <row r="193" spans="1:16" ht="23.25" x14ac:dyDescent="0.25">
      <c r="B193" s="168" t="s">
        <v>1004</v>
      </c>
      <c r="C193" s="168" t="s">
        <v>676</v>
      </c>
      <c r="D193" s="168" t="s">
        <v>1566</v>
      </c>
      <c r="E193" s="168" t="s">
        <v>1453</v>
      </c>
      <c r="F193" s="168"/>
      <c r="G193" s="168" t="s">
        <v>1567</v>
      </c>
      <c r="H193" s="168" t="s">
        <v>1512</v>
      </c>
      <c r="I193" s="170" t="s">
        <v>679</v>
      </c>
      <c r="J193" s="169">
        <v>249.58</v>
      </c>
      <c r="K193" s="169">
        <v>55504.62</v>
      </c>
      <c r="L193" s="172">
        <f t="shared" ref="L193:L195" si="8">J193</f>
        <v>249.58</v>
      </c>
      <c r="P193" s="204"/>
    </row>
    <row r="194" spans="1:16" ht="23.25" x14ac:dyDescent="0.25">
      <c r="B194" s="168" t="s">
        <v>1006</v>
      </c>
      <c r="C194" s="168" t="s">
        <v>573</v>
      </c>
      <c r="D194" s="168"/>
      <c r="E194" s="168" t="s">
        <v>574</v>
      </c>
      <c r="F194" s="168"/>
      <c r="G194" s="168" t="s">
        <v>1560</v>
      </c>
      <c r="H194" s="168" t="s">
        <v>1512</v>
      </c>
      <c r="I194" s="168" t="s">
        <v>577</v>
      </c>
      <c r="J194" s="169">
        <v>1125.96</v>
      </c>
      <c r="K194" s="169">
        <v>56630.58</v>
      </c>
      <c r="L194" s="172">
        <f t="shared" si="8"/>
        <v>1125.96</v>
      </c>
      <c r="P194" s="204"/>
    </row>
    <row r="195" spans="1:16" ht="23.25" x14ac:dyDescent="0.25">
      <c r="B195" s="168" t="s">
        <v>1568</v>
      </c>
      <c r="C195" s="168" t="s">
        <v>573</v>
      </c>
      <c r="D195" s="168"/>
      <c r="E195" s="168" t="s">
        <v>574</v>
      </c>
      <c r="F195" s="168" t="s">
        <v>952</v>
      </c>
      <c r="G195" s="168" t="s">
        <v>1472</v>
      </c>
      <c r="H195" s="168" t="s">
        <v>1512</v>
      </c>
      <c r="I195" s="168" t="s">
        <v>581</v>
      </c>
      <c r="J195" s="169">
        <v>244.39</v>
      </c>
      <c r="K195" s="169">
        <v>56874.97</v>
      </c>
      <c r="L195" s="172">
        <f t="shared" si="8"/>
        <v>244.39</v>
      </c>
      <c r="P195" s="204"/>
    </row>
    <row r="196" spans="1:16" ht="34.5" x14ac:dyDescent="0.25">
      <c r="A196" s="167" t="s">
        <v>1569</v>
      </c>
      <c r="J196" s="171">
        <v>56874.97</v>
      </c>
      <c r="P196" s="204"/>
    </row>
    <row r="197" spans="1:16" ht="34.5" x14ac:dyDescent="0.25">
      <c r="A197" s="167" t="s">
        <v>1570</v>
      </c>
      <c r="J197" s="171">
        <v>73356.78</v>
      </c>
      <c r="P197" s="204"/>
    </row>
    <row r="198" spans="1:16" ht="45.75" x14ac:dyDescent="0.25">
      <c r="A198" s="167" t="s">
        <v>1571</v>
      </c>
      <c r="J198" s="171">
        <v>73356.78</v>
      </c>
      <c r="P198" s="204"/>
    </row>
    <row r="199" spans="1:16" x14ac:dyDescent="0.25">
      <c r="A199" s="167" t="s">
        <v>1103</v>
      </c>
      <c r="J199" s="171">
        <v>73356.78</v>
      </c>
      <c r="L199" s="172">
        <f>SUM(L9:L195)</f>
        <v>68753.429999999993</v>
      </c>
      <c r="M199" s="172">
        <f t="shared" ref="M199:O199" si="9">SUM(M9:M195)</f>
        <v>1160.3000000000002</v>
      </c>
      <c r="N199" s="172">
        <f t="shared" si="9"/>
        <v>462.69</v>
      </c>
      <c r="O199" s="172">
        <f t="shared" si="9"/>
        <v>2980.3599999999997</v>
      </c>
      <c r="P199" s="204"/>
    </row>
    <row r="202" spans="1:16" x14ac:dyDescent="0.25">
      <c r="A202" s="266" t="s">
        <v>1572</v>
      </c>
      <c r="B202" s="264"/>
      <c r="C202" s="264"/>
      <c r="D202" s="264"/>
      <c r="E202" s="264"/>
      <c r="F202" s="264"/>
      <c r="G202" s="264"/>
      <c r="H202" s="264"/>
      <c r="I202" s="264"/>
      <c r="J202" s="264"/>
      <c r="K202" s="264"/>
    </row>
  </sheetData>
  <mergeCells count="4">
    <mergeCell ref="A1:K1"/>
    <mergeCell ref="A2:K2"/>
    <mergeCell ref="A3:K3"/>
    <mergeCell ref="A202:K2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EB3D-F052-469D-B717-E23DA69FB27A}">
  <dimension ref="A1:AI196"/>
  <sheetViews>
    <sheetView topLeftCell="H1" workbookViewId="0">
      <pane ySplit="5" topLeftCell="A190" activePane="bottomLeft" state="frozen"/>
      <selection activeCell="AS53" sqref="AS53"/>
      <selection pane="bottomLeft" activeCell="AS53" sqref="AS53"/>
    </sheetView>
  </sheetViews>
  <sheetFormatPr defaultColWidth="8.85546875" defaultRowHeight="15" x14ac:dyDescent="0.25"/>
  <cols>
    <col min="1" max="1" width="29.28515625" customWidth="1"/>
    <col min="2" max="2" width="9.42578125" customWidth="1"/>
    <col min="3" max="4" width="12" customWidth="1"/>
    <col min="5" max="5" width="7.7109375" customWidth="1"/>
    <col min="6" max="6" width="17.140625" customWidth="1"/>
    <col min="7" max="7" width="52.140625" customWidth="1"/>
    <col min="8" max="8" width="12.85546875" customWidth="1"/>
    <col min="9" max="9" width="10.28515625" customWidth="1"/>
    <col min="10" max="10" width="9.42578125" customWidth="1"/>
    <col min="11" max="11" width="9.28515625" customWidth="1"/>
    <col min="12" max="12" width="8.7109375" customWidth="1"/>
    <col min="13" max="13" width="12.7109375" customWidth="1"/>
    <col min="14" max="14" width="9.42578125" customWidth="1"/>
    <col min="15" max="15" width="8.7109375" customWidth="1"/>
    <col min="16" max="16" width="9.42578125" customWidth="1"/>
    <col min="17" max="17" width="9.7109375" customWidth="1"/>
    <col min="18" max="18" width="8.7109375" customWidth="1"/>
    <col min="19" max="19" width="9.42578125" customWidth="1"/>
    <col min="20" max="20" width="14.42578125" customWidth="1"/>
    <col min="21" max="22" width="8.7109375" customWidth="1"/>
    <col min="23" max="24" width="9.42578125" customWidth="1"/>
    <col min="25" max="25" width="9" customWidth="1"/>
    <col min="26" max="26" width="9.140625" customWidth="1"/>
    <col min="27" max="30" width="8.7109375" customWidth="1"/>
    <col min="31" max="31" width="9" customWidth="1"/>
    <col min="32" max="32" width="10.28515625" customWidth="1"/>
    <col min="33" max="33" width="9.85546875" customWidth="1"/>
    <col min="34" max="34" width="9.42578125" customWidth="1"/>
    <col min="35" max="35" width="9.42578125" bestFit="1" customWidth="1"/>
  </cols>
  <sheetData>
    <row r="1" spans="1:34" ht="18" x14ac:dyDescent="0.25">
      <c r="A1" s="263" t="s">
        <v>146</v>
      </c>
      <c r="B1" s="264"/>
      <c r="C1" s="264"/>
      <c r="D1" s="264"/>
      <c r="E1" s="264"/>
      <c r="F1" s="264"/>
      <c r="G1" s="264"/>
      <c r="H1" s="264"/>
      <c r="I1" s="264"/>
      <c r="J1" s="264"/>
    </row>
    <row r="2" spans="1:34" ht="18" x14ac:dyDescent="0.25">
      <c r="A2" s="263" t="s">
        <v>548</v>
      </c>
      <c r="B2" s="264"/>
      <c r="C2" s="264"/>
      <c r="D2" s="264"/>
      <c r="E2" s="264"/>
      <c r="F2" s="264"/>
      <c r="G2" s="264"/>
      <c r="H2" s="264"/>
      <c r="I2" s="264"/>
      <c r="J2" s="264"/>
    </row>
    <row r="3" spans="1:34" x14ac:dyDescent="0.25">
      <c r="A3" s="265" t="s">
        <v>549</v>
      </c>
      <c r="B3" s="264"/>
      <c r="C3" s="264"/>
      <c r="D3" s="264"/>
      <c r="E3" s="264"/>
      <c r="F3" s="264"/>
      <c r="G3" s="264"/>
      <c r="H3" s="264"/>
      <c r="I3" s="264"/>
      <c r="J3" s="264"/>
    </row>
    <row r="4" spans="1:34" x14ac:dyDescent="0.25">
      <c r="M4" t="s">
        <v>1774</v>
      </c>
      <c r="T4" t="s">
        <v>1775</v>
      </c>
      <c r="W4" t="s">
        <v>1777</v>
      </c>
      <c r="X4" t="s">
        <v>1778</v>
      </c>
      <c r="AG4" t="s">
        <v>1776</v>
      </c>
    </row>
    <row r="5" spans="1:34" ht="36.75" x14ac:dyDescent="0.25">
      <c r="B5" s="37" t="s">
        <v>550</v>
      </c>
      <c r="C5" s="37" t="s">
        <v>551</v>
      </c>
      <c r="D5" s="37" t="s">
        <v>552</v>
      </c>
      <c r="E5" s="37" t="s">
        <v>553</v>
      </c>
      <c r="F5" s="37" t="s">
        <v>554</v>
      </c>
      <c r="G5" s="37" t="s">
        <v>555</v>
      </c>
      <c r="H5" s="37" t="s">
        <v>557</v>
      </c>
      <c r="I5" s="37" t="s">
        <v>558</v>
      </c>
      <c r="J5" s="37" t="s">
        <v>559</v>
      </c>
      <c r="K5" s="36" t="s">
        <v>560</v>
      </c>
      <c r="L5" s="36" t="s">
        <v>1577</v>
      </c>
      <c r="M5" s="36" t="s">
        <v>485</v>
      </c>
      <c r="N5" s="36" t="s">
        <v>1746</v>
      </c>
      <c r="O5" s="36" t="s">
        <v>1747</v>
      </c>
      <c r="P5" s="36" t="s">
        <v>1584</v>
      </c>
      <c r="Q5" s="36" t="s">
        <v>1753</v>
      </c>
      <c r="R5" s="36" t="s">
        <v>1748</v>
      </c>
      <c r="S5" s="36" t="s">
        <v>1749</v>
      </c>
      <c r="T5" s="36" t="s">
        <v>1752</v>
      </c>
      <c r="U5" s="36" t="s">
        <v>1593</v>
      </c>
      <c r="V5" s="36" t="s">
        <v>1751</v>
      </c>
      <c r="W5" s="36" t="s">
        <v>1750</v>
      </c>
      <c r="X5" s="36" t="s">
        <v>1754</v>
      </c>
      <c r="Y5" s="36" t="s">
        <v>1762</v>
      </c>
      <c r="Z5" s="36" t="s">
        <v>1755</v>
      </c>
      <c r="AA5" s="36" t="s">
        <v>1756</v>
      </c>
      <c r="AB5" s="36" t="s">
        <v>1757</v>
      </c>
      <c r="AC5" s="36" t="s">
        <v>1758</v>
      </c>
      <c r="AD5" s="36" t="s">
        <v>1759</v>
      </c>
      <c r="AE5" s="36" t="s">
        <v>1640</v>
      </c>
      <c r="AF5" s="36" t="s">
        <v>1760</v>
      </c>
      <c r="AG5" s="36" t="s">
        <v>1761</v>
      </c>
      <c r="AH5" s="36" t="s">
        <v>154</v>
      </c>
    </row>
    <row r="6" spans="1:34" x14ac:dyDescent="0.25">
      <c r="A6" s="167" t="s">
        <v>1439</v>
      </c>
    </row>
    <row r="7" spans="1:34" x14ac:dyDescent="0.25">
      <c r="A7" s="167" t="s">
        <v>1573</v>
      </c>
    </row>
    <row r="8" spans="1:34" x14ac:dyDescent="0.25">
      <c r="B8" s="168" t="s">
        <v>572</v>
      </c>
      <c r="C8" s="168" t="s">
        <v>573</v>
      </c>
      <c r="D8" s="168"/>
      <c r="E8" s="168" t="s">
        <v>574</v>
      </c>
      <c r="F8" s="168" t="s">
        <v>560</v>
      </c>
      <c r="G8" s="168" t="s">
        <v>1574</v>
      </c>
      <c r="H8" s="168" t="s">
        <v>577</v>
      </c>
      <c r="I8" s="169">
        <v>179.09</v>
      </c>
      <c r="J8" s="169">
        <v>179.09</v>
      </c>
      <c r="K8" s="172">
        <f>I8</f>
        <v>179.09</v>
      </c>
    </row>
    <row r="9" spans="1:34" x14ac:dyDescent="0.25">
      <c r="B9" s="168" t="s">
        <v>1110</v>
      </c>
      <c r="C9" s="168" t="s">
        <v>573</v>
      </c>
      <c r="D9" s="168"/>
      <c r="E9" s="168" t="s">
        <v>574</v>
      </c>
      <c r="F9" s="168" t="s">
        <v>1575</v>
      </c>
      <c r="G9" s="168" t="s">
        <v>1576</v>
      </c>
      <c r="H9" s="168" t="s">
        <v>577</v>
      </c>
      <c r="I9" s="169">
        <v>21.27</v>
      </c>
      <c r="J9" s="169">
        <v>200.36</v>
      </c>
      <c r="Y9" s="172">
        <f>I9</f>
        <v>21.27</v>
      </c>
      <c r="Z9" s="172"/>
      <c r="AA9" s="172"/>
      <c r="AB9" s="172"/>
      <c r="AC9" s="172"/>
      <c r="AD9" s="172"/>
      <c r="AE9" s="172"/>
      <c r="AF9" s="172"/>
      <c r="AG9" s="172"/>
      <c r="AH9" s="172"/>
    </row>
    <row r="10" spans="1:34" x14ac:dyDescent="0.25">
      <c r="B10" s="168" t="s">
        <v>817</v>
      </c>
      <c r="C10" s="168" t="s">
        <v>573</v>
      </c>
      <c r="D10" s="168"/>
      <c r="E10" s="168" t="s">
        <v>574</v>
      </c>
      <c r="F10" s="168" t="s">
        <v>1577</v>
      </c>
      <c r="G10" s="168" t="s">
        <v>1578</v>
      </c>
      <c r="H10" s="168" t="s">
        <v>577</v>
      </c>
      <c r="I10" s="169">
        <v>15.96</v>
      </c>
      <c r="J10" s="169">
        <v>216.32</v>
      </c>
      <c r="L10" s="172">
        <f>I10</f>
        <v>15.96</v>
      </c>
    </row>
    <row r="11" spans="1:34" x14ac:dyDescent="0.25">
      <c r="B11" s="168" t="s">
        <v>817</v>
      </c>
      <c r="C11" s="168" t="s">
        <v>573</v>
      </c>
      <c r="D11" s="168"/>
      <c r="E11" s="168" t="s">
        <v>574</v>
      </c>
      <c r="F11" s="168" t="s">
        <v>485</v>
      </c>
      <c r="G11" s="168" t="s">
        <v>1579</v>
      </c>
      <c r="H11" s="168" t="s">
        <v>581</v>
      </c>
      <c r="I11" s="169">
        <v>622.64</v>
      </c>
      <c r="J11" s="169">
        <v>838.96</v>
      </c>
      <c r="M11" s="172">
        <f>I11</f>
        <v>622.64</v>
      </c>
      <c r="N11" s="172"/>
      <c r="O11" s="172"/>
      <c r="P11" s="172"/>
      <c r="Q11" s="172"/>
      <c r="R11" s="172"/>
      <c r="S11" s="172"/>
      <c r="T11" s="172"/>
      <c r="U11" s="172"/>
      <c r="V11" s="172"/>
      <c r="W11" s="172"/>
      <c r="X11" s="172"/>
      <c r="Y11" s="172"/>
      <c r="Z11" s="172"/>
      <c r="AA11" s="172"/>
      <c r="AB11" s="172"/>
      <c r="AC11" s="172"/>
      <c r="AD11" s="172"/>
      <c r="AE11" s="172"/>
      <c r="AF11" s="172"/>
      <c r="AG11" s="172"/>
    </row>
    <row r="12" spans="1:34" ht="34.5" x14ac:dyDescent="0.25">
      <c r="B12" s="168" t="s">
        <v>817</v>
      </c>
      <c r="C12" s="168" t="s">
        <v>573</v>
      </c>
      <c r="D12" s="168"/>
      <c r="E12" s="168" t="s">
        <v>574</v>
      </c>
      <c r="F12" s="168" t="s">
        <v>1580</v>
      </c>
      <c r="G12" s="168" t="s">
        <v>1581</v>
      </c>
      <c r="H12" s="168" t="s">
        <v>602</v>
      </c>
      <c r="I12" s="169">
        <v>40</v>
      </c>
      <c r="J12" s="169">
        <v>878.96</v>
      </c>
      <c r="N12" s="172">
        <f>I12</f>
        <v>40</v>
      </c>
      <c r="O12" s="172"/>
      <c r="P12" s="172"/>
      <c r="Q12" s="172"/>
      <c r="R12" s="172"/>
      <c r="S12" s="172"/>
      <c r="T12" s="172"/>
      <c r="U12" s="172"/>
      <c r="V12" s="172"/>
      <c r="W12" s="172"/>
      <c r="X12" s="172"/>
      <c r="Y12" s="172"/>
      <c r="Z12" s="172"/>
      <c r="AA12" s="172"/>
      <c r="AB12" s="172"/>
      <c r="AC12" s="172"/>
      <c r="AD12" s="172"/>
      <c r="AE12" s="172"/>
      <c r="AF12" s="172"/>
      <c r="AG12" s="172"/>
    </row>
    <row r="13" spans="1:34" ht="34.5" x14ac:dyDescent="0.25">
      <c r="B13" s="168" t="s">
        <v>1113</v>
      </c>
      <c r="C13" s="168" t="s">
        <v>573</v>
      </c>
      <c r="D13" s="168"/>
      <c r="E13" s="168" t="s">
        <v>574</v>
      </c>
      <c r="F13" s="168" t="s">
        <v>1582</v>
      </c>
      <c r="G13" s="168" t="s">
        <v>1583</v>
      </c>
      <c r="H13" s="168" t="s">
        <v>742</v>
      </c>
      <c r="I13" s="169">
        <v>127.18</v>
      </c>
      <c r="J13" s="169">
        <v>1006.14</v>
      </c>
      <c r="O13" s="172">
        <f>I13</f>
        <v>127.18</v>
      </c>
      <c r="P13" s="172"/>
      <c r="Q13" s="172"/>
      <c r="R13" s="172"/>
      <c r="S13" s="172"/>
      <c r="T13" s="172"/>
      <c r="U13" s="172"/>
      <c r="V13" s="172"/>
      <c r="W13" s="172"/>
      <c r="X13" s="172"/>
      <c r="Y13" s="172"/>
      <c r="Z13" s="172"/>
      <c r="AA13" s="172"/>
      <c r="AB13" s="172"/>
      <c r="AC13" s="172"/>
      <c r="AD13" s="172"/>
      <c r="AE13" s="172"/>
      <c r="AF13" s="172"/>
      <c r="AG13" s="172"/>
    </row>
    <row r="14" spans="1:34" ht="45.75" x14ac:dyDescent="0.25">
      <c r="B14" s="168" t="s">
        <v>1113</v>
      </c>
      <c r="C14" s="168" t="s">
        <v>573</v>
      </c>
      <c r="D14" s="168"/>
      <c r="E14" s="168" t="s">
        <v>574</v>
      </c>
      <c r="F14" s="168" t="s">
        <v>1584</v>
      </c>
      <c r="G14" s="168" t="s">
        <v>1585</v>
      </c>
      <c r="H14" s="168" t="s">
        <v>585</v>
      </c>
      <c r="I14" s="169">
        <v>207.87</v>
      </c>
      <c r="J14" s="169">
        <v>1214.01</v>
      </c>
      <c r="P14" s="172">
        <f>I14</f>
        <v>207.87</v>
      </c>
      <c r="Q14" s="172"/>
      <c r="R14" s="172"/>
      <c r="S14" s="172"/>
      <c r="T14" s="172"/>
      <c r="U14" s="172"/>
      <c r="V14" s="172"/>
      <c r="W14" s="172"/>
      <c r="X14" s="172"/>
      <c r="Y14" s="172"/>
      <c r="Z14" s="172"/>
      <c r="AA14" s="172"/>
      <c r="AB14" s="172"/>
      <c r="AC14" s="172"/>
      <c r="AD14" s="172"/>
      <c r="AE14" s="172"/>
      <c r="AF14" s="172"/>
      <c r="AG14" s="172"/>
    </row>
    <row r="15" spans="1:34" x14ac:dyDescent="0.25">
      <c r="B15" s="168" t="s">
        <v>1586</v>
      </c>
      <c r="C15" s="168" t="s">
        <v>573</v>
      </c>
      <c r="D15" s="168"/>
      <c r="E15" s="168" t="s">
        <v>574</v>
      </c>
      <c r="F15" s="168" t="s">
        <v>1587</v>
      </c>
      <c r="G15" s="168" t="s">
        <v>1588</v>
      </c>
      <c r="H15" s="168" t="s">
        <v>577</v>
      </c>
      <c r="I15" s="169">
        <v>37</v>
      </c>
      <c r="J15" s="169">
        <v>1251.01</v>
      </c>
      <c r="Z15" s="172">
        <f>I15</f>
        <v>37</v>
      </c>
      <c r="AA15" s="172"/>
      <c r="AB15" s="172"/>
      <c r="AC15" s="172"/>
      <c r="AD15" s="172"/>
      <c r="AE15" s="172"/>
      <c r="AF15" s="172"/>
      <c r="AG15" s="172"/>
      <c r="AH15" s="172"/>
    </row>
    <row r="16" spans="1:34" ht="34.5" x14ac:dyDescent="0.25">
      <c r="B16" s="168" t="s">
        <v>578</v>
      </c>
      <c r="C16" s="168" t="s">
        <v>573</v>
      </c>
      <c r="D16" s="168"/>
      <c r="E16" s="168" t="s">
        <v>574</v>
      </c>
      <c r="F16" s="168" t="s">
        <v>1589</v>
      </c>
      <c r="G16" s="168" t="s">
        <v>1590</v>
      </c>
      <c r="H16" s="168" t="s">
        <v>602</v>
      </c>
      <c r="I16" s="169">
        <v>59.53</v>
      </c>
      <c r="J16" s="169">
        <v>1310.54</v>
      </c>
      <c r="R16" s="172">
        <f>I16</f>
        <v>59.53</v>
      </c>
      <c r="S16" s="172"/>
      <c r="T16" s="172"/>
      <c r="U16" s="172"/>
      <c r="V16" s="172"/>
      <c r="W16" s="172"/>
      <c r="X16" s="172"/>
      <c r="Y16" s="172"/>
      <c r="Z16" s="172"/>
      <c r="AA16" s="172"/>
      <c r="AB16" s="172"/>
      <c r="AC16" s="172"/>
      <c r="AD16" s="172"/>
      <c r="AE16" s="172"/>
      <c r="AF16" s="172"/>
      <c r="AG16" s="172"/>
    </row>
    <row r="17" spans="2:34" ht="34.5" x14ac:dyDescent="0.25">
      <c r="B17" s="168" t="s">
        <v>750</v>
      </c>
      <c r="C17" s="168" t="s">
        <v>573</v>
      </c>
      <c r="D17" s="168"/>
      <c r="E17" s="168" t="s">
        <v>574</v>
      </c>
      <c r="F17" s="168" t="s">
        <v>1591</v>
      </c>
      <c r="G17" s="168" t="s">
        <v>1592</v>
      </c>
      <c r="H17" s="168" t="s">
        <v>602</v>
      </c>
      <c r="I17" s="169">
        <v>111.93</v>
      </c>
      <c r="J17" s="169">
        <v>1422.47</v>
      </c>
      <c r="S17" s="172">
        <f>I17</f>
        <v>111.93</v>
      </c>
      <c r="T17" s="172"/>
      <c r="U17" s="172"/>
      <c r="V17" s="172"/>
      <c r="W17" s="172"/>
      <c r="X17" s="172"/>
      <c r="Y17" s="172"/>
      <c r="Z17" s="172"/>
      <c r="AA17" s="172"/>
      <c r="AB17" s="172"/>
      <c r="AC17" s="172"/>
      <c r="AD17" s="172"/>
      <c r="AE17" s="172"/>
      <c r="AF17" s="172"/>
      <c r="AG17" s="172"/>
    </row>
    <row r="18" spans="2:34" x14ac:dyDescent="0.25">
      <c r="B18" s="168" t="s">
        <v>1121</v>
      </c>
      <c r="C18" s="168" t="s">
        <v>573</v>
      </c>
      <c r="D18" s="168"/>
      <c r="E18" s="168" t="s">
        <v>574</v>
      </c>
      <c r="F18" s="168" t="s">
        <v>1593</v>
      </c>
      <c r="G18" s="168" t="s">
        <v>1594</v>
      </c>
      <c r="H18" s="168" t="s">
        <v>581</v>
      </c>
      <c r="I18" s="169">
        <v>84.55</v>
      </c>
      <c r="J18" s="169">
        <v>1507.02</v>
      </c>
      <c r="U18" s="172">
        <f>I18</f>
        <v>84.55</v>
      </c>
      <c r="V18" s="172"/>
      <c r="W18" s="172"/>
      <c r="X18" s="172"/>
      <c r="Y18" s="172"/>
      <c r="Z18" s="172"/>
      <c r="AA18" s="172"/>
      <c r="AB18" s="172"/>
      <c r="AC18" s="172"/>
      <c r="AD18" s="172"/>
      <c r="AE18" s="172"/>
      <c r="AF18" s="172"/>
      <c r="AG18" s="172"/>
    </row>
    <row r="19" spans="2:34" x14ac:dyDescent="0.25">
      <c r="B19" s="168" t="s">
        <v>834</v>
      </c>
      <c r="C19" s="168" t="s">
        <v>573</v>
      </c>
      <c r="D19" s="168"/>
      <c r="E19" s="168" t="s">
        <v>574</v>
      </c>
      <c r="F19" s="168" t="s">
        <v>1595</v>
      </c>
      <c r="G19" s="168" t="s">
        <v>1596</v>
      </c>
      <c r="H19" s="168" t="s">
        <v>577</v>
      </c>
      <c r="I19" s="169">
        <v>12.5</v>
      </c>
      <c r="J19" s="169">
        <v>1519.52</v>
      </c>
      <c r="AA19" s="172">
        <f>I19</f>
        <v>12.5</v>
      </c>
      <c r="AB19" s="172"/>
      <c r="AC19" s="172"/>
      <c r="AD19" s="172"/>
      <c r="AE19" s="172"/>
      <c r="AF19" s="172"/>
      <c r="AG19" s="172"/>
      <c r="AH19" s="172"/>
    </row>
    <row r="20" spans="2:34" ht="23.25" x14ac:dyDescent="0.25">
      <c r="B20" s="168" t="s">
        <v>848</v>
      </c>
      <c r="C20" s="168" t="s">
        <v>573</v>
      </c>
      <c r="D20" s="168"/>
      <c r="E20" s="168" t="s">
        <v>574</v>
      </c>
      <c r="F20" s="168" t="s">
        <v>1597</v>
      </c>
      <c r="G20" s="168" t="s">
        <v>1598</v>
      </c>
      <c r="H20" s="168" t="s">
        <v>739</v>
      </c>
      <c r="I20" s="169">
        <v>250</v>
      </c>
      <c r="J20" s="169">
        <v>1769.52</v>
      </c>
      <c r="W20" s="172">
        <f>I20</f>
        <v>250</v>
      </c>
      <c r="X20" s="172"/>
      <c r="Y20" s="172"/>
      <c r="Z20" s="172"/>
      <c r="AA20" s="172"/>
      <c r="AB20" s="172"/>
      <c r="AC20" s="172"/>
      <c r="AD20" s="172"/>
      <c r="AE20" s="172"/>
      <c r="AF20" s="172"/>
      <c r="AG20" s="172"/>
    </row>
    <row r="21" spans="2:34" x14ac:dyDescent="0.25">
      <c r="B21" s="168" t="s">
        <v>853</v>
      </c>
      <c r="C21" s="168" t="s">
        <v>573</v>
      </c>
      <c r="D21" s="168"/>
      <c r="E21" s="168" t="s">
        <v>574</v>
      </c>
      <c r="F21" s="168" t="s">
        <v>1589</v>
      </c>
      <c r="G21" s="168" t="s">
        <v>1599</v>
      </c>
      <c r="H21" s="168" t="s">
        <v>581</v>
      </c>
      <c r="I21" s="169">
        <v>10.81</v>
      </c>
      <c r="J21" s="169">
        <v>1780.33</v>
      </c>
      <c r="R21" s="172">
        <f>I21</f>
        <v>10.81</v>
      </c>
    </row>
    <row r="22" spans="2:34" ht="23.25" x14ac:dyDescent="0.25">
      <c r="B22" s="168" t="s">
        <v>853</v>
      </c>
      <c r="C22" s="168" t="s">
        <v>573</v>
      </c>
      <c r="D22" s="168"/>
      <c r="E22" s="168" t="s">
        <v>574</v>
      </c>
      <c r="F22" s="168" t="s">
        <v>1600</v>
      </c>
      <c r="G22" s="168" t="s">
        <v>1600</v>
      </c>
      <c r="H22" s="168" t="s">
        <v>742</v>
      </c>
      <c r="I22" s="169">
        <v>17.309999999999999</v>
      </c>
      <c r="J22" s="169">
        <v>1797.64</v>
      </c>
      <c r="V22" s="172">
        <f>I22</f>
        <v>17.309999999999999</v>
      </c>
    </row>
    <row r="23" spans="2:34" x14ac:dyDescent="0.25">
      <c r="B23" s="168" t="s">
        <v>1149</v>
      </c>
      <c r="C23" s="168" t="s">
        <v>573</v>
      </c>
      <c r="D23" s="168"/>
      <c r="E23" s="168" t="s">
        <v>574</v>
      </c>
      <c r="F23" s="168" t="s">
        <v>1589</v>
      </c>
      <c r="G23" s="168" t="s">
        <v>1601</v>
      </c>
      <c r="H23" s="168" t="s">
        <v>581</v>
      </c>
      <c r="I23" s="169">
        <v>32.46</v>
      </c>
      <c r="J23" s="169">
        <v>1830.1</v>
      </c>
      <c r="R23" s="172">
        <f>I23</f>
        <v>32.46</v>
      </c>
    </row>
    <row r="24" spans="2:34" ht="34.5" x14ac:dyDescent="0.25">
      <c r="B24" s="168" t="s">
        <v>757</v>
      </c>
      <c r="C24" s="168" t="s">
        <v>573</v>
      </c>
      <c r="D24" s="168"/>
      <c r="E24" s="168" t="s">
        <v>574</v>
      </c>
      <c r="F24" s="168" t="s">
        <v>1602</v>
      </c>
      <c r="G24" s="168" t="s">
        <v>1603</v>
      </c>
      <c r="H24" s="168" t="s">
        <v>602</v>
      </c>
      <c r="I24" s="169">
        <v>602.84</v>
      </c>
      <c r="J24" s="169">
        <v>2432.94</v>
      </c>
      <c r="T24" s="172">
        <f>I24</f>
        <v>602.84</v>
      </c>
    </row>
    <row r="25" spans="2:34" ht="23.25" x14ac:dyDescent="0.25">
      <c r="B25" s="168" t="s">
        <v>586</v>
      </c>
      <c r="C25" s="168" t="s">
        <v>644</v>
      </c>
      <c r="D25" s="168">
        <v>4247984</v>
      </c>
      <c r="E25" s="168" t="s">
        <v>574</v>
      </c>
      <c r="F25" s="168" t="s">
        <v>1604</v>
      </c>
      <c r="G25" s="168" t="s">
        <v>1605</v>
      </c>
      <c r="H25" s="168" t="s">
        <v>648</v>
      </c>
      <c r="I25" s="169">
        <v>266.5</v>
      </c>
      <c r="J25" s="169">
        <v>2699.44</v>
      </c>
      <c r="AB25" s="172">
        <f>I25</f>
        <v>266.5</v>
      </c>
      <c r="AC25" s="172"/>
      <c r="AD25" s="172"/>
      <c r="AE25" s="172"/>
      <c r="AF25" s="172"/>
      <c r="AG25" s="172"/>
      <c r="AH25" s="172"/>
    </row>
    <row r="26" spans="2:34" x14ac:dyDescent="0.25">
      <c r="B26" s="168" t="s">
        <v>729</v>
      </c>
      <c r="C26" s="168" t="s">
        <v>676</v>
      </c>
      <c r="D26" s="168" t="s">
        <v>1606</v>
      </c>
      <c r="E26" s="168" t="s">
        <v>574</v>
      </c>
      <c r="F26" s="168"/>
      <c r="G26" s="168" t="s">
        <v>1607</v>
      </c>
      <c r="H26" s="170" t="s">
        <v>679</v>
      </c>
      <c r="I26" s="169">
        <v>487.27</v>
      </c>
      <c r="J26" s="169">
        <v>3186.71</v>
      </c>
      <c r="Q26" s="172">
        <f>I26</f>
        <v>487.27</v>
      </c>
    </row>
    <row r="27" spans="2:34" x14ac:dyDescent="0.25">
      <c r="B27" s="168" t="s">
        <v>589</v>
      </c>
      <c r="C27" s="168" t="s">
        <v>573</v>
      </c>
      <c r="D27" s="168"/>
      <c r="E27" s="168" t="s">
        <v>574</v>
      </c>
      <c r="F27" s="168" t="s">
        <v>560</v>
      </c>
      <c r="G27" s="168" t="s">
        <v>1574</v>
      </c>
      <c r="H27" s="168" t="s">
        <v>577</v>
      </c>
      <c r="I27" s="169">
        <v>179.09</v>
      </c>
      <c r="J27" s="169">
        <v>3365.8</v>
      </c>
      <c r="K27" s="172">
        <f>I27</f>
        <v>179.09</v>
      </c>
    </row>
    <row r="28" spans="2:34" x14ac:dyDescent="0.25">
      <c r="B28" s="168" t="s">
        <v>861</v>
      </c>
      <c r="C28" s="168" t="s">
        <v>573</v>
      </c>
      <c r="D28" s="168"/>
      <c r="E28" s="168" t="s">
        <v>574</v>
      </c>
      <c r="F28" s="168" t="s">
        <v>485</v>
      </c>
      <c r="G28" s="168" t="s">
        <v>1608</v>
      </c>
      <c r="H28" s="168" t="s">
        <v>581</v>
      </c>
      <c r="I28" s="169">
        <v>626.41</v>
      </c>
      <c r="J28" s="169">
        <v>3992.21</v>
      </c>
      <c r="M28" s="172">
        <f>I28</f>
        <v>626.41</v>
      </c>
    </row>
    <row r="29" spans="2:34" x14ac:dyDescent="0.25">
      <c r="B29" s="168" t="s">
        <v>861</v>
      </c>
      <c r="C29" s="168" t="s">
        <v>573</v>
      </c>
      <c r="D29" s="168"/>
      <c r="E29" s="168" t="s">
        <v>574</v>
      </c>
      <c r="F29" s="168" t="s">
        <v>1575</v>
      </c>
      <c r="G29" s="168" t="s">
        <v>1576</v>
      </c>
      <c r="H29" s="168" t="s">
        <v>577</v>
      </c>
      <c r="I29" s="169">
        <v>21.27</v>
      </c>
      <c r="J29" s="169">
        <v>4013.48</v>
      </c>
      <c r="Y29" s="172">
        <f>I29</f>
        <v>21.27</v>
      </c>
      <c r="Z29" s="172"/>
      <c r="AA29" s="172"/>
      <c r="AB29" s="172"/>
      <c r="AC29" s="172"/>
      <c r="AD29" s="172"/>
      <c r="AE29" s="172"/>
      <c r="AF29" s="172"/>
      <c r="AG29" s="172"/>
      <c r="AH29" s="172"/>
    </row>
    <row r="30" spans="2:34" x14ac:dyDescent="0.25">
      <c r="B30" s="168" t="s">
        <v>1076</v>
      </c>
      <c r="C30" s="168" t="s">
        <v>573</v>
      </c>
      <c r="D30" s="168"/>
      <c r="E30" s="168" t="s">
        <v>574</v>
      </c>
      <c r="F30" s="168" t="s">
        <v>1577</v>
      </c>
      <c r="G30" s="168" t="s">
        <v>1578</v>
      </c>
      <c r="H30" s="168" t="s">
        <v>577</v>
      </c>
      <c r="I30" s="169">
        <v>15.96</v>
      </c>
      <c r="J30" s="169">
        <v>4029.44</v>
      </c>
      <c r="L30" s="172">
        <f>I30</f>
        <v>15.96</v>
      </c>
    </row>
    <row r="31" spans="2:34" ht="23.25" x14ac:dyDescent="0.25">
      <c r="B31" s="168" t="s">
        <v>862</v>
      </c>
      <c r="C31" s="168" t="s">
        <v>573</v>
      </c>
      <c r="D31" s="168"/>
      <c r="E31" s="168" t="s">
        <v>574</v>
      </c>
      <c r="F31" s="168" t="s">
        <v>1582</v>
      </c>
      <c r="G31" s="168" t="s">
        <v>1609</v>
      </c>
      <c r="H31" s="168" t="s">
        <v>742</v>
      </c>
      <c r="I31" s="169">
        <v>127.18</v>
      </c>
      <c r="J31" s="169">
        <v>4156.62</v>
      </c>
      <c r="O31" s="172">
        <f>I31</f>
        <v>127.18</v>
      </c>
    </row>
    <row r="32" spans="2:34" x14ac:dyDescent="0.25">
      <c r="B32" s="168" t="s">
        <v>864</v>
      </c>
      <c r="C32" s="168" t="s">
        <v>573</v>
      </c>
      <c r="D32" s="168"/>
      <c r="E32" s="168" t="s">
        <v>574</v>
      </c>
      <c r="F32" s="168" t="s">
        <v>1587</v>
      </c>
      <c r="G32" s="168" t="s">
        <v>1588</v>
      </c>
      <c r="H32" s="168" t="s">
        <v>577</v>
      </c>
      <c r="I32" s="169">
        <v>37</v>
      </c>
      <c r="J32" s="169">
        <v>4193.62</v>
      </c>
      <c r="Z32" s="172">
        <f>I32</f>
        <v>37</v>
      </c>
      <c r="AA32" s="172"/>
      <c r="AB32" s="172"/>
      <c r="AC32" s="172"/>
      <c r="AD32" s="172"/>
      <c r="AE32" s="172"/>
      <c r="AF32" s="172"/>
      <c r="AG32" s="172"/>
      <c r="AH32" s="172"/>
    </row>
    <row r="33" spans="2:34" ht="45.75" x14ac:dyDescent="0.25">
      <c r="B33" s="168" t="s">
        <v>864</v>
      </c>
      <c r="C33" s="168" t="s">
        <v>573</v>
      </c>
      <c r="D33" s="168"/>
      <c r="E33" s="168" t="s">
        <v>574</v>
      </c>
      <c r="F33" s="168" t="s">
        <v>1584</v>
      </c>
      <c r="G33" s="168" t="s">
        <v>1610</v>
      </c>
      <c r="H33" s="168" t="s">
        <v>585</v>
      </c>
      <c r="I33" s="169">
        <v>246.25</v>
      </c>
      <c r="J33" s="169">
        <v>4439.87</v>
      </c>
      <c r="Q33" s="172">
        <f>I33</f>
        <v>246.25</v>
      </c>
    </row>
    <row r="34" spans="2:34" x14ac:dyDescent="0.25">
      <c r="B34" s="168" t="s">
        <v>1095</v>
      </c>
      <c r="C34" s="168" t="s">
        <v>573</v>
      </c>
      <c r="D34" s="168"/>
      <c r="E34" s="168" t="s">
        <v>574</v>
      </c>
      <c r="F34" s="168" t="s">
        <v>1580</v>
      </c>
      <c r="G34" s="168" t="s">
        <v>1581</v>
      </c>
      <c r="H34" s="168" t="s">
        <v>577</v>
      </c>
      <c r="I34" s="169">
        <v>40</v>
      </c>
      <c r="J34" s="169">
        <v>4479.87</v>
      </c>
      <c r="N34" s="172">
        <f>I34</f>
        <v>40</v>
      </c>
    </row>
    <row r="35" spans="2:34" x14ac:dyDescent="0.25">
      <c r="B35" s="168" t="s">
        <v>1169</v>
      </c>
      <c r="C35" s="168" t="s">
        <v>573</v>
      </c>
      <c r="D35" s="168"/>
      <c r="E35" s="168" t="s">
        <v>574</v>
      </c>
      <c r="F35" s="168" t="s">
        <v>1593</v>
      </c>
      <c r="G35" s="168" t="s">
        <v>1594</v>
      </c>
      <c r="H35" s="168" t="s">
        <v>581</v>
      </c>
      <c r="I35" s="169">
        <v>93.28</v>
      </c>
      <c r="J35" s="169">
        <v>4573.1499999999996</v>
      </c>
      <c r="U35" s="172">
        <f>I35</f>
        <v>93.28</v>
      </c>
    </row>
    <row r="36" spans="2:34" x14ac:dyDescent="0.25">
      <c r="B36" s="168" t="s">
        <v>762</v>
      </c>
      <c r="C36" s="168" t="s">
        <v>573</v>
      </c>
      <c r="D36" s="168"/>
      <c r="E36" s="168" t="s">
        <v>574</v>
      </c>
      <c r="F36" s="168" t="s">
        <v>1595</v>
      </c>
      <c r="G36" s="168" t="s">
        <v>1596</v>
      </c>
      <c r="H36" s="168" t="s">
        <v>577</v>
      </c>
      <c r="I36" s="169">
        <v>12.5</v>
      </c>
      <c r="J36" s="169">
        <v>4585.6499999999996</v>
      </c>
      <c r="AA36" s="172">
        <f>I36</f>
        <v>12.5</v>
      </c>
      <c r="AB36" s="172"/>
      <c r="AC36" s="172"/>
      <c r="AD36" s="172"/>
      <c r="AE36" s="172"/>
      <c r="AF36" s="172"/>
      <c r="AG36" s="172"/>
      <c r="AH36" s="172"/>
    </row>
    <row r="37" spans="2:34" x14ac:dyDescent="0.25">
      <c r="B37" s="168" t="s">
        <v>762</v>
      </c>
      <c r="C37" s="168" t="s">
        <v>573</v>
      </c>
      <c r="D37" s="168"/>
      <c r="E37" s="168" t="s">
        <v>574</v>
      </c>
      <c r="F37" s="168" t="s">
        <v>1589</v>
      </c>
      <c r="G37" s="168" t="s">
        <v>1611</v>
      </c>
      <c r="H37" s="168" t="s">
        <v>577</v>
      </c>
      <c r="I37" s="169">
        <v>59.53</v>
      </c>
      <c r="J37" s="169">
        <v>4645.18</v>
      </c>
      <c r="R37" s="172">
        <f>I37</f>
        <v>59.53</v>
      </c>
    </row>
    <row r="38" spans="2:34" ht="23.25" x14ac:dyDescent="0.25">
      <c r="B38" s="168" t="s">
        <v>1181</v>
      </c>
      <c r="C38" s="168" t="s">
        <v>573</v>
      </c>
      <c r="D38" s="168"/>
      <c r="E38" s="168" t="s">
        <v>574</v>
      </c>
      <c r="F38" s="168" t="s">
        <v>1597</v>
      </c>
      <c r="G38" s="168" t="s">
        <v>1598</v>
      </c>
      <c r="H38" s="168" t="s">
        <v>739</v>
      </c>
      <c r="I38" s="169">
        <v>250</v>
      </c>
      <c r="J38" s="169">
        <v>4895.18</v>
      </c>
      <c r="W38" s="172">
        <f>I38</f>
        <v>250</v>
      </c>
      <c r="X38" s="172"/>
      <c r="Y38" s="172"/>
      <c r="Z38" s="172"/>
      <c r="AA38" s="172"/>
      <c r="AB38" s="172"/>
      <c r="AC38" s="172"/>
      <c r="AD38" s="172"/>
      <c r="AE38" s="172"/>
      <c r="AF38" s="172"/>
      <c r="AG38" s="172"/>
    </row>
    <row r="39" spans="2:34" x14ac:dyDescent="0.25">
      <c r="B39" s="168" t="s">
        <v>881</v>
      </c>
      <c r="C39" s="168" t="s">
        <v>573</v>
      </c>
      <c r="D39" s="168"/>
      <c r="E39" s="168" t="s">
        <v>574</v>
      </c>
      <c r="F39" s="168" t="s">
        <v>1589</v>
      </c>
      <c r="G39" s="168" t="s">
        <v>1612</v>
      </c>
      <c r="H39" s="168" t="s">
        <v>581</v>
      </c>
      <c r="I39" s="169">
        <v>10.81</v>
      </c>
      <c r="J39" s="169">
        <v>4905.99</v>
      </c>
      <c r="R39" s="172">
        <f>I39</f>
        <v>10.81</v>
      </c>
    </row>
    <row r="40" spans="2:34" ht="23.25" x14ac:dyDescent="0.25">
      <c r="B40" s="168" t="s">
        <v>881</v>
      </c>
      <c r="C40" s="168" t="s">
        <v>573</v>
      </c>
      <c r="D40" s="168"/>
      <c r="E40" s="168" t="s">
        <v>574</v>
      </c>
      <c r="F40" s="168" t="s">
        <v>1600</v>
      </c>
      <c r="G40" s="168" t="s">
        <v>1600</v>
      </c>
      <c r="H40" s="168" t="s">
        <v>742</v>
      </c>
      <c r="I40" s="169">
        <v>17.309999999999999</v>
      </c>
      <c r="J40" s="169">
        <v>4923.3</v>
      </c>
      <c r="V40" s="172">
        <f>I40</f>
        <v>17.309999999999999</v>
      </c>
    </row>
    <row r="41" spans="2:34" x14ac:dyDescent="0.25">
      <c r="B41" s="168" t="s">
        <v>595</v>
      </c>
      <c r="C41" s="168" t="s">
        <v>573</v>
      </c>
      <c r="D41" s="168"/>
      <c r="E41" s="168" t="s">
        <v>574</v>
      </c>
      <c r="F41" s="168" t="s">
        <v>1589</v>
      </c>
      <c r="G41" s="168" t="s">
        <v>1612</v>
      </c>
      <c r="H41" s="168" t="s">
        <v>581</v>
      </c>
      <c r="I41" s="169">
        <v>32.46</v>
      </c>
      <c r="J41" s="169">
        <v>4955.76</v>
      </c>
      <c r="R41" s="172">
        <f>I41</f>
        <v>32.46</v>
      </c>
    </row>
    <row r="42" spans="2:34" ht="34.5" x14ac:dyDescent="0.25">
      <c r="B42" s="168" t="s">
        <v>764</v>
      </c>
      <c r="C42" s="168" t="s">
        <v>573</v>
      </c>
      <c r="D42" s="168"/>
      <c r="E42" s="168" t="s">
        <v>574</v>
      </c>
      <c r="F42" s="168" t="s">
        <v>1591</v>
      </c>
      <c r="G42" s="168" t="s">
        <v>1592</v>
      </c>
      <c r="H42" s="168" t="s">
        <v>602</v>
      </c>
      <c r="I42" s="169">
        <v>111.93</v>
      </c>
      <c r="J42" s="169">
        <v>5067.6899999999996</v>
      </c>
      <c r="S42" s="172">
        <f>I42</f>
        <v>111.93</v>
      </c>
    </row>
    <row r="43" spans="2:34" x14ac:dyDescent="0.25">
      <c r="B43" s="168" t="s">
        <v>882</v>
      </c>
      <c r="C43" s="168" t="s">
        <v>676</v>
      </c>
      <c r="D43" s="168" t="s">
        <v>1613</v>
      </c>
      <c r="E43" s="168" t="s">
        <v>574</v>
      </c>
      <c r="F43" s="168"/>
      <c r="G43" s="168" t="s">
        <v>1607</v>
      </c>
      <c r="H43" s="170" t="s">
        <v>679</v>
      </c>
      <c r="I43" s="169">
        <v>487.27</v>
      </c>
      <c r="J43" s="169">
        <v>5554.96</v>
      </c>
      <c r="Q43" s="172">
        <f>I43</f>
        <v>487.27</v>
      </c>
    </row>
    <row r="44" spans="2:34" x14ac:dyDescent="0.25">
      <c r="B44" s="168" t="s">
        <v>598</v>
      </c>
      <c r="C44" s="168" t="s">
        <v>573</v>
      </c>
      <c r="D44" s="168"/>
      <c r="E44" s="168" t="s">
        <v>574</v>
      </c>
      <c r="F44" s="168" t="s">
        <v>560</v>
      </c>
      <c r="G44" s="168" t="s">
        <v>1574</v>
      </c>
      <c r="H44" s="168" t="s">
        <v>577</v>
      </c>
      <c r="I44" s="169">
        <v>179.09</v>
      </c>
      <c r="J44" s="169">
        <v>5734.05</v>
      </c>
      <c r="K44" s="172">
        <f>I44</f>
        <v>179.09</v>
      </c>
    </row>
    <row r="45" spans="2:34" x14ac:dyDescent="0.25">
      <c r="B45" s="168" t="s">
        <v>889</v>
      </c>
      <c r="C45" s="168" t="s">
        <v>573</v>
      </c>
      <c r="D45" s="168"/>
      <c r="E45" s="168" t="s">
        <v>574</v>
      </c>
      <c r="F45" s="168" t="s">
        <v>1575</v>
      </c>
      <c r="G45" s="168" t="s">
        <v>1576</v>
      </c>
      <c r="H45" s="168" t="s">
        <v>577</v>
      </c>
      <c r="I45" s="169">
        <v>21.27</v>
      </c>
      <c r="J45" s="169">
        <v>5755.32</v>
      </c>
      <c r="Y45" s="172">
        <f>I45</f>
        <v>21.27</v>
      </c>
      <c r="Z45" s="172"/>
      <c r="AA45" s="172"/>
      <c r="AB45" s="172"/>
      <c r="AC45" s="172"/>
      <c r="AD45" s="172"/>
      <c r="AE45" s="172"/>
      <c r="AF45" s="172"/>
      <c r="AG45" s="172"/>
      <c r="AH45" s="172"/>
    </row>
    <row r="46" spans="2:34" x14ac:dyDescent="0.25">
      <c r="B46" s="168" t="s">
        <v>889</v>
      </c>
      <c r="C46" s="168" t="s">
        <v>573</v>
      </c>
      <c r="D46" s="168"/>
      <c r="E46" s="168" t="s">
        <v>574</v>
      </c>
      <c r="F46" s="168" t="s">
        <v>1580</v>
      </c>
      <c r="G46" s="168" t="s">
        <v>1581</v>
      </c>
      <c r="H46" s="168" t="s">
        <v>577</v>
      </c>
      <c r="I46" s="169">
        <v>40</v>
      </c>
      <c r="J46" s="169">
        <v>5795.32</v>
      </c>
      <c r="N46" s="172">
        <f>I46</f>
        <v>40</v>
      </c>
    </row>
    <row r="47" spans="2:34" ht="45.75" x14ac:dyDescent="0.25">
      <c r="B47" s="168" t="s">
        <v>889</v>
      </c>
      <c r="C47" s="168" t="s">
        <v>573</v>
      </c>
      <c r="D47" s="168"/>
      <c r="E47" s="168" t="s">
        <v>574</v>
      </c>
      <c r="F47" s="168" t="s">
        <v>1584</v>
      </c>
      <c r="G47" s="168" t="s">
        <v>1614</v>
      </c>
      <c r="H47" s="168" t="s">
        <v>585</v>
      </c>
      <c r="I47" s="169">
        <v>259.02999999999997</v>
      </c>
      <c r="J47" s="169">
        <v>6054.35</v>
      </c>
      <c r="P47" s="172">
        <f>I47</f>
        <v>259.02999999999997</v>
      </c>
    </row>
    <row r="48" spans="2:34" x14ac:dyDescent="0.25">
      <c r="B48" s="168" t="s">
        <v>1191</v>
      </c>
      <c r="C48" s="168" t="s">
        <v>573</v>
      </c>
      <c r="D48" s="168"/>
      <c r="E48" s="168" t="s">
        <v>574</v>
      </c>
      <c r="F48" s="168" t="s">
        <v>485</v>
      </c>
      <c r="G48" s="168" t="s">
        <v>1615</v>
      </c>
      <c r="H48" s="168" t="s">
        <v>577</v>
      </c>
      <c r="I48" s="169">
        <v>665.16</v>
      </c>
      <c r="J48" s="169">
        <v>6719.51</v>
      </c>
      <c r="M48" s="172">
        <f>I48</f>
        <v>665.16</v>
      </c>
    </row>
    <row r="49" spans="2:34" x14ac:dyDescent="0.25">
      <c r="B49" s="168" t="s">
        <v>1191</v>
      </c>
      <c r="C49" s="168" t="s">
        <v>573</v>
      </c>
      <c r="D49" s="168"/>
      <c r="E49" s="168" t="s">
        <v>574</v>
      </c>
      <c r="F49" s="168" t="s">
        <v>1577</v>
      </c>
      <c r="G49" s="168" t="s">
        <v>1578</v>
      </c>
      <c r="H49" s="168" t="s">
        <v>577</v>
      </c>
      <c r="I49" s="169">
        <v>15.96</v>
      </c>
      <c r="J49" s="169">
        <v>6735.47</v>
      </c>
      <c r="L49" s="172">
        <f>I49</f>
        <v>15.96</v>
      </c>
    </row>
    <row r="50" spans="2:34" x14ac:dyDescent="0.25">
      <c r="B50" s="168" t="s">
        <v>1191</v>
      </c>
      <c r="C50" s="168" t="s">
        <v>573</v>
      </c>
      <c r="D50" s="168"/>
      <c r="E50" s="168" t="s">
        <v>574</v>
      </c>
      <c r="F50" s="168" t="s">
        <v>485</v>
      </c>
      <c r="G50" s="168" t="s">
        <v>1616</v>
      </c>
      <c r="H50" s="168" t="s">
        <v>577</v>
      </c>
      <c r="I50" s="169">
        <v>3495.62</v>
      </c>
      <c r="J50" s="169">
        <v>10231.09</v>
      </c>
      <c r="M50" s="172">
        <f>I50</f>
        <v>3495.62</v>
      </c>
    </row>
    <row r="51" spans="2:34" ht="23.25" x14ac:dyDescent="0.25">
      <c r="B51" s="168" t="s">
        <v>1194</v>
      </c>
      <c r="C51" s="168" t="s">
        <v>573</v>
      </c>
      <c r="D51" s="168"/>
      <c r="E51" s="168" t="s">
        <v>574</v>
      </c>
      <c r="F51" s="168" t="s">
        <v>1582</v>
      </c>
      <c r="G51" s="168" t="s">
        <v>1617</v>
      </c>
      <c r="H51" s="168" t="s">
        <v>742</v>
      </c>
      <c r="I51" s="169">
        <v>127.18</v>
      </c>
      <c r="J51" s="169">
        <v>10358.27</v>
      </c>
      <c r="O51" s="172">
        <f>I51</f>
        <v>127.18</v>
      </c>
    </row>
    <row r="52" spans="2:34" x14ac:dyDescent="0.25">
      <c r="B52" s="168" t="s">
        <v>765</v>
      </c>
      <c r="C52" s="168" t="s">
        <v>573</v>
      </c>
      <c r="D52" s="168"/>
      <c r="E52" s="168" t="s">
        <v>574</v>
      </c>
      <c r="F52" s="168" t="s">
        <v>1587</v>
      </c>
      <c r="G52" s="168" t="s">
        <v>1588</v>
      </c>
      <c r="H52" s="168" t="s">
        <v>577</v>
      </c>
      <c r="I52" s="169">
        <v>37</v>
      </c>
      <c r="J52" s="169">
        <v>10395.27</v>
      </c>
      <c r="Z52" s="172">
        <f>I52</f>
        <v>37</v>
      </c>
      <c r="AA52" s="172"/>
      <c r="AB52" s="172"/>
      <c r="AC52" s="172"/>
      <c r="AD52" s="172"/>
      <c r="AE52" s="172"/>
      <c r="AF52" s="172"/>
      <c r="AG52" s="172"/>
      <c r="AH52" s="172"/>
    </row>
    <row r="53" spans="2:34" x14ac:dyDescent="0.25">
      <c r="B53" s="168" t="s">
        <v>733</v>
      </c>
      <c r="C53" s="168" t="s">
        <v>573</v>
      </c>
      <c r="D53" s="168"/>
      <c r="E53" s="168" t="s">
        <v>574</v>
      </c>
      <c r="F53" s="168" t="s">
        <v>1589</v>
      </c>
      <c r="G53" s="168" t="s">
        <v>1612</v>
      </c>
      <c r="H53" s="168" t="s">
        <v>577</v>
      </c>
      <c r="I53" s="169">
        <v>59.53</v>
      </c>
      <c r="J53" s="169">
        <v>10454.799999999999</v>
      </c>
      <c r="R53" s="172">
        <f>I53</f>
        <v>59.53</v>
      </c>
    </row>
    <row r="54" spans="2:34" ht="34.5" x14ac:dyDescent="0.25">
      <c r="B54" s="168" t="s">
        <v>1041</v>
      </c>
      <c r="C54" s="168" t="s">
        <v>573</v>
      </c>
      <c r="D54" s="168"/>
      <c r="E54" s="168" t="s">
        <v>574</v>
      </c>
      <c r="F54" s="168" t="s">
        <v>1602</v>
      </c>
      <c r="G54" s="168" t="s">
        <v>1603</v>
      </c>
      <c r="H54" s="168" t="s">
        <v>602</v>
      </c>
      <c r="I54" s="169">
        <v>553.62</v>
      </c>
      <c r="J54" s="169">
        <v>11008.42</v>
      </c>
      <c r="T54" s="172">
        <f>I54</f>
        <v>553.62</v>
      </c>
    </row>
    <row r="55" spans="2:34" ht="34.5" x14ac:dyDescent="0.25">
      <c r="B55" s="168" t="s">
        <v>767</v>
      </c>
      <c r="C55" s="168" t="s">
        <v>573</v>
      </c>
      <c r="D55" s="168"/>
      <c r="E55" s="168" t="s">
        <v>574</v>
      </c>
      <c r="F55" s="168" t="s">
        <v>1591</v>
      </c>
      <c r="G55" s="168" t="s">
        <v>1592</v>
      </c>
      <c r="H55" s="168" t="s">
        <v>602</v>
      </c>
      <c r="I55" s="169">
        <v>111.93</v>
      </c>
      <c r="J55" s="169">
        <v>11120.35</v>
      </c>
      <c r="S55" s="172">
        <f>I55</f>
        <v>111.93</v>
      </c>
    </row>
    <row r="56" spans="2:34" x14ac:dyDescent="0.25">
      <c r="B56" s="168" t="s">
        <v>1618</v>
      </c>
      <c r="C56" s="168" t="s">
        <v>573</v>
      </c>
      <c r="D56" s="168"/>
      <c r="E56" s="168" t="s">
        <v>574</v>
      </c>
      <c r="F56" s="168" t="s">
        <v>1593</v>
      </c>
      <c r="G56" s="168" t="s">
        <v>1594</v>
      </c>
      <c r="H56" s="168" t="s">
        <v>581</v>
      </c>
      <c r="I56" s="169">
        <v>93.28</v>
      </c>
      <c r="J56" s="169">
        <v>11213.63</v>
      </c>
      <c r="U56" s="172">
        <f>I56</f>
        <v>93.28</v>
      </c>
    </row>
    <row r="57" spans="2:34" x14ac:dyDescent="0.25">
      <c r="B57" s="168" t="s">
        <v>893</v>
      </c>
      <c r="C57" s="168" t="s">
        <v>573</v>
      </c>
      <c r="D57" s="168"/>
      <c r="E57" s="168" t="s">
        <v>574</v>
      </c>
      <c r="F57" s="168" t="s">
        <v>1619</v>
      </c>
      <c r="G57" s="168" t="s">
        <v>1620</v>
      </c>
      <c r="H57" s="168" t="s">
        <v>577</v>
      </c>
      <c r="I57" s="169">
        <v>370.97</v>
      </c>
      <c r="J57" s="169">
        <v>11584.6</v>
      </c>
      <c r="AH57" s="172">
        <f>I57</f>
        <v>370.97</v>
      </c>
    </row>
    <row r="58" spans="2:34" x14ac:dyDescent="0.25">
      <c r="B58" s="168" t="s">
        <v>895</v>
      </c>
      <c r="C58" s="168" t="s">
        <v>573</v>
      </c>
      <c r="D58" s="168"/>
      <c r="E58" s="168" t="s">
        <v>574</v>
      </c>
      <c r="F58" s="168" t="s">
        <v>1595</v>
      </c>
      <c r="G58" s="168" t="s">
        <v>1596</v>
      </c>
      <c r="H58" s="168" t="s">
        <v>577</v>
      </c>
      <c r="I58" s="169">
        <v>12.5</v>
      </c>
      <c r="J58" s="169">
        <v>11597.1</v>
      </c>
      <c r="AA58" s="172">
        <f>I58</f>
        <v>12.5</v>
      </c>
      <c r="AB58" s="172"/>
      <c r="AC58" s="172"/>
      <c r="AD58" s="172"/>
      <c r="AE58" s="172"/>
      <c r="AF58" s="172"/>
      <c r="AG58" s="172"/>
      <c r="AH58" s="172"/>
    </row>
    <row r="59" spans="2:34" ht="23.25" x14ac:dyDescent="0.25">
      <c r="B59" s="168" t="s">
        <v>607</v>
      </c>
      <c r="C59" s="168" t="s">
        <v>573</v>
      </c>
      <c r="D59" s="168"/>
      <c r="E59" s="168" t="s">
        <v>574</v>
      </c>
      <c r="F59" s="168" t="s">
        <v>1597</v>
      </c>
      <c r="G59" s="168" t="s">
        <v>1598</v>
      </c>
      <c r="H59" s="168" t="s">
        <v>739</v>
      </c>
      <c r="I59" s="169">
        <v>250</v>
      </c>
      <c r="J59" s="169">
        <v>11847.1</v>
      </c>
      <c r="W59" s="172">
        <f>I59</f>
        <v>250</v>
      </c>
      <c r="X59" s="172"/>
      <c r="Y59" s="172"/>
      <c r="Z59" s="172"/>
      <c r="AA59" s="172"/>
      <c r="AB59" s="172"/>
      <c r="AC59" s="172"/>
      <c r="AD59" s="172"/>
      <c r="AE59" s="172"/>
      <c r="AF59" s="172"/>
      <c r="AG59" s="172"/>
    </row>
    <row r="60" spans="2:34" x14ac:dyDescent="0.25">
      <c r="B60" s="168" t="s">
        <v>897</v>
      </c>
      <c r="C60" s="168" t="s">
        <v>573</v>
      </c>
      <c r="D60" s="168"/>
      <c r="E60" s="168" t="s">
        <v>574</v>
      </c>
      <c r="F60" s="168" t="s">
        <v>1602</v>
      </c>
      <c r="G60" s="168" t="s">
        <v>1603</v>
      </c>
      <c r="H60" s="168" t="s">
        <v>577</v>
      </c>
      <c r="I60" s="169">
        <v>553.62</v>
      </c>
      <c r="J60" s="169">
        <v>12400.72</v>
      </c>
      <c r="T60" s="172">
        <f>I60</f>
        <v>553.62</v>
      </c>
    </row>
    <row r="61" spans="2:34" ht="23.25" x14ac:dyDescent="0.25">
      <c r="B61" s="168" t="s">
        <v>768</v>
      </c>
      <c r="C61" s="168" t="s">
        <v>573</v>
      </c>
      <c r="D61" s="168"/>
      <c r="E61" s="168" t="s">
        <v>574</v>
      </c>
      <c r="F61" s="168" t="s">
        <v>1600</v>
      </c>
      <c r="G61" s="168" t="s">
        <v>1600</v>
      </c>
      <c r="H61" s="168" t="s">
        <v>742</v>
      </c>
      <c r="I61" s="169">
        <v>17.309999999999999</v>
      </c>
      <c r="J61" s="169">
        <v>12418.03</v>
      </c>
      <c r="V61" s="172">
        <f>I61</f>
        <v>17.309999999999999</v>
      </c>
    </row>
    <row r="62" spans="2:34" x14ac:dyDescent="0.25">
      <c r="B62" s="168" t="s">
        <v>1080</v>
      </c>
      <c r="C62" s="168" t="s">
        <v>573</v>
      </c>
      <c r="D62" s="168"/>
      <c r="E62" s="168" t="s">
        <v>574</v>
      </c>
      <c r="F62" s="168" t="s">
        <v>1589</v>
      </c>
      <c r="G62" s="168" t="s">
        <v>1612</v>
      </c>
      <c r="H62" s="168" t="s">
        <v>581</v>
      </c>
      <c r="I62" s="169">
        <v>32.46</v>
      </c>
      <c r="J62" s="169">
        <v>12450.49</v>
      </c>
      <c r="R62" s="172">
        <f>I62</f>
        <v>32.46</v>
      </c>
    </row>
    <row r="63" spans="2:34" x14ac:dyDescent="0.25">
      <c r="B63" s="168" t="s">
        <v>1080</v>
      </c>
      <c r="C63" s="168" t="s">
        <v>573</v>
      </c>
      <c r="D63" s="168"/>
      <c r="E63" s="168" t="s">
        <v>574</v>
      </c>
      <c r="F63" s="168" t="s">
        <v>1589</v>
      </c>
      <c r="G63" s="168" t="s">
        <v>1612</v>
      </c>
      <c r="H63" s="168" t="s">
        <v>581</v>
      </c>
      <c r="I63" s="169">
        <v>10.81</v>
      </c>
      <c r="J63" s="169">
        <v>12461.3</v>
      </c>
      <c r="R63" s="172">
        <f>I63</f>
        <v>10.81</v>
      </c>
    </row>
    <row r="64" spans="2:34" x14ac:dyDescent="0.25">
      <c r="B64" s="168" t="s">
        <v>771</v>
      </c>
      <c r="C64" s="168" t="s">
        <v>676</v>
      </c>
      <c r="D64" s="168" t="s">
        <v>1621</v>
      </c>
      <c r="E64" s="168" t="s">
        <v>574</v>
      </c>
      <c r="F64" s="168"/>
      <c r="G64" s="168" t="s">
        <v>1607</v>
      </c>
      <c r="H64" s="170" t="s">
        <v>679</v>
      </c>
      <c r="I64" s="169">
        <v>487.27</v>
      </c>
      <c r="J64" s="169">
        <v>12948.57</v>
      </c>
      <c r="Q64" s="172">
        <f>I64</f>
        <v>487.27</v>
      </c>
    </row>
    <row r="65" spans="2:34" x14ac:dyDescent="0.25">
      <c r="B65" s="168" t="s">
        <v>608</v>
      </c>
      <c r="C65" s="168" t="s">
        <v>573</v>
      </c>
      <c r="D65" s="168"/>
      <c r="E65" s="168" t="s">
        <v>574</v>
      </c>
      <c r="F65" s="168" t="s">
        <v>560</v>
      </c>
      <c r="G65" s="168" t="s">
        <v>1574</v>
      </c>
      <c r="H65" s="168" t="s">
        <v>577</v>
      </c>
      <c r="I65" s="169">
        <v>179.09</v>
      </c>
      <c r="J65" s="169">
        <v>13127.66</v>
      </c>
      <c r="K65" s="172">
        <f>I65</f>
        <v>179.09</v>
      </c>
    </row>
    <row r="66" spans="2:34" x14ac:dyDescent="0.25">
      <c r="B66" s="168" t="s">
        <v>609</v>
      </c>
      <c r="C66" s="168" t="s">
        <v>573</v>
      </c>
      <c r="D66" s="168"/>
      <c r="E66" s="168" t="s">
        <v>574</v>
      </c>
      <c r="F66" s="168" t="s">
        <v>1575</v>
      </c>
      <c r="G66" s="168" t="s">
        <v>1576</v>
      </c>
      <c r="H66" s="168" t="s">
        <v>577</v>
      </c>
      <c r="I66" s="169">
        <v>21.27</v>
      </c>
      <c r="J66" s="169">
        <v>13148.93</v>
      </c>
      <c r="Y66" s="172">
        <f>I66</f>
        <v>21.27</v>
      </c>
      <c r="Z66" s="172"/>
      <c r="AA66" s="172"/>
      <c r="AB66" s="172"/>
      <c r="AC66" s="172"/>
      <c r="AD66" s="172"/>
      <c r="AE66" s="172"/>
      <c r="AF66" s="172"/>
      <c r="AG66" s="172"/>
      <c r="AH66" s="172"/>
    </row>
    <row r="67" spans="2:34" x14ac:dyDescent="0.25">
      <c r="B67" s="168" t="s">
        <v>609</v>
      </c>
      <c r="C67" s="168" t="s">
        <v>573</v>
      </c>
      <c r="D67" s="168"/>
      <c r="E67" s="168" t="s">
        <v>574</v>
      </c>
      <c r="F67" s="168" t="s">
        <v>1580</v>
      </c>
      <c r="G67" s="168" t="s">
        <v>1581</v>
      </c>
      <c r="H67" s="168" t="s">
        <v>577</v>
      </c>
      <c r="I67" s="169">
        <v>40</v>
      </c>
      <c r="J67" s="169">
        <v>13188.93</v>
      </c>
      <c r="N67" s="172">
        <f>I67</f>
        <v>40</v>
      </c>
    </row>
    <row r="68" spans="2:34" x14ac:dyDescent="0.25">
      <c r="B68" s="168" t="s">
        <v>609</v>
      </c>
      <c r="C68" s="168" t="s">
        <v>573</v>
      </c>
      <c r="D68" s="168"/>
      <c r="E68" s="168" t="s">
        <v>574</v>
      </c>
      <c r="F68" s="168" t="s">
        <v>485</v>
      </c>
      <c r="G68" s="168" t="s">
        <v>1622</v>
      </c>
      <c r="H68" s="168" t="s">
        <v>577</v>
      </c>
      <c r="I68" s="169">
        <v>217.33</v>
      </c>
      <c r="J68" s="169">
        <v>13406.26</v>
      </c>
      <c r="M68" s="172">
        <f>I68</f>
        <v>217.33</v>
      </c>
    </row>
    <row r="69" spans="2:34" x14ac:dyDescent="0.25">
      <c r="B69" s="168" t="s">
        <v>900</v>
      </c>
      <c r="C69" s="168" t="s">
        <v>573</v>
      </c>
      <c r="D69" s="168"/>
      <c r="E69" s="168" t="s">
        <v>574</v>
      </c>
      <c r="F69" s="168" t="s">
        <v>1577</v>
      </c>
      <c r="G69" s="168" t="s">
        <v>1578</v>
      </c>
      <c r="H69" s="168" t="s">
        <v>577</v>
      </c>
      <c r="I69" s="169">
        <v>15.96</v>
      </c>
      <c r="J69" s="169">
        <v>13422.22</v>
      </c>
      <c r="L69" s="172">
        <f>I69</f>
        <v>15.96</v>
      </c>
    </row>
    <row r="70" spans="2:34" ht="23.25" x14ac:dyDescent="0.25">
      <c r="B70" s="168" t="s">
        <v>901</v>
      </c>
      <c r="C70" s="168" t="s">
        <v>573</v>
      </c>
      <c r="D70" s="168"/>
      <c r="E70" s="168" t="s">
        <v>574</v>
      </c>
      <c r="F70" s="168" t="s">
        <v>1582</v>
      </c>
      <c r="G70" s="168" t="s">
        <v>1617</v>
      </c>
      <c r="H70" s="168" t="s">
        <v>742</v>
      </c>
      <c r="I70" s="169">
        <v>127.18</v>
      </c>
      <c r="J70" s="169">
        <v>13549.4</v>
      </c>
      <c r="O70" s="172">
        <f>I70</f>
        <v>127.18</v>
      </c>
    </row>
    <row r="71" spans="2:34" x14ac:dyDescent="0.25">
      <c r="B71" s="168" t="s">
        <v>901</v>
      </c>
      <c r="C71" s="168" t="s">
        <v>573</v>
      </c>
      <c r="D71" s="168"/>
      <c r="E71" s="168" t="s">
        <v>574</v>
      </c>
      <c r="F71" s="168" t="s">
        <v>1623</v>
      </c>
      <c r="G71" s="168" t="s">
        <v>1623</v>
      </c>
      <c r="H71" s="168" t="s">
        <v>581</v>
      </c>
      <c r="I71" s="169">
        <v>24</v>
      </c>
      <c r="J71" s="169">
        <v>13573.4</v>
      </c>
      <c r="AD71" s="172">
        <f>I71</f>
        <v>24</v>
      </c>
      <c r="AE71" s="172"/>
      <c r="AF71" s="172"/>
      <c r="AG71" s="172"/>
      <c r="AH71" s="172"/>
    </row>
    <row r="72" spans="2:34" x14ac:dyDescent="0.25">
      <c r="B72" s="168" t="s">
        <v>812</v>
      </c>
      <c r="C72" s="168" t="s">
        <v>573</v>
      </c>
      <c r="D72" s="168"/>
      <c r="E72" s="168" t="s">
        <v>574</v>
      </c>
      <c r="F72" s="168" t="s">
        <v>1602</v>
      </c>
      <c r="G72" s="168" t="s">
        <v>1603</v>
      </c>
      <c r="H72" s="168" t="s">
        <v>577</v>
      </c>
      <c r="I72" s="169">
        <v>137.51</v>
      </c>
      <c r="J72" s="169">
        <v>13710.91</v>
      </c>
      <c r="T72" s="172">
        <f>I72</f>
        <v>137.51</v>
      </c>
    </row>
    <row r="73" spans="2:34" x14ac:dyDescent="0.25">
      <c r="B73" s="168" t="s">
        <v>1430</v>
      </c>
      <c r="C73" s="168" t="s">
        <v>573</v>
      </c>
      <c r="D73" s="168"/>
      <c r="E73" s="168" t="s">
        <v>574</v>
      </c>
      <c r="F73" s="168" t="s">
        <v>1587</v>
      </c>
      <c r="G73" s="168" t="s">
        <v>1588</v>
      </c>
      <c r="H73" s="168" t="s">
        <v>577</v>
      </c>
      <c r="I73" s="169">
        <v>37</v>
      </c>
      <c r="J73" s="169">
        <v>13747.91</v>
      </c>
      <c r="Z73" s="172">
        <f>I73</f>
        <v>37</v>
      </c>
      <c r="AA73" s="172"/>
      <c r="AB73" s="172"/>
      <c r="AC73" s="172"/>
      <c r="AD73" s="172"/>
      <c r="AE73" s="172"/>
      <c r="AF73" s="172"/>
      <c r="AG73" s="172"/>
      <c r="AH73" s="172"/>
    </row>
    <row r="74" spans="2:34" ht="23.25" x14ac:dyDescent="0.25">
      <c r="B74" s="168" t="s">
        <v>902</v>
      </c>
      <c r="C74" s="168" t="s">
        <v>573</v>
      </c>
      <c r="D74" s="168"/>
      <c r="E74" s="168" t="s">
        <v>574</v>
      </c>
      <c r="F74" s="168" t="s">
        <v>1604</v>
      </c>
      <c r="G74" s="168" t="s">
        <v>1624</v>
      </c>
      <c r="H74" s="168" t="s">
        <v>742</v>
      </c>
      <c r="I74" s="169">
        <v>266.5</v>
      </c>
      <c r="J74" s="169">
        <v>14014.41</v>
      </c>
      <c r="AB74" s="172">
        <f>I74</f>
        <v>266.5</v>
      </c>
      <c r="AC74" s="172"/>
      <c r="AD74" s="172"/>
      <c r="AE74" s="172"/>
      <c r="AF74" s="172"/>
      <c r="AG74" s="172"/>
      <c r="AH74" s="172"/>
    </row>
    <row r="75" spans="2:34" x14ac:dyDescent="0.25">
      <c r="B75" s="168" t="s">
        <v>711</v>
      </c>
      <c r="C75" s="168" t="s">
        <v>573</v>
      </c>
      <c r="D75" s="168"/>
      <c r="E75" s="168" t="s">
        <v>574</v>
      </c>
      <c r="F75" s="168" t="s">
        <v>1602</v>
      </c>
      <c r="G75" s="168" t="s">
        <v>1603</v>
      </c>
      <c r="H75" s="168" t="s">
        <v>577</v>
      </c>
      <c r="I75" s="169">
        <v>881.88</v>
      </c>
      <c r="J75" s="169">
        <v>14896.29</v>
      </c>
      <c r="T75" s="172">
        <f>I75</f>
        <v>881.88</v>
      </c>
    </row>
    <row r="76" spans="2:34" x14ac:dyDescent="0.25">
      <c r="B76" s="168" t="s">
        <v>711</v>
      </c>
      <c r="C76" s="168" t="s">
        <v>573</v>
      </c>
      <c r="D76" s="168"/>
      <c r="E76" s="168" t="s">
        <v>574</v>
      </c>
      <c r="F76" s="168" t="s">
        <v>1589</v>
      </c>
      <c r="G76" s="168" t="s">
        <v>1612</v>
      </c>
      <c r="H76" s="168" t="s">
        <v>577</v>
      </c>
      <c r="I76" s="169">
        <v>59.53</v>
      </c>
      <c r="J76" s="169">
        <v>14955.82</v>
      </c>
      <c r="R76" s="172">
        <f>I76</f>
        <v>59.53</v>
      </c>
    </row>
    <row r="77" spans="2:34" x14ac:dyDescent="0.25">
      <c r="B77" s="168" t="s">
        <v>737</v>
      </c>
      <c r="C77" s="168" t="s">
        <v>573</v>
      </c>
      <c r="D77" s="168"/>
      <c r="E77" s="168" t="s">
        <v>574</v>
      </c>
      <c r="F77" s="168" t="s">
        <v>1593</v>
      </c>
      <c r="G77" s="168" t="s">
        <v>1594</v>
      </c>
      <c r="H77" s="168" t="s">
        <v>581</v>
      </c>
      <c r="I77" s="169">
        <v>93.28</v>
      </c>
      <c r="J77" s="169">
        <v>15049.1</v>
      </c>
      <c r="U77" s="172">
        <f>I77</f>
        <v>93.28</v>
      </c>
    </row>
    <row r="78" spans="2:34" ht="23.25" x14ac:dyDescent="0.25">
      <c r="B78" s="168" t="s">
        <v>737</v>
      </c>
      <c r="C78" s="168" t="s">
        <v>573</v>
      </c>
      <c r="D78" s="168"/>
      <c r="E78" s="168" t="s">
        <v>574</v>
      </c>
      <c r="F78" s="168" t="s">
        <v>1591</v>
      </c>
      <c r="G78" s="168" t="s">
        <v>1625</v>
      </c>
      <c r="H78" s="168" t="s">
        <v>742</v>
      </c>
      <c r="I78" s="169">
        <v>111.93</v>
      </c>
      <c r="J78" s="169">
        <v>15161.03</v>
      </c>
      <c r="S78" s="172">
        <f>I78</f>
        <v>111.93</v>
      </c>
      <c r="AH78" s="172"/>
    </row>
    <row r="79" spans="2:34" ht="45.75" x14ac:dyDescent="0.25">
      <c r="B79" s="168" t="s">
        <v>907</v>
      </c>
      <c r="C79" s="168" t="s">
        <v>573</v>
      </c>
      <c r="D79" s="168"/>
      <c r="E79" s="168" t="s">
        <v>574</v>
      </c>
      <c r="F79" s="168" t="s">
        <v>1584</v>
      </c>
      <c r="G79" s="168" t="s">
        <v>1626</v>
      </c>
      <c r="H79" s="168" t="s">
        <v>585</v>
      </c>
      <c r="I79" s="169">
        <v>246.25</v>
      </c>
      <c r="J79" s="169">
        <v>15407.28</v>
      </c>
      <c r="P79" s="172">
        <f>I79</f>
        <v>246.25</v>
      </c>
    </row>
    <row r="80" spans="2:34" x14ac:dyDescent="0.25">
      <c r="B80" s="168" t="s">
        <v>1250</v>
      </c>
      <c r="C80" s="168" t="s">
        <v>573</v>
      </c>
      <c r="D80" s="168"/>
      <c r="E80" s="168" t="s">
        <v>574</v>
      </c>
      <c r="F80" s="168" t="s">
        <v>1627</v>
      </c>
      <c r="G80" s="168" t="s">
        <v>1628</v>
      </c>
      <c r="H80" s="168" t="s">
        <v>581</v>
      </c>
      <c r="I80" s="169">
        <v>95.88</v>
      </c>
      <c r="J80" s="169">
        <v>15503.16</v>
      </c>
      <c r="AH80" s="172">
        <f>I80</f>
        <v>95.88</v>
      </c>
    </row>
    <row r="81" spans="2:34" x14ac:dyDescent="0.25">
      <c r="B81" s="168" t="s">
        <v>1250</v>
      </c>
      <c r="C81" s="168" t="s">
        <v>573</v>
      </c>
      <c r="D81" s="168"/>
      <c r="E81" s="168" t="s">
        <v>574</v>
      </c>
      <c r="F81" s="168" t="s">
        <v>1595</v>
      </c>
      <c r="G81" s="168" t="s">
        <v>1596</v>
      </c>
      <c r="H81" s="168" t="s">
        <v>577</v>
      </c>
      <c r="I81" s="169">
        <v>12.5</v>
      </c>
      <c r="J81" s="169">
        <v>15515.66</v>
      </c>
      <c r="AA81" s="172">
        <f>I81</f>
        <v>12.5</v>
      </c>
      <c r="AB81" s="172"/>
      <c r="AC81" s="172"/>
      <c r="AD81" s="172"/>
      <c r="AE81" s="172"/>
      <c r="AF81" s="172"/>
      <c r="AG81" s="172"/>
      <c r="AH81" s="172"/>
    </row>
    <row r="82" spans="2:34" ht="45.75" x14ac:dyDescent="0.25">
      <c r="B82" s="168" t="s">
        <v>1629</v>
      </c>
      <c r="C82" s="168" t="s">
        <v>681</v>
      </c>
      <c r="D82" s="168"/>
      <c r="E82" s="168" t="s">
        <v>574</v>
      </c>
      <c r="F82" s="168" t="s">
        <v>1604</v>
      </c>
      <c r="G82" s="168" t="s">
        <v>1630</v>
      </c>
      <c r="H82" s="168" t="s">
        <v>585</v>
      </c>
      <c r="I82" s="169">
        <v>-266.5</v>
      </c>
      <c r="J82" s="169">
        <v>15249.16</v>
      </c>
      <c r="AB82" s="172">
        <f>I82</f>
        <v>-266.5</v>
      </c>
      <c r="AC82" s="172"/>
      <c r="AD82" s="172"/>
      <c r="AE82" s="172"/>
      <c r="AF82" s="172"/>
      <c r="AG82" s="172"/>
      <c r="AH82" s="172"/>
    </row>
    <row r="83" spans="2:34" ht="23.25" x14ac:dyDescent="0.25">
      <c r="B83" s="168" t="s">
        <v>1254</v>
      </c>
      <c r="C83" s="168" t="s">
        <v>573</v>
      </c>
      <c r="D83" s="168"/>
      <c r="E83" s="168" t="s">
        <v>574</v>
      </c>
      <c r="F83" s="168" t="s">
        <v>1597</v>
      </c>
      <c r="G83" s="168" t="s">
        <v>1631</v>
      </c>
      <c r="H83" s="168" t="s">
        <v>739</v>
      </c>
      <c r="I83" s="169">
        <v>250</v>
      </c>
      <c r="J83" s="169">
        <v>15499.16</v>
      </c>
      <c r="W83" s="172">
        <f>I83</f>
        <v>250</v>
      </c>
      <c r="X83" s="172"/>
      <c r="Y83" s="172"/>
      <c r="Z83" s="172"/>
      <c r="AA83" s="172"/>
      <c r="AB83" s="172"/>
      <c r="AC83" s="172"/>
      <c r="AD83" s="172"/>
      <c r="AE83" s="172"/>
      <c r="AF83" s="172"/>
      <c r="AG83" s="172"/>
    </row>
    <row r="84" spans="2:34" ht="23.25" x14ac:dyDescent="0.25">
      <c r="B84" s="168" t="s">
        <v>1632</v>
      </c>
      <c r="C84" s="168" t="s">
        <v>573</v>
      </c>
      <c r="D84" s="168"/>
      <c r="E84" s="168" t="s">
        <v>574</v>
      </c>
      <c r="F84" s="168" t="s">
        <v>1600</v>
      </c>
      <c r="G84" s="168" t="s">
        <v>1600</v>
      </c>
      <c r="H84" s="168" t="s">
        <v>742</v>
      </c>
      <c r="I84" s="169">
        <v>17.309999999999999</v>
      </c>
      <c r="J84" s="169">
        <v>15516.47</v>
      </c>
      <c r="V84" s="172">
        <f>I84</f>
        <v>17.309999999999999</v>
      </c>
    </row>
    <row r="85" spans="2:34" x14ac:dyDescent="0.25">
      <c r="B85" s="168" t="s">
        <v>1632</v>
      </c>
      <c r="C85" s="168" t="s">
        <v>573</v>
      </c>
      <c r="D85" s="168"/>
      <c r="E85" s="168" t="s">
        <v>574</v>
      </c>
      <c r="F85" s="168" t="s">
        <v>1589</v>
      </c>
      <c r="G85" s="168" t="s">
        <v>1612</v>
      </c>
      <c r="H85" s="168" t="s">
        <v>581</v>
      </c>
      <c r="I85" s="169">
        <v>10.81</v>
      </c>
      <c r="J85" s="169">
        <v>15527.28</v>
      </c>
      <c r="R85" s="172">
        <f>I85</f>
        <v>10.81</v>
      </c>
    </row>
    <row r="86" spans="2:34" x14ac:dyDescent="0.25">
      <c r="B86" s="168" t="s">
        <v>912</v>
      </c>
      <c r="C86" s="168" t="s">
        <v>573</v>
      </c>
      <c r="D86" s="168"/>
      <c r="E86" s="168" t="s">
        <v>574</v>
      </c>
      <c r="F86" s="168" t="s">
        <v>1589</v>
      </c>
      <c r="G86" s="168" t="s">
        <v>1612</v>
      </c>
      <c r="H86" s="168" t="s">
        <v>581</v>
      </c>
      <c r="I86" s="169">
        <v>32.46</v>
      </c>
      <c r="J86" s="169">
        <v>15559.74</v>
      </c>
      <c r="R86" s="172">
        <f>I86</f>
        <v>32.46</v>
      </c>
    </row>
    <row r="87" spans="2:34" x14ac:dyDescent="0.25">
      <c r="B87" s="168" t="s">
        <v>1457</v>
      </c>
      <c r="C87" s="168" t="s">
        <v>676</v>
      </c>
      <c r="D87" s="168" t="s">
        <v>1633</v>
      </c>
      <c r="E87" s="168" t="s">
        <v>574</v>
      </c>
      <c r="F87" s="168"/>
      <c r="G87" s="168" t="s">
        <v>1607</v>
      </c>
      <c r="H87" s="170" t="s">
        <v>679</v>
      </c>
      <c r="I87" s="169">
        <v>487.27</v>
      </c>
      <c r="J87" s="169">
        <v>16047.01</v>
      </c>
      <c r="Q87" s="172">
        <f>I87</f>
        <v>487.27</v>
      </c>
    </row>
    <row r="88" spans="2:34" x14ac:dyDescent="0.25">
      <c r="B88" s="168" t="s">
        <v>615</v>
      </c>
      <c r="C88" s="168" t="s">
        <v>573</v>
      </c>
      <c r="D88" s="168"/>
      <c r="E88" s="168" t="s">
        <v>574</v>
      </c>
      <c r="F88" s="168" t="s">
        <v>560</v>
      </c>
      <c r="G88" s="168" t="s">
        <v>1574</v>
      </c>
      <c r="H88" s="168" t="s">
        <v>577</v>
      </c>
      <c r="I88" s="169">
        <v>191.45</v>
      </c>
      <c r="J88" s="169">
        <v>16238.46</v>
      </c>
      <c r="K88" s="172">
        <f>I88</f>
        <v>191.45</v>
      </c>
    </row>
    <row r="89" spans="2:34" x14ac:dyDescent="0.25">
      <c r="B89" s="168" t="s">
        <v>1262</v>
      </c>
      <c r="C89" s="168" t="s">
        <v>573</v>
      </c>
      <c r="D89" s="168"/>
      <c r="E89" s="168" t="s">
        <v>574</v>
      </c>
      <c r="F89" s="168" t="s">
        <v>1580</v>
      </c>
      <c r="G89" s="168" t="s">
        <v>1634</v>
      </c>
      <c r="H89" s="168" t="s">
        <v>577</v>
      </c>
      <c r="I89" s="169">
        <v>40</v>
      </c>
      <c r="J89" s="169">
        <v>16278.46</v>
      </c>
      <c r="AC89" s="172">
        <f>I89</f>
        <v>40</v>
      </c>
      <c r="AD89" s="172"/>
      <c r="AE89" s="172"/>
      <c r="AF89" s="172"/>
      <c r="AG89" s="172"/>
      <c r="AH89" s="172"/>
    </row>
    <row r="90" spans="2:34" x14ac:dyDescent="0.25">
      <c r="B90" s="168" t="s">
        <v>1262</v>
      </c>
      <c r="C90" s="168" t="s">
        <v>573</v>
      </c>
      <c r="D90" s="168"/>
      <c r="E90" s="168" t="s">
        <v>574</v>
      </c>
      <c r="F90" s="168" t="s">
        <v>485</v>
      </c>
      <c r="G90" s="168" t="s">
        <v>1635</v>
      </c>
      <c r="H90" s="168" t="s">
        <v>577</v>
      </c>
      <c r="I90" s="169">
        <v>218.31</v>
      </c>
      <c r="J90" s="169">
        <v>16496.77</v>
      </c>
      <c r="M90" s="172">
        <f>I90</f>
        <v>218.31</v>
      </c>
    </row>
    <row r="91" spans="2:34" x14ac:dyDescent="0.25">
      <c r="B91" s="168" t="s">
        <v>1262</v>
      </c>
      <c r="C91" s="168" t="s">
        <v>573</v>
      </c>
      <c r="D91" s="168"/>
      <c r="E91" s="168" t="s">
        <v>574</v>
      </c>
      <c r="F91" s="168" t="s">
        <v>1575</v>
      </c>
      <c r="G91" s="168" t="s">
        <v>1576</v>
      </c>
      <c r="H91" s="168" t="s">
        <v>577</v>
      </c>
      <c r="I91" s="169">
        <v>21.27</v>
      </c>
      <c r="J91" s="169">
        <v>16518.04</v>
      </c>
      <c r="Y91" s="172">
        <f>I91</f>
        <v>21.27</v>
      </c>
      <c r="Z91" s="172"/>
      <c r="AA91" s="172"/>
      <c r="AB91" s="172"/>
      <c r="AC91" s="172"/>
      <c r="AD91" s="172"/>
      <c r="AE91" s="172"/>
      <c r="AF91" s="172"/>
      <c r="AG91" s="172"/>
      <c r="AH91" s="172"/>
    </row>
    <row r="92" spans="2:34" ht="45.75" x14ac:dyDescent="0.25">
      <c r="B92" s="168" t="s">
        <v>1266</v>
      </c>
      <c r="C92" s="168" t="s">
        <v>573</v>
      </c>
      <c r="D92" s="168"/>
      <c r="E92" s="168" t="s">
        <v>574</v>
      </c>
      <c r="F92" s="168" t="s">
        <v>1584</v>
      </c>
      <c r="G92" s="168" t="s">
        <v>1636</v>
      </c>
      <c r="H92" s="168" t="s">
        <v>585</v>
      </c>
      <c r="I92" s="169">
        <v>233.45</v>
      </c>
      <c r="J92" s="169">
        <v>16751.490000000002</v>
      </c>
      <c r="P92" s="172">
        <f>I92</f>
        <v>233.45</v>
      </c>
    </row>
    <row r="93" spans="2:34" x14ac:dyDescent="0.25">
      <c r="B93" s="168" t="s">
        <v>1266</v>
      </c>
      <c r="C93" s="168" t="s">
        <v>573</v>
      </c>
      <c r="D93" s="168"/>
      <c r="E93" s="168" t="s">
        <v>574</v>
      </c>
      <c r="F93" s="168" t="s">
        <v>1577</v>
      </c>
      <c r="G93" s="168" t="s">
        <v>1578</v>
      </c>
      <c r="H93" s="168" t="s">
        <v>577</v>
      </c>
      <c r="I93" s="169">
        <v>15.96</v>
      </c>
      <c r="J93" s="169">
        <v>16767.45</v>
      </c>
      <c r="L93" s="172">
        <f>I93</f>
        <v>15.96</v>
      </c>
    </row>
    <row r="94" spans="2:34" ht="23.25" x14ac:dyDescent="0.25">
      <c r="B94" s="168" t="s">
        <v>1271</v>
      </c>
      <c r="C94" s="168" t="s">
        <v>573</v>
      </c>
      <c r="D94" s="168"/>
      <c r="E94" s="168" t="s">
        <v>574</v>
      </c>
      <c r="F94" s="168" t="s">
        <v>1582</v>
      </c>
      <c r="G94" s="168" t="s">
        <v>1609</v>
      </c>
      <c r="H94" s="168" t="s">
        <v>742</v>
      </c>
      <c r="I94" s="169">
        <v>127.18</v>
      </c>
      <c r="J94" s="169">
        <v>16894.63</v>
      </c>
      <c r="O94" s="172">
        <f>I94</f>
        <v>127.18</v>
      </c>
    </row>
    <row r="95" spans="2:34" x14ac:dyDescent="0.25">
      <c r="B95" s="168" t="s">
        <v>1271</v>
      </c>
      <c r="C95" s="168" t="s">
        <v>573</v>
      </c>
      <c r="D95" s="168"/>
      <c r="E95" s="168" t="s">
        <v>574</v>
      </c>
      <c r="F95" s="168" t="s">
        <v>1623</v>
      </c>
      <c r="G95" s="168" t="s">
        <v>1623</v>
      </c>
      <c r="H95" s="168" t="s">
        <v>581</v>
      </c>
      <c r="I95" s="169">
        <v>24</v>
      </c>
      <c r="J95" s="169">
        <v>16918.63</v>
      </c>
      <c r="AD95" s="172">
        <f>I95</f>
        <v>24</v>
      </c>
      <c r="AE95" s="172"/>
      <c r="AF95" s="172"/>
      <c r="AG95" s="172"/>
      <c r="AH95" s="172"/>
    </row>
    <row r="96" spans="2:34" x14ac:dyDescent="0.25">
      <c r="B96" s="168" t="s">
        <v>740</v>
      </c>
      <c r="C96" s="168" t="s">
        <v>573</v>
      </c>
      <c r="D96" s="168"/>
      <c r="E96" s="168" t="s">
        <v>574</v>
      </c>
      <c r="F96" s="168" t="s">
        <v>1637</v>
      </c>
      <c r="G96" s="168" t="s">
        <v>1638</v>
      </c>
      <c r="H96" s="168" t="s">
        <v>581</v>
      </c>
      <c r="I96" s="169">
        <v>1068</v>
      </c>
      <c r="J96" s="169">
        <v>17986.63</v>
      </c>
      <c r="AH96" s="172">
        <f>I96</f>
        <v>1068</v>
      </c>
    </row>
    <row r="97" spans="2:34" x14ac:dyDescent="0.25">
      <c r="B97" s="168" t="s">
        <v>1061</v>
      </c>
      <c r="C97" s="168" t="s">
        <v>573</v>
      </c>
      <c r="D97" s="168"/>
      <c r="E97" s="168" t="s">
        <v>574</v>
      </c>
      <c r="F97" s="168" t="s">
        <v>1589</v>
      </c>
      <c r="G97" s="168" t="s">
        <v>1612</v>
      </c>
      <c r="H97" s="168" t="s">
        <v>577</v>
      </c>
      <c r="I97" s="169">
        <v>59.53</v>
      </c>
      <c r="J97" s="169">
        <v>18046.16</v>
      </c>
      <c r="R97" s="172">
        <f>I97</f>
        <v>59.53</v>
      </c>
    </row>
    <row r="98" spans="2:34" ht="23.25" x14ac:dyDescent="0.25">
      <c r="B98" s="168" t="s">
        <v>1284</v>
      </c>
      <c r="C98" s="168" t="s">
        <v>573</v>
      </c>
      <c r="D98" s="168"/>
      <c r="E98" s="168" t="s">
        <v>574</v>
      </c>
      <c r="F98" s="168" t="s">
        <v>1591</v>
      </c>
      <c r="G98" s="168" t="s">
        <v>1625</v>
      </c>
      <c r="H98" s="168" t="s">
        <v>742</v>
      </c>
      <c r="I98" s="169">
        <v>111.93</v>
      </c>
      <c r="J98" s="169">
        <v>18158.09</v>
      </c>
      <c r="S98" s="172">
        <f>I98</f>
        <v>111.93</v>
      </c>
      <c r="AH98" s="172"/>
    </row>
    <row r="99" spans="2:34" x14ac:dyDescent="0.25">
      <c r="B99" s="168" t="s">
        <v>1284</v>
      </c>
      <c r="C99" s="168" t="s">
        <v>573</v>
      </c>
      <c r="D99" s="168"/>
      <c r="E99" s="168" t="s">
        <v>574</v>
      </c>
      <c r="F99" s="168" t="s">
        <v>1602</v>
      </c>
      <c r="G99" s="168" t="s">
        <v>1639</v>
      </c>
      <c r="H99" s="168" t="s">
        <v>577</v>
      </c>
      <c r="I99" s="169">
        <v>801.81</v>
      </c>
      <c r="J99" s="169">
        <v>18959.900000000001</v>
      </c>
      <c r="T99" s="172">
        <f>I99</f>
        <v>801.81</v>
      </c>
    </row>
    <row r="100" spans="2:34" x14ac:dyDescent="0.25">
      <c r="B100" s="168" t="s">
        <v>1287</v>
      </c>
      <c r="C100" s="168" t="s">
        <v>573</v>
      </c>
      <c r="D100" s="168"/>
      <c r="E100" s="168" t="s">
        <v>574</v>
      </c>
      <c r="F100" s="168" t="s">
        <v>1593</v>
      </c>
      <c r="G100" s="168" t="s">
        <v>1594</v>
      </c>
      <c r="H100" s="168" t="s">
        <v>581</v>
      </c>
      <c r="I100" s="169">
        <v>93.28</v>
      </c>
      <c r="J100" s="169">
        <v>19053.18</v>
      </c>
      <c r="U100" s="172">
        <f>I100</f>
        <v>93.28</v>
      </c>
    </row>
    <row r="101" spans="2:34" x14ac:dyDescent="0.25">
      <c r="B101" s="168" t="s">
        <v>1287</v>
      </c>
      <c r="C101" s="168" t="s">
        <v>573</v>
      </c>
      <c r="D101" s="168"/>
      <c r="E101" s="168" t="s">
        <v>574</v>
      </c>
      <c r="F101" s="168" t="s">
        <v>1640</v>
      </c>
      <c r="G101" s="168" t="s">
        <v>1641</v>
      </c>
      <c r="H101" s="168" t="s">
        <v>581</v>
      </c>
      <c r="I101" s="169">
        <v>99</v>
      </c>
      <c r="J101" s="169">
        <v>19152.18</v>
      </c>
      <c r="AE101" s="172">
        <f>I101</f>
        <v>99</v>
      </c>
      <c r="AF101" s="172"/>
      <c r="AG101" s="172"/>
      <c r="AH101" s="172"/>
    </row>
    <row r="102" spans="2:34" x14ac:dyDescent="0.25">
      <c r="B102" s="168" t="s">
        <v>617</v>
      </c>
      <c r="C102" s="168" t="s">
        <v>573</v>
      </c>
      <c r="D102" s="168"/>
      <c r="E102" s="168" t="s">
        <v>574</v>
      </c>
      <c r="F102" s="168" t="s">
        <v>1595</v>
      </c>
      <c r="G102" s="168" t="s">
        <v>1596</v>
      </c>
      <c r="H102" s="168" t="s">
        <v>577</v>
      </c>
      <c r="I102" s="169">
        <v>12.5</v>
      </c>
      <c r="J102" s="169">
        <v>19164.68</v>
      </c>
      <c r="AA102" s="172">
        <f>I102</f>
        <v>12.5</v>
      </c>
      <c r="AB102" s="172"/>
      <c r="AC102" s="172"/>
      <c r="AD102" s="172"/>
      <c r="AE102" s="172"/>
      <c r="AF102" s="172"/>
      <c r="AG102" s="172"/>
      <c r="AH102" s="172"/>
    </row>
    <row r="103" spans="2:34" ht="23.25" x14ac:dyDescent="0.25">
      <c r="B103" s="168" t="s">
        <v>1306</v>
      </c>
      <c r="C103" s="168" t="s">
        <v>573</v>
      </c>
      <c r="D103" s="168"/>
      <c r="E103" s="168" t="s">
        <v>574</v>
      </c>
      <c r="F103" s="168" t="s">
        <v>1597</v>
      </c>
      <c r="G103" s="168" t="s">
        <v>1631</v>
      </c>
      <c r="H103" s="168" t="s">
        <v>739</v>
      </c>
      <c r="I103" s="169">
        <v>250</v>
      </c>
      <c r="J103" s="169">
        <v>19414.68</v>
      </c>
      <c r="W103" s="172">
        <f>I103</f>
        <v>250</v>
      </c>
      <c r="X103" s="172"/>
      <c r="Y103" s="172"/>
      <c r="Z103" s="172"/>
      <c r="AA103" s="172"/>
      <c r="AB103" s="172"/>
      <c r="AC103" s="172"/>
      <c r="AD103" s="172"/>
      <c r="AE103" s="172"/>
      <c r="AF103" s="172"/>
      <c r="AG103" s="172"/>
    </row>
    <row r="104" spans="2:34" x14ac:dyDescent="0.25">
      <c r="B104" s="168" t="s">
        <v>621</v>
      </c>
      <c r="C104" s="168" t="s">
        <v>573</v>
      </c>
      <c r="D104" s="168"/>
      <c r="E104" s="168" t="s">
        <v>574</v>
      </c>
      <c r="F104" s="168" t="s">
        <v>1589</v>
      </c>
      <c r="G104" s="168" t="s">
        <v>1642</v>
      </c>
      <c r="H104" s="168" t="s">
        <v>581</v>
      </c>
      <c r="I104" s="169">
        <v>10.81</v>
      </c>
      <c r="J104" s="169">
        <v>19425.490000000002</v>
      </c>
      <c r="R104" s="172">
        <f>I104</f>
        <v>10.81</v>
      </c>
    </row>
    <row r="105" spans="2:34" x14ac:dyDescent="0.25">
      <c r="B105" s="168" t="s">
        <v>918</v>
      </c>
      <c r="C105" s="168" t="s">
        <v>573</v>
      </c>
      <c r="D105" s="168"/>
      <c r="E105" s="168" t="s">
        <v>574</v>
      </c>
      <c r="F105" s="168" t="s">
        <v>1589</v>
      </c>
      <c r="G105" s="168" t="s">
        <v>1642</v>
      </c>
      <c r="H105" s="168" t="s">
        <v>581</v>
      </c>
      <c r="I105" s="169">
        <v>32.46</v>
      </c>
      <c r="J105" s="169">
        <v>19457.95</v>
      </c>
      <c r="R105" s="172">
        <f>I105</f>
        <v>32.46</v>
      </c>
    </row>
    <row r="106" spans="2:34" x14ac:dyDescent="0.25">
      <c r="B106" s="168" t="s">
        <v>714</v>
      </c>
      <c r="C106" s="168" t="s">
        <v>676</v>
      </c>
      <c r="D106" s="168" t="s">
        <v>1643</v>
      </c>
      <c r="E106" s="168" t="s">
        <v>1453</v>
      </c>
      <c r="F106" s="168"/>
      <c r="G106" s="168" t="s">
        <v>1607</v>
      </c>
      <c r="H106" s="170" t="s">
        <v>679</v>
      </c>
      <c r="I106" s="169">
        <v>487.27</v>
      </c>
      <c r="J106" s="169">
        <v>19945.22</v>
      </c>
      <c r="Q106" s="172">
        <f>I106</f>
        <v>487.27</v>
      </c>
    </row>
    <row r="107" spans="2:34" x14ac:dyDescent="0.25">
      <c r="B107" s="168" t="s">
        <v>625</v>
      </c>
      <c r="C107" s="168" t="s">
        <v>573</v>
      </c>
      <c r="D107" s="168"/>
      <c r="E107" s="168" t="s">
        <v>574</v>
      </c>
      <c r="F107" s="168" t="s">
        <v>560</v>
      </c>
      <c r="G107" s="168" t="s">
        <v>1644</v>
      </c>
      <c r="H107" s="168" t="s">
        <v>577</v>
      </c>
      <c r="I107" s="169">
        <v>229.76</v>
      </c>
      <c r="J107" s="169">
        <v>20174.98</v>
      </c>
      <c r="K107" s="172">
        <f>I107</f>
        <v>229.76</v>
      </c>
    </row>
    <row r="108" spans="2:34" x14ac:dyDescent="0.25">
      <c r="B108" s="168" t="s">
        <v>625</v>
      </c>
      <c r="C108" s="168" t="s">
        <v>573</v>
      </c>
      <c r="D108" s="168"/>
      <c r="E108" s="168" t="s">
        <v>574</v>
      </c>
      <c r="F108" s="168" t="s">
        <v>1645</v>
      </c>
      <c r="G108" s="168" t="s">
        <v>1646</v>
      </c>
      <c r="H108" s="168" t="s">
        <v>581</v>
      </c>
      <c r="I108" s="169">
        <v>240</v>
      </c>
      <c r="J108" s="169">
        <v>20414.98</v>
      </c>
      <c r="AH108" s="172">
        <f>I108</f>
        <v>240</v>
      </c>
    </row>
    <row r="109" spans="2:34" x14ac:dyDescent="0.25">
      <c r="B109" s="168" t="s">
        <v>924</v>
      </c>
      <c r="C109" s="168" t="s">
        <v>573</v>
      </c>
      <c r="D109" s="168"/>
      <c r="E109" s="168" t="s">
        <v>574</v>
      </c>
      <c r="F109" s="168" t="s">
        <v>1580</v>
      </c>
      <c r="G109" s="168" t="s">
        <v>1647</v>
      </c>
      <c r="H109" s="168" t="s">
        <v>577</v>
      </c>
      <c r="I109" s="169">
        <v>40</v>
      </c>
      <c r="J109" s="169">
        <v>20454.98</v>
      </c>
      <c r="AC109" s="172">
        <f>I109</f>
        <v>40</v>
      </c>
      <c r="AH109" s="172"/>
    </row>
    <row r="110" spans="2:34" x14ac:dyDescent="0.25">
      <c r="B110" s="168" t="s">
        <v>924</v>
      </c>
      <c r="C110" s="168" t="s">
        <v>573</v>
      </c>
      <c r="D110" s="168"/>
      <c r="E110" s="168" t="s">
        <v>574</v>
      </c>
      <c r="F110" s="168" t="s">
        <v>485</v>
      </c>
      <c r="G110" s="168" t="s">
        <v>1648</v>
      </c>
      <c r="H110" s="168" t="s">
        <v>577</v>
      </c>
      <c r="I110" s="169">
        <v>336.53</v>
      </c>
      <c r="J110" s="169">
        <v>20791.509999999998</v>
      </c>
      <c r="M110" s="172">
        <f>I110</f>
        <v>336.53</v>
      </c>
    </row>
    <row r="111" spans="2:34" x14ac:dyDescent="0.25">
      <c r="B111" s="168" t="s">
        <v>924</v>
      </c>
      <c r="C111" s="168" t="s">
        <v>573</v>
      </c>
      <c r="D111" s="168"/>
      <c r="E111" s="168" t="s">
        <v>574</v>
      </c>
      <c r="F111" s="168" t="s">
        <v>1575</v>
      </c>
      <c r="G111" s="168" t="s">
        <v>1649</v>
      </c>
      <c r="H111" s="168" t="s">
        <v>577</v>
      </c>
      <c r="I111" s="169">
        <v>21.27</v>
      </c>
      <c r="J111" s="169">
        <v>20812.78</v>
      </c>
      <c r="Y111" s="172">
        <f>I111</f>
        <v>21.27</v>
      </c>
      <c r="Z111" s="172"/>
      <c r="AA111" s="172"/>
      <c r="AB111" s="172"/>
      <c r="AC111" s="172"/>
      <c r="AD111" s="172"/>
      <c r="AE111" s="172"/>
      <c r="AF111" s="172"/>
      <c r="AG111" s="172"/>
      <c r="AH111" s="172"/>
    </row>
    <row r="112" spans="2:34" x14ac:dyDescent="0.25">
      <c r="B112" s="168" t="s">
        <v>1065</v>
      </c>
      <c r="C112" s="168" t="s">
        <v>573</v>
      </c>
      <c r="D112" s="168"/>
      <c r="E112" s="168" t="s">
        <v>574</v>
      </c>
      <c r="F112" s="168" t="s">
        <v>1577</v>
      </c>
      <c r="G112" s="168" t="s">
        <v>1650</v>
      </c>
      <c r="H112" s="168" t="s">
        <v>577</v>
      </c>
      <c r="I112" s="169">
        <v>306.43</v>
      </c>
      <c r="J112" s="169">
        <v>21119.21</v>
      </c>
      <c r="L112" s="172">
        <f>I112</f>
        <v>306.43</v>
      </c>
    </row>
    <row r="113" spans="2:34" x14ac:dyDescent="0.25">
      <c r="B113" s="168" t="s">
        <v>1065</v>
      </c>
      <c r="C113" s="168" t="s">
        <v>573</v>
      </c>
      <c r="D113" s="168"/>
      <c r="E113" s="168" t="s">
        <v>574</v>
      </c>
      <c r="F113" s="168"/>
      <c r="G113" s="168" t="s">
        <v>1651</v>
      </c>
      <c r="H113" s="168" t="s">
        <v>577</v>
      </c>
      <c r="I113" s="169">
        <v>15.96</v>
      </c>
      <c r="J113" s="169">
        <v>21135.17</v>
      </c>
      <c r="L113" s="172">
        <f>I113</f>
        <v>15.96</v>
      </c>
    </row>
    <row r="114" spans="2:34" ht="45.75" x14ac:dyDescent="0.25">
      <c r="B114" s="168" t="s">
        <v>1067</v>
      </c>
      <c r="C114" s="168" t="s">
        <v>573</v>
      </c>
      <c r="D114" s="168"/>
      <c r="E114" s="168" t="s">
        <v>574</v>
      </c>
      <c r="F114" s="168" t="s">
        <v>1584</v>
      </c>
      <c r="G114" s="168" t="s">
        <v>1652</v>
      </c>
      <c r="H114" s="168" t="s">
        <v>585</v>
      </c>
      <c r="I114" s="169">
        <v>195.08</v>
      </c>
      <c r="J114" s="169">
        <v>21330.25</v>
      </c>
      <c r="P114" s="172">
        <f>I114</f>
        <v>195.08</v>
      </c>
    </row>
    <row r="115" spans="2:34" x14ac:dyDescent="0.25">
      <c r="B115" s="168" t="s">
        <v>930</v>
      </c>
      <c r="C115" s="168" t="s">
        <v>573</v>
      </c>
      <c r="D115" s="168"/>
      <c r="E115" s="168" t="s">
        <v>574</v>
      </c>
      <c r="F115" s="168" t="s">
        <v>1602</v>
      </c>
      <c r="G115" s="168" t="s">
        <v>1653</v>
      </c>
      <c r="H115" s="168" t="s">
        <v>577</v>
      </c>
      <c r="I115" s="169">
        <v>801.81</v>
      </c>
      <c r="J115" s="169">
        <v>22132.06</v>
      </c>
      <c r="T115" s="172">
        <f>I115</f>
        <v>801.81</v>
      </c>
    </row>
    <row r="116" spans="2:34" x14ac:dyDescent="0.25">
      <c r="B116" s="168" t="s">
        <v>930</v>
      </c>
      <c r="C116" s="168" t="s">
        <v>573</v>
      </c>
      <c r="D116" s="168"/>
      <c r="E116" s="168" t="s">
        <v>574</v>
      </c>
      <c r="F116" s="168" t="s">
        <v>1589</v>
      </c>
      <c r="G116" s="168" t="s">
        <v>1654</v>
      </c>
      <c r="H116" s="168" t="s">
        <v>577</v>
      </c>
      <c r="I116" s="169">
        <v>59.53</v>
      </c>
      <c r="J116" s="169">
        <v>22191.59</v>
      </c>
      <c r="R116" s="172">
        <f>I116</f>
        <v>59.53</v>
      </c>
    </row>
    <row r="117" spans="2:34" x14ac:dyDescent="0.25">
      <c r="B117" s="168" t="s">
        <v>792</v>
      </c>
      <c r="C117" s="168" t="s">
        <v>573</v>
      </c>
      <c r="D117" s="168"/>
      <c r="E117" s="168" t="s">
        <v>574</v>
      </c>
      <c r="F117" s="168" t="s">
        <v>1593</v>
      </c>
      <c r="G117" s="168" t="s">
        <v>1655</v>
      </c>
      <c r="H117" s="168" t="s">
        <v>577</v>
      </c>
      <c r="I117" s="169">
        <v>93.28</v>
      </c>
      <c r="J117" s="169">
        <v>22284.87</v>
      </c>
      <c r="U117" s="172">
        <f>I117</f>
        <v>93.28</v>
      </c>
    </row>
    <row r="118" spans="2:34" x14ac:dyDescent="0.25">
      <c r="B118" s="168" t="s">
        <v>933</v>
      </c>
      <c r="C118" s="168" t="s">
        <v>573</v>
      </c>
      <c r="D118" s="168"/>
      <c r="E118" s="168" t="s">
        <v>574</v>
      </c>
      <c r="F118" s="168" t="s">
        <v>1640</v>
      </c>
      <c r="G118" s="168" t="s">
        <v>1656</v>
      </c>
      <c r="H118" s="168" t="s">
        <v>577</v>
      </c>
      <c r="I118" s="169">
        <v>120.7</v>
      </c>
      <c r="J118" s="169">
        <v>22405.57</v>
      </c>
      <c r="AE118" s="172">
        <f>I118</f>
        <v>120.7</v>
      </c>
      <c r="AF118" s="172"/>
      <c r="AG118" s="172"/>
      <c r="AH118" s="172"/>
    </row>
    <row r="119" spans="2:34" ht="23.25" x14ac:dyDescent="0.25">
      <c r="B119" s="168" t="s">
        <v>1325</v>
      </c>
      <c r="C119" s="168" t="s">
        <v>573</v>
      </c>
      <c r="D119" s="168"/>
      <c r="E119" s="168" t="s">
        <v>574</v>
      </c>
      <c r="F119" s="168" t="s">
        <v>1591</v>
      </c>
      <c r="G119" s="168" t="s">
        <v>1625</v>
      </c>
      <c r="H119" s="168" t="s">
        <v>742</v>
      </c>
      <c r="I119" s="169">
        <v>111.93</v>
      </c>
      <c r="J119" s="169">
        <v>22517.5</v>
      </c>
      <c r="S119" s="172">
        <f>I119</f>
        <v>111.93</v>
      </c>
    </row>
    <row r="120" spans="2:34" x14ac:dyDescent="0.25">
      <c r="B120" s="168" t="s">
        <v>628</v>
      </c>
      <c r="C120" s="168" t="s">
        <v>573</v>
      </c>
      <c r="D120" s="168"/>
      <c r="E120" s="168" t="s">
        <v>574</v>
      </c>
      <c r="F120" s="168" t="s">
        <v>1657</v>
      </c>
      <c r="G120" s="168" t="s">
        <v>1658</v>
      </c>
      <c r="H120" s="168" t="s">
        <v>577</v>
      </c>
      <c r="I120" s="169">
        <v>193.61</v>
      </c>
      <c r="J120" s="169">
        <v>22711.11</v>
      </c>
      <c r="AF120" s="172">
        <f>I120</f>
        <v>193.61</v>
      </c>
      <c r="AG120" s="172"/>
      <c r="AH120" s="172"/>
    </row>
    <row r="121" spans="2:34" ht="23.25" x14ac:dyDescent="0.25">
      <c r="B121" s="168" t="s">
        <v>628</v>
      </c>
      <c r="C121" s="168" t="s">
        <v>573</v>
      </c>
      <c r="D121" s="168"/>
      <c r="E121" s="168" t="s">
        <v>574</v>
      </c>
      <c r="F121" s="168" t="s">
        <v>1600</v>
      </c>
      <c r="G121" s="168" t="s">
        <v>1600</v>
      </c>
      <c r="H121" s="168" t="s">
        <v>742</v>
      </c>
      <c r="I121" s="169">
        <v>17.309999999999999</v>
      </c>
      <c r="J121" s="169">
        <v>22728.42</v>
      </c>
      <c r="V121" s="172">
        <f>I121</f>
        <v>17.309999999999999</v>
      </c>
    </row>
    <row r="122" spans="2:34" x14ac:dyDescent="0.25">
      <c r="B122" s="168" t="s">
        <v>1337</v>
      </c>
      <c r="C122" s="168" t="s">
        <v>573</v>
      </c>
      <c r="D122" s="168"/>
      <c r="E122" s="168" t="s">
        <v>574</v>
      </c>
      <c r="F122" s="168" t="s">
        <v>1595</v>
      </c>
      <c r="G122" s="168" t="s">
        <v>1659</v>
      </c>
      <c r="H122" s="168" t="s">
        <v>577</v>
      </c>
      <c r="I122" s="169">
        <v>12.5</v>
      </c>
      <c r="J122" s="169">
        <v>22740.92</v>
      </c>
      <c r="AA122" s="172">
        <f>I122</f>
        <v>12.5</v>
      </c>
      <c r="AB122" s="172"/>
      <c r="AC122" s="172"/>
      <c r="AD122" s="172"/>
      <c r="AE122" s="172"/>
      <c r="AF122" s="172"/>
      <c r="AG122" s="172"/>
      <c r="AH122" s="172"/>
    </row>
    <row r="123" spans="2:34" x14ac:dyDescent="0.25">
      <c r="B123" s="168" t="s">
        <v>1340</v>
      </c>
      <c r="C123" s="168" t="s">
        <v>573</v>
      </c>
      <c r="D123" s="168"/>
      <c r="E123" s="168" t="s">
        <v>574</v>
      </c>
      <c r="F123" s="168" t="s">
        <v>1582</v>
      </c>
      <c r="G123" s="168" t="s">
        <v>1609</v>
      </c>
      <c r="H123" s="168" t="s">
        <v>577</v>
      </c>
      <c r="I123" s="169">
        <v>96.43</v>
      </c>
      <c r="J123" s="169">
        <v>22837.35</v>
      </c>
      <c r="O123" s="172">
        <f>I123</f>
        <v>96.43</v>
      </c>
    </row>
    <row r="124" spans="2:34" x14ac:dyDescent="0.25">
      <c r="B124" s="168" t="s">
        <v>1340</v>
      </c>
      <c r="C124" s="168" t="s">
        <v>573</v>
      </c>
      <c r="D124" s="168"/>
      <c r="E124" s="168" t="s">
        <v>574</v>
      </c>
      <c r="F124" s="168" t="s">
        <v>1660</v>
      </c>
      <c r="G124" s="168" t="s">
        <v>1661</v>
      </c>
      <c r="H124" s="168" t="s">
        <v>577</v>
      </c>
      <c r="I124" s="169">
        <v>150</v>
      </c>
      <c r="J124" s="169">
        <v>22987.35</v>
      </c>
      <c r="AH124" s="172">
        <f>I124</f>
        <v>150</v>
      </c>
    </row>
    <row r="125" spans="2:34" ht="23.25" x14ac:dyDescent="0.25">
      <c r="B125" s="168" t="s">
        <v>1662</v>
      </c>
      <c r="C125" s="168" t="s">
        <v>573</v>
      </c>
      <c r="D125" s="168"/>
      <c r="E125" s="168" t="s">
        <v>574</v>
      </c>
      <c r="F125" s="168" t="s">
        <v>1597</v>
      </c>
      <c r="G125" s="168" t="s">
        <v>1631</v>
      </c>
      <c r="H125" s="168" t="s">
        <v>739</v>
      </c>
      <c r="I125" s="169">
        <v>250</v>
      </c>
      <c r="J125" s="169">
        <v>23237.35</v>
      </c>
      <c r="W125" s="172">
        <f>I125</f>
        <v>250</v>
      </c>
      <c r="X125" s="172"/>
      <c r="Y125" s="172"/>
      <c r="Z125" s="172"/>
      <c r="AA125" s="172"/>
      <c r="AB125" s="172"/>
      <c r="AC125" s="172"/>
      <c r="AD125" s="172"/>
      <c r="AE125" s="172"/>
      <c r="AF125" s="172"/>
      <c r="AG125" s="172"/>
    </row>
    <row r="126" spans="2:34" x14ac:dyDescent="0.25">
      <c r="B126" s="168" t="s">
        <v>1663</v>
      </c>
      <c r="C126" s="168" t="s">
        <v>573</v>
      </c>
      <c r="D126" s="168"/>
      <c r="E126" s="168" t="s">
        <v>574</v>
      </c>
      <c r="F126" s="168" t="s">
        <v>1589</v>
      </c>
      <c r="G126" s="168" t="s">
        <v>1642</v>
      </c>
      <c r="H126" s="168" t="s">
        <v>581</v>
      </c>
      <c r="I126" s="169">
        <v>10.81</v>
      </c>
      <c r="J126" s="169">
        <v>23248.16</v>
      </c>
      <c r="R126" s="172">
        <f>I126</f>
        <v>10.81</v>
      </c>
    </row>
    <row r="127" spans="2:34" x14ac:dyDescent="0.25">
      <c r="B127" s="168" t="s">
        <v>1346</v>
      </c>
      <c r="C127" s="168" t="s">
        <v>573</v>
      </c>
      <c r="D127" s="168"/>
      <c r="E127" s="168" t="s">
        <v>574</v>
      </c>
      <c r="F127" s="168" t="s">
        <v>1589</v>
      </c>
      <c r="G127" s="168" t="s">
        <v>1642</v>
      </c>
      <c r="H127" s="168" t="s">
        <v>581</v>
      </c>
      <c r="I127" s="169">
        <v>32.46</v>
      </c>
      <c r="J127" s="169">
        <v>23280.62</v>
      </c>
      <c r="R127" s="172">
        <f>I127</f>
        <v>32.46</v>
      </c>
    </row>
    <row r="128" spans="2:34" x14ac:dyDescent="0.25">
      <c r="B128" s="168" t="s">
        <v>1366</v>
      </c>
      <c r="C128" s="168" t="s">
        <v>676</v>
      </c>
      <c r="D128" s="168" t="s">
        <v>1664</v>
      </c>
      <c r="E128" s="168" t="s">
        <v>1453</v>
      </c>
      <c r="F128" s="168"/>
      <c r="G128" s="168" t="s">
        <v>1607</v>
      </c>
      <c r="H128" s="170" t="s">
        <v>679</v>
      </c>
      <c r="I128" s="169">
        <v>487.27</v>
      </c>
      <c r="J128" s="169">
        <v>23767.89</v>
      </c>
      <c r="Q128" s="172">
        <f>I128</f>
        <v>487.27</v>
      </c>
    </row>
    <row r="129" spans="2:34" x14ac:dyDescent="0.25">
      <c r="B129" s="168" t="s">
        <v>1665</v>
      </c>
      <c r="C129" s="168" t="s">
        <v>573</v>
      </c>
      <c r="D129" s="168"/>
      <c r="E129" s="168" t="s">
        <v>574</v>
      </c>
      <c r="F129" s="168" t="s">
        <v>1575</v>
      </c>
      <c r="G129" s="168" t="s">
        <v>1666</v>
      </c>
      <c r="H129" s="168" t="s">
        <v>577</v>
      </c>
      <c r="I129" s="169">
        <v>21.27</v>
      </c>
      <c r="J129" s="169">
        <v>23789.16</v>
      </c>
      <c r="Y129" s="172">
        <f>I129</f>
        <v>21.27</v>
      </c>
      <c r="Z129" s="172"/>
      <c r="AA129" s="172"/>
      <c r="AB129" s="172"/>
      <c r="AC129" s="172"/>
      <c r="AD129" s="172"/>
      <c r="AE129" s="172"/>
      <c r="AF129" s="172"/>
      <c r="AG129" s="172"/>
      <c r="AH129" s="172"/>
    </row>
    <row r="130" spans="2:34" x14ac:dyDescent="0.25">
      <c r="B130" s="168" t="s">
        <v>1665</v>
      </c>
      <c r="C130" s="168" t="s">
        <v>573</v>
      </c>
      <c r="D130" s="168"/>
      <c r="E130" s="168" t="s">
        <v>574</v>
      </c>
      <c r="F130" s="168" t="s">
        <v>485</v>
      </c>
      <c r="G130" s="168" t="s">
        <v>1667</v>
      </c>
      <c r="H130" s="168" t="s">
        <v>577</v>
      </c>
      <c r="I130" s="169">
        <v>137.83000000000001</v>
      </c>
      <c r="J130" s="169">
        <v>23926.99</v>
      </c>
      <c r="M130" s="172">
        <f>I130</f>
        <v>137.83000000000001</v>
      </c>
    </row>
    <row r="131" spans="2:34" x14ac:dyDescent="0.25">
      <c r="B131" s="168" t="s">
        <v>1665</v>
      </c>
      <c r="C131" s="168" t="s">
        <v>573</v>
      </c>
      <c r="D131" s="168"/>
      <c r="E131" s="168" t="s">
        <v>574</v>
      </c>
      <c r="F131" s="168" t="s">
        <v>1580</v>
      </c>
      <c r="G131" s="168" t="s">
        <v>1668</v>
      </c>
      <c r="H131" s="168" t="s">
        <v>577</v>
      </c>
      <c r="I131" s="169">
        <v>40</v>
      </c>
      <c r="J131" s="169">
        <v>23966.99</v>
      </c>
      <c r="AC131" s="172">
        <f>I131</f>
        <v>40</v>
      </c>
      <c r="AH131" s="172"/>
    </row>
    <row r="132" spans="2:34" x14ac:dyDescent="0.25">
      <c r="B132" s="168" t="s">
        <v>1069</v>
      </c>
      <c r="C132" s="168" t="s">
        <v>573</v>
      </c>
      <c r="D132" s="168"/>
      <c r="E132" s="168" t="s">
        <v>574</v>
      </c>
      <c r="F132" s="168" t="s">
        <v>560</v>
      </c>
      <c r="G132" s="168" t="s">
        <v>1644</v>
      </c>
      <c r="H132" s="168" t="s">
        <v>577</v>
      </c>
      <c r="I132" s="169">
        <v>245.61</v>
      </c>
      <c r="J132" s="169">
        <v>24212.6</v>
      </c>
      <c r="K132" s="172">
        <f>I132</f>
        <v>245.61</v>
      </c>
    </row>
    <row r="133" spans="2:34" ht="23.25" x14ac:dyDescent="0.25">
      <c r="B133" s="168" t="s">
        <v>942</v>
      </c>
      <c r="C133" s="168" t="s">
        <v>573</v>
      </c>
      <c r="D133" s="168"/>
      <c r="E133" s="168" t="s">
        <v>574</v>
      </c>
      <c r="F133" s="168" t="s">
        <v>1657</v>
      </c>
      <c r="G133" s="168" t="s">
        <v>1669</v>
      </c>
      <c r="H133" s="168" t="s">
        <v>585</v>
      </c>
      <c r="I133" s="169">
        <v>77.63</v>
      </c>
      <c r="J133" s="169">
        <v>24290.23</v>
      </c>
      <c r="AF133" s="172">
        <f>I133</f>
        <v>77.63</v>
      </c>
      <c r="AG133" s="172"/>
      <c r="AH133" s="172"/>
    </row>
    <row r="134" spans="2:34" ht="45.75" x14ac:dyDescent="0.25">
      <c r="B134" s="168" t="s">
        <v>1478</v>
      </c>
      <c r="C134" s="168" t="s">
        <v>573</v>
      </c>
      <c r="D134" s="168"/>
      <c r="E134" s="168" t="s">
        <v>574</v>
      </c>
      <c r="F134" s="168" t="s">
        <v>1584</v>
      </c>
      <c r="G134" s="168" t="s">
        <v>1670</v>
      </c>
      <c r="H134" s="168" t="s">
        <v>585</v>
      </c>
      <c r="I134" s="169">
        <v>182.29</v>
      </c>
      <c r="J134" s="169">
        <v>24472.52</v>
      </c>
      <c r="P134" s="172">
        <f>I134</f>
        <v>182.29</v>
      </c>
    </row>
    <row r="135" spans="2:34" ht="23.25" x14ac:dyDescent="0.25">
      <c r="B135" s="168" t="s">
        <v>1671</v>
      </c>
      <c r="C135" s="168" t="s">
        <v>573</v>
      </c>
      <c r="D135" s="168"/>
      <c r="E135" s="168" t="s">
        <v>574</v>
      </c>
      <c r="F135" s="168" t="s">
        <v>1577</v>
      </c>
      <c r="G135" s="168" t="s">
        <v>1672</v>
      </c>
      <c r="H135" s="168" t="s">
        <v>585</v>
      </c>
      <c r="I135" s="169">
        <v>15.96</v>
      </c>
      <c r="J135" s="169">
        <v>24488.48</v>
      </c>
      <c r="L135" s="172">
        <f>I135</f>
        <v>15.96</v>
      </c>
    </row>
    <row r="136" spans="2:34" ht="23.25" x14ac:dyDescent="0.25">
      <c r="B136" s="168" t="s">
        <v>796</v>
      </c>
      <c r="C136" s="168" t="s">
        <v>573</v>
      </c>
      <c r="D136" s="168"/>
      <c r="E136" s="168" t="s">
        <v>574</v>
      </c>
      <c r="F136" s="168" t="s">
        <v>1640</v>
      </c>
      <c r="G136" s="168" t="s">
        <v>1673</v>
      </c>
      <c r="H136" s="168" t="s">
        <v>585</v>
      </c>
      <c r="I136" s="169">
        <v>107</v>
      </c>
      <c r="J136" s="169">
        <v>24595.48</v>
      </c>
      <c r="AE136" s="172">
        <f>I136</f>
        <v>107</v>
      </c>
      <c r="AH136" s="172"/>
    </row>
    <row r="137" spans="2:34" ht="23.25" x14ac:dyDescent="0.25">
      <c r="B137" s="168" t="s">
        <v>796</v>
      </c>
      <c r="C137" s="168" t="s">
        <v>573</v>
      </c>
      <c r="D137" s="168"/>
      <c r="E137" s="168" t="s">
        <v>574</v>
      </c>
      <c r="F137" s="168" t="s">
        <v>1593</v>
      </c>
      <c r="G137" s="168" t="s">
        <v>1674</v>
      </c>
      <c r="H137" s="168" t="s">
        <v>585</v>
      </c>
      <c r="I137" s="169">
        <v>93.28</v>
      </c>
      <c r="J137" s="169">
        <v>24688.76</v>
      </c>
      <c r="U137" s="172">
        <f>I137</f>
        <v>93.28</v>
      </c>
    </row>
    <row r="138" spans="2:34" ht="23.25" x14ac:dyDescent="0.25">
      <c r="B138" s="168" t="s">
        <v>1546</v>
      </c>
      <c r="C138" s="168" t="s">
        <v>573</v>
      </c>
      <c r="D138" s="168"/>
      <c r="E138" s="168" t="s">
        <v>574</v>
      </c>
      <c r="F138" s="168" t="s">
        <v>1591</v>
      </c>
      <c r="G138" s="168" t="s">
        <v>1675</v>
      </c>
      <c r="H138" s="168" t="s">
        <v>585</v>
      </c>
      <c r="I138" s="169">
        <v>111.93</v>
      </c>
      <c r="J138" s="169">
        <v>24800.69</v>
      </c>
      <c r="S138" s="172">
        <f>I138</f>
        <v>111.93</v>
      </c>
      <c r="AH138" s="172"/>
    </row>
    <row r="139" spans="2:34" ht="23.25" x14ac:dyDescent="0.25">
      <c r="B139" s="168" t="s">
        <v>1546</v>
      </c>
      <c r="C139" s="168" t="s">
        <v>573</v>
      </c>
      <c r="D139" s="168"/>
      <c r="E139" s="168" t="s">
        <v>574</v>
      </c>
      <c r="F139" s="168" t="s">
        <v>1600</v>
      </c>
      <c r="G139" s="168" t="s">
        <v>1676</v>
      </c>
      <c r="H139" s="168" t="s">
        <v>585</v>
      </c>
      <c r="I139" s="169">
        <v>17.309999999999999</v>
      </c>
      <c r="J139" s="169">
        <v>24818</v>
      </c>
      <c r="V139" s="172">
        <f>I139</f>
        <v>17.309999999999999</v>
      </c>
    </row>
    <row r="140" spans="2:34" ht="23.25" x14ac:dyDescent="0.25">
      <c r="B140" s="168" t="s">
        <v>1677</v>
      </c>
      <c r="C140" s="168" t="s">
        <v>644</v>
      </c>
      <c r="D140" s="168">
        <v>18228</v>
      </c>
      <c r="E140" s="168" t="s">
        <v>574</v>
      </c>
      <c r="F140" s="168" t="s">
        <v>1678</v>
      </c>
      <c r="G140" s="168" t="s">
        <v>1679</v>
      </c>
      <c r="H140" s="168" t="s">
        <v>648</v>
      </c>
      <c r="I140" s="169">
        <v>500</v>
      </c>
      <c r="J140" s="169">
        <v>25318</v>
      </c>
      <c r="X140" s="172">
        <f>I140</f>
        <v>500</v>
      </c>
      <c r="Y140" s="172"/>
      <c r="Z140" s="172"/>
      <c r="AA140" s="172"/>
      <c r="AB140" s="172"/>
      <c r="AC140" s="172"/>
      <c r="AD140" s="172"/>
      <c r="AE140" s="172"/>
      <c r="AF140" s="172"/>
      <c r="AG140" s="172"/>
    </row>
    <row r="141" spans="2:34" ht="23.25" x14ac:dyDescent="0.25">
      <c r="B141" s="168" t="s">
        <v>1372</v>
      </c>
      <c r="C141" s="168" t="s">
        <v>573</v>
      </c>
      <c r="D141" s="168"/>
      <c r="E141" s="168" t="s">
        <v>574</v>
      </c>
      <c r="F141" s="168" t="s">
        <v>1597</v>
      </c>
      <c r="G141" s="168" t="s">
        <v>1631</v>
      </c>
      <c r="H141" s="168" t="s">
        <v>739</v>
      </c>
      <c r="I141" s="169">
        <v>250</v>
      </c>
      <c r="J141" s="169">
        <v>25568</v>
      </c>
      <c r="W141" s="172">
        <f>I141</f>
        <v>250</v>
      </c>
    </row>
    <row r="142" spans="2:34" ht="23.25" x14ac:dyDescent="0.25">
      <c r="B142" s="168" t="s">
        <v>1502</v>
      </c>
      <c r="C142" s="168" t="s">
        <v>573</v>
      </c>
      <c r="D142" s="168"/>
      <c r="E142" s="168" t="s">
        <v>574</v>
      </c>
      <c r="F142" s="168" t="s">
        <v>1600</v>
      </c>
      <c r="G142" s="168" t="s">
        <v>1680</v>
      </c>
      <c r="H142" s="168" t="s">
        <v>585</v>
      </c>
      <c r="I142" s="169">
        <v>17.309999999999999</v>
      </c>
      <c r="J142" s="169">
        <v>25585.31</v>
      </c>
      <c r="V142" s="172">
        <f>I142</f>
        <v>17.309999999999999</v>
      </c>
    </row>
    <row r="143" spans="2:34" ht="23.25" x14ac:dyDescent="0.25">
      <c r="B143" s="168" t="s">
        <v>1681</v>
      </c>
      <c r="C143" s="168" t="s">
        <v>573</v>
      </c>
      <c r="D143" s="168"/>
      <c r="E143" s="168" t="s">
        <v>574</v>
      </c>
      <c r="F143" s="168" t="s">
        <v>1582</v>
      </c>
      <c r="G143" s="168" t="s">
        <v>1682</v>
      </c>
      <c r="H143" s="168" t="s">
        <v>585</v>
      </c>
      <c r="I143" s="169">
        <v>96.43</v>
      </c>
      <c r="J143" s="169">
        <v>25681.74</v>
      </c>
      <c r="O143" s="172">
        <f>I143</f>
        <v>96.43</v>
      </c>
    </row>
    <row r="144" spans="2:34" ht="23.25" x14ac:dyDescent="0.25">
      <c r="B144" s="168" t="s">
        <v>1550</v>
      </c>
      <c r="C144" s="168" t="s">
        <v>573</v>
      </c>
      <c r="D144" s="168"/>
      <c r="E144" s="168" t="s">
        <v>574</v>
      </c>
      <c r="F144" s="168" t="s">
        <v>1589</v>
      </c>
      <c r="G144" s="168" t="s">
        <v>1683</v>
      </c>
      <c r="H144" s="168" t="s">
        <v>585</v>
      </c>
      <c r="I144" s="169">
        <v>10.81</v>
      </c>
      <c r="J144" s="169">
        <v>25692.55</v>
      </c>
      <c r="R144" s="172">
        <f>I144</f>
        <v>10.81</v>
      </c>
    </row>
    <row r="145" spans="2:34" ht="23.25" x14ac:dyDescent="0.25">
      <c r="B145" s="168" t="s">
        <v>1550</v>
      </c>
      <c r="C145" s="168" t="s">
        <v>644</v>
      </c>
      <c r="D145" s="168" t="s">
        <v>1684</v>
      </c>
      <c r="E145" s="168" t="s">
        <v>574</v>
      </c>
      <c r="F145" s="168" t="s">
        <v>1602</v>
      </c>
      <c r="G145" s="168" t="s">
        <v>1685</v>
      </c>
      <c r="H145" s="168" t="s">
        <v>648</v>
      </c>
      <c r="I145" s="169">
        <v>115.13</v>
      </c>
      <c r="J145" s="169">
        <v>25807.68</v>
      </c>
      <c r="T145" s="172">
        <f>I145</f>
        <v>115.13</v>
      </c>
    </row>
    <row r="146" spans="2:34" x14ac:dyDescent="0.25">
      <c r="B146" s="168" t="s">
        <v>1550</v>
      </c>
      <c r="C146" s="168" t="s">
        <v>676</v>
      </c>
      <c r="D146" s="168" t="s">
        <v>1686</v>
      </c>
      <c r="E146" s="168" t="s">
        <v>1453</v>
      </c>
      <c r="F146" s="168"/>
      <c r="G146" s="168" t="s">
        <v>1607</v>
      </c>
      <c r="H146" s="170" t="s">
        <v>679</v>
      </c>
      <c r="I146" s="169">
        <v>487.27</v>
      </c>
      <c r="J146" s="169">
        <v>26294.95</v>
      </c>
      <c r="Q146" s="172">
        <f>I146</f>
        <v>487.27</v>
      </c>
    </row>
    <row r="147" spans="2:34" ht="23.25" x14ac:dyDescent="0.25">
      <c r="B147" s="168" t="s">
        <v>635</v>
      </c>
      <c r="C147" s="168" t="s">
        <v>644</v>
      </c>
      <c r="D147" s="168">
        <v>18292</v>
      </c>
      <c r="E147" s="168" t="s">
        <v>574</v>
      </c>
      <c r="F147" s="168" t="s">
        <v>1678</v>
      </c>
      <c r="G147" s="168" t="s">
        <v>1687</v>
      </c>
      <c r="H147" s="168" t="s">
        <v>648</v>
      </c>
      <c r="I147" s="169">
        <v>1000</v>
      </c>
      <c r="J147" s="169">
        <v>27294.95</v>
      </c>
      <c r="X147" s="172">
        <f>I147</f>
        <v>1000</v>
      </c>
      <c r="Y147" s="172"/>
      <c r="Z147" s="172"/>
      <c r="AA147" s="172"/>
      <c r="AB147" s="172"/>
      <c r="AC147" s="172"/>
      <c r="AD147" s="172"/>
      <c r="AE147" s="172"/>
      <c r="AF147" s="172"/>
      <c r="AG147" s="172"/>
    </row>
    <row r="148" spans="2:34" x14ac:dyDescent="0.25">
      <c r="B148" s="168" t="s">
        <v>960</v>
      </c>
      <c r="C148" s="168" t="s">
        <v>573</v>
      </c>
      <c r="D148" s="168"/>
      <c r="E148" s="168" t="s">
        <v>574</v>
      </c>
      <c r="F148" s="168" t="s">
        <v>560</v>
      </c>
      <c r="G148" s="168" t="s">
        <v>1688</v>
      </c>
      <c r="H148" s="168" t="s">
        <v>577</v>
      </c>
      <c r="I148" s="169">
        <v>214.57</v>
      </c>
      <c r="J148" s="169">
        <v>27509.52</v>
      </c>
      <c r="K148" s="172">
        <f>I148</f>
        <v>214.57</v>
      </c>
    </row>
    <row r="149" spans="2:34" x14ac:dyDescent="0.25">
      <c r="B149" s="168" t="s">
        <v>960</v>
      </c>
      <c r="C149" s="168" t="s">
        <v>573</v>
      </c>
      <c r="D149" s="168"/>
      <c r="E149" s="168" t="s">
        <v>574</v>
      </c>
      <c r="F149" s="168" t="s">
        <v>1580</v>
      </c>
      <c r="G149" s="168" t="s">
        <v>1668</v>
      </c>
      <c r="H149" s="168" t="s">
        <v>577</v>
      </c>
      <c r="I149" s="169">
        <v>40</v>
      </c>
      <c r="J149" s="169">
        <v>27549.52</v>
      </c>
      <c r="AC149" s="172">
        <f>I149</f>
        <v>40</v>
      </c>
      <c r="AH149" s="172"/>
    </row>
    <row r="150" spans="2:34" x14ac:dyDescent="0.25">
      <c r="B150" s="168" t="s">
        <v>960</v>
      </c>
      <c r="C150" s="168" t="s">
        <v>573</v>
      </c>
      <c r="D150" s="168"/>
      <c r="E150" s="168" t="s">
        <v>574</v>
      </c>
      <c r="F150" s="168" t="s">
        <v>1575</v>
      </c>
      <c r="G150" s="168" t="s">
        <v>1666</v>
      </c>
      <c r="H150" s="168" t="s">
        <v>577</v>
      </c>
      <c r="I150" s="169">
        <v>21.27</v>
      </c>
      <c r="J150" s="169">
        <v>27570.79</v>
      </c>
      <c r="Y150" s="172">
        <f>I150</f>
        <v>21.27</v>
      </c>
      <c r="Z150" s="172"/>
      <c r="AA150" s="172"/>
      <c r="AB150" s="172"/>
      <c r="AC150" s="172"/>
      <c r="AD150" s="172"/>
      <c r="AE150" s="172"/>
      <c r="AF150" s="172"/>
      <c r="AG150" s="172"/>
      <c r="AH150" s="172"/>
    </row>
    <row r="151" spans="2:34" ht="23.25" x14ac:dyDescent="0.25">
      <c r="B151" s="168" t="s">
        <v>962</v>
      </c>
      <c r="C151" s="168" t="s">
        <v>573</v>
      </c>
      <c r="D151" s="168"/>
      <c r="E151" s="168" t="s">
        <v>574</v>
      </c>
      <c r="F151" s="168" t="s">
        <v>1589</v>
      </c>
      <c r="G151" s="168" t="s">
        <v>1689</v>
      </c>
      <c r="H151" s="168" t="s">
        <v>585</v>
      </c>
      <c r="I151" s="169">
        <v>32.46</v>
      </c>
      <c r="J151" s="169">
        <v>27603.25</v>
      </c>
      <c r="R151" s="172">
        <f>I151</f>
        <v>32.46</v>
      </c>
    </row>
    <row r="152" spans="2:34" ht="45.75" x14ac:dyDescent="0.25">
      <c r="B152" s="168" t="s">
        <v>637</v>
      </c>
      <c r="C152" s="168" t="s">
        <v>573</v>
      </c>
      <c r="D152" s="168"/>
      <c r="E152" s="168" t="s">
        <v>574</v>
      </c>
      <c r="F152" s="168" t="s">
        <v>1584</v>
      </c>
      <c r="G152" s="168" t="s">
        <v>1690</v>
      </c>
      <c r="H152" s="168" t="s">
        <v>585</v>
      </c>
      <c r="I152" s="169">
        <v>195.08</v>
      </c>
      <c r="J152" s="169">
        <v>27798.33</v>
      </c>
      <c r="P152" s="172">
        <f>I152</f>
        <v>195.08</v>
      </c>
    </row>
    <row r="153" spans="2:34" ht="304.5" x14ac:dyDescent="0.25">
      <c r="B153" s="168" t="s">
        <v>643</v>
      </c>
      <c r="C153" s="168" t="s">
        <v>644</v>
      </c>
      <c r="D153" s="168" t="s">
        <v>1691</v>
      </c>
      <c r="E153" s="168" t="s">
        <v>574</v>
      </c>
      <c r="F153" s="168" t="s">
        <v>1602</v>
      </c>
      <c r="G153" s="168" t="s">
        <v>1692</v>
      </c>
      <c r="H153" s="168" t="s">
        <v>648</v>
      </c>
      <c r="I153" s="169">
        <v>801.81</v>
      </c>
      <c r="J153" s="169">
        <v>28600.14</v>
      </c>
      <c r="T153" s="172">
        <f>I153</f>
        <v>801.81</v>
      </c>
    </row>
    <row r="154" spans="2:34" ht="23.25" x14ac:dyDescent="0.25">
      <c r="B154" s="168" t="s">
        <v>971</v>
      </c>
      <c r="C154" s="168" t="s">
        <v>573</v>
      </c>
      <c r="D154" s="168"/>
      <c r="E154" s="168" t="s">
        <v>574</v>
      </c>
      <c r="F154" s="168" t="s">
        <v>1591</v>
      </c>
      <c r="G154" s="168" t="s">
        <v>1693</v>
      </c>
      <c r="H154" s="168" t="s">
        <v>585</v>
      </c>
      <c r="I154" s="169">
        <v>111.93</v>
      </c>
      <c r="J154" s="169">
        <v>28712.07</v>
      </c>
      <c r="S154" s="172">
        <f>I154</f>
        <v>111.93</v>
      </c>
      <c r="AH154" s="172"/>
    </row>
    <row r="155" spans="2:34" ht="23.25" x14ac:dyDescent="0.25">
      <c r="B155" s="168" t="s">
        <v>652</v>
      </c>
      <c r="C155" s="168" t="s">
        <v>573</v>
      </c>
      <c r="D155" s="168"/>
      <c r="E155" s="168" t="s">
        <v>574</v>
      </c>
      <c r="F155" s="168" t="s">
        <v>1640</v>
      </c>
      <c r="G155" s="168" t="s">
        <v>1694</v>
      </c>
      <c r="H155" s="168" t="s">
        <v>585</v>
      </c>
      <c r="I155" s="169">
        <v>99.1</v>
      </c>
      <c r="J155" s="169">
        <v>28811.17</v>
      </c>
      <c r="AE155" s="172">
        <f>I155</f>
        <v>99.1</v>
      </c>
      <c r="AH155" s="172"/>
    </row>
    <row r="156" spans="2:34" ht="23.25" x14ac:dyDescent="0.25">
      <c r="B156" s="168" t="s">
        <v>652</v>
      </c>
      <c r="C156" s="168" t="s">
        <v>573</v>
      </c>
      <c r="D156" s="168"/>
      <c r="E156" s="168" t="s">
        <v>574</v>
      </c>
      <c r="F156" s="168" t="s">
        <v>1593</v>
      </c>
      <c r="G156" s="168" t="s">
        <v>1695</v>
      </c>
      <c r="H156" s="168" t="s">
        <v>585</v>
      </c>
      <c r="I156" s="169">
        <v>94.47</v>
      </c>
      <c r="J156" s="169">
        <v>28905.64</v>
      </c>
      <c r="U156" s="172">
        <f>I156</f>
        <v>94.47</v>
      </c>
    </row>
    <row r="157" spans="2:34" ht="23.25" x14ac:dyDescent="0.25">
      <c r="B157" s="168" t="s">
        <v>656</v>
      </c>
      <c r="C157" s="168" t="s">
        <v>573</v>
      </c>
      <c r="D157" s="168"/>
      <c r="E157" s="168" t="s">
        <v>574</v>
      </c>
      <c r="F157" s="168" t="s">
        <v>1589</v>
      </c>
      <c r="G157" s="168" t="s">
        <v>1696</v>
      </c>
      <c r="H157" s="168" t="s">
        <v>585</v>
      </c>
      <c r="I157" s="169">
        <v>59.53</v>
      </c>
      <c r="J157" s="169">
        <v>28965.17</v>
      </c>
      <c r="R157" s="172">
        <f>I157</f>
        <v>59.53</v>
      </c>
    </row>
    <row r="158" spans="2:34" ht="34.5" x14ac:dyDescent="0.25">
      <c r="B158" s="168" t="s">
        <v>977</v>
      </c>
      <c r="C158" s="168" t="s">
        <v>644</v>
      </c>
      <c r="D158" s="168">
        <v>18421</v>
      </c>
      <c r="E158" s="168" t="s">
        <v>574</v>
      </c>
      <c r="F158" s="168" t="s">
        <v>1678</v>
      </c>
      <c r="G158" s="168" t="s">
        <v>1697</v>
      </c>
      <c r="H158" s="168" t="s">
        <v>648</v>
      </c>
      <c r="I158" s="169">
        <v>500</v>
      </c>
      <c r="J158" s="169">
        <v>29465.17</v>
      </c>
      <c r="X158" s="172">
        <f>I158</f>
        <v>500</v>
      </c>
      <c r="Y158" s="172"/>
      <c r="Z158" s="172"/>
      <c r="AA158" s="172"/>
      <c r="AB158" s="172"/>
      <c r="AC158" s="172"/>
      <c r="AD158" s="172"/>
      <c r="AE158" s="172"/>
      <c r="AF158" s="172"/>
      <c r="AG158" s="172"/>
    </row>
    <row r="159" spans="2:34" ht="45.75" x14ac:dyDescent="0.25">
      <c r="B159" s="168" t="s">
        <v>977</v>
      </c>
      <c r="C159" s="168" t="s">
        <v>573</v>
      </c>
      <c r="D159" s="168"/>
      <c r="E159" s="168" t="s">
        <v>574</v>
      </c>
      <c r="F159" s="168" t="s">
        <v>1698</v>
      </c>
      <c r="G159" s="168" t="s">
        <v>1699</v>
      </c>
      <c r="H159" s="168" t="s">
        <v>585</v>
      </c>
      <c r="I159" s="169">
        <v>99</v>
      </c>
      <c r="J159" s="169">
        <v>29564.17</v>
      </c>
      <c r="AH159" s="172">
        <f>I159</f>
        <v>99</v>
      </c>
    </row>
    <row r="160" spans="2:34" ht="23.25" x14ac:dyDescent="0.25">
      <c r="B160" s="168" t="s">
        <v>979</v>
      </c>
      <c r="C160" s="168" t="s">
        <v>573</v>
      </c>
      <c r="D160" s="168"/>
      <c r="E160" s="168" t="s">
        <v>574</v>
      </c>
      <c r="F160" s="168" t="s">
        <v>1582</v>
      </c>
      <c r="G160" s="168" t="s">
        <v>1700</v>
      </c>
      <c r="H160" s="168" t="s">
        <v>585</v>
      </c>
      <c r="I160" s="169">
        <v>64.45</v>
      </c>
      <c r="J160" s="169">
        <v>29628.62</v>
      </c>
      <c r="O160" s="172">
        <f>I160</f>
        <v>64.45</v>
      </c>
    </row>
    <row r="161" spans="2:34" ht="34.5" x14ac:dyDescent="0.25">
      <c r="B161" s="168" t="s">
        <v>658</v>
      </c>
      <c r="C161" s="168" t="s">
        <v>644</v>
      </c>
      <c r="D161" s="168" t="s">
        <v>1701</v>
      </c>
      <c r="E161" s="168" t="s">
        <v>574</v>
      </c>
      <c r="F161" s="168" t="s">
        <v>1602</v>
      </c>
      <c r="G161" s="168" t="s">
        <v>1702</v>
      </c>
      <c r="H161" s="168" t="s">
        <v>648</v>
      </c>
      <c r="I161" s="169">
        <v>600</v>
      </c>
      <c r="J161" s="169">
        <v>30228.62</v>
      </c>
      <c r="T161" s="172">
        <f>I161</f>
        <v>600</v>
      </c>
    </row>
    <row r="162" spans="2:34" ht="23.25" x14ac:dyDescent="0.25">
      <c r="B162" s="168" t="s">
        <v>982</v>
      </c>
      <c r="C162" s="168" t="s">
        <v>573</v>
      </c>
      <c r="D162" s="168"/>
      <c r="E162" s="168" t="s">
        <v>574</v>
      </c>
      <c r="F162" s="168" t="s">
        <v>1597</v>
      </c>
      <c r="G162" s="168" t="s">
        <v>1402</v>
      </c>
      <c r="H162" s="168" t="s">
        <v>739</v>
      </c>
      <c r="I162" s="169">
        <v>250</v>
      </c>
      <c r="J162" s="169">
        <v>30478.62</v>
      </c>
      <c r="W162" s="172">
        <f>I162</f>
        <v>250</v>
      </c>
    </row>
    <row r="163" spans="2:34" ht="23.25" x14ac:dyDescent="0.25">
      <c r="B163" s="168" t="s">
        <v>984</v>
      </c>
      <c r="C163" s="168" t="s">
        <v>573</v>
      </c>
      <c r="D163" s="168"/>
      <c r="E163" s="168" t="s">
        <v>574</v>
      </c>
      <c r="F163" s="168" t="s">
        <v>1589</v>
      </c>
      <c r="G163" s="168" t="s">
        <v>1703</v>
      </c>
      <c r="H163" s="168" t="s">
        <v>585</v>
      </c>
      <c r="I163" s="169">
        <v>10.81</v>
      </c>
      <c r="J163" s="169">
        <v>30489.43</v>
      </c>
      <c r="R163" s="172">
        <f>I163</f>
        <v>10.81</v>
      </c>
    </row>
    <row r="164" spans="2:34" ht="23.25" x14ac:dyDescent="0.25">
      <c r="B164" s="168" t="s">
        <v>1704</v>
      </c>
      <c r="C164" s="168" t="s">
        <v>573</v>
      </c>
      <c r="D164" s="168"/>
      <c r="E164" s="168" t="s">
        <v>574</v>
      </c>
      <c r="F164" s="168" t="s">
        <v>1589</v>
      </c>
      <c r="G164" s="168" t="s">
        <v>1705</v>
      </c>
      <c r="H164" s="168" t="s">
        <v>585</v>
      </c>
      <c r="I164" s="169">
        <v>32.46</v>
      </c>
      <c r="J164" s="169">
        <v>30521.89</v>
      </c>
      <c r="R164" s="172">
        <f>I164</f>
        <v>32.46</v>
      </c>
    </row>
    <row r="165" spans="2:34" ht="23.25" x14ac:dyDescent="0.25">
      <c r="B165" s="168" t="s">
        <v>1704</v>
      </c>
      <c r="C165" s="168" t="s">
        <v>573</v>
      </c>
      <c r="D165" s="168"/>
      <c r="E165" s="168" t="s">
        <v>574</v>
      </c>
      <c r="F165" s="168" t="s">
        <v>1600</v>
      </c>
      <c r="G165" s="168" t="s">
        <v>1706</v>
      </c>
      <c r="H165" s="168" t="s">
        <v>585</v>
      </c>
      <c r="I165" s="169">
        <v>18.39</v>
      </c>
      <c r="J165" s="169">
        <v>30540.28</v>
      </c>
      <c r="V165" s="172">
        <f>I165</f>
        <v>18.39</v>
      </c>
    </row>
    <row r="166" spans="2:34" ht="23.25" x14ac:dyDescent="0.25">
      <c r="B166" s="168" t="s">
        <v>660</v>
      </c>
      <c r="C166" s="168" t="s">
        <v>573</v>
      </c>
      <c r="D166" s="168"/>
      <c r="E166" s="168" t="s">
        <v>574</v>
      </c>
      <c r="F166" s="168" t="s">
        <v>1602</v>
      </c>
      <c r="G166" s="168" t="s">
        <v>1707</v>
      </c>
      <c r="H166" s="168" t="s">
        <v>585</v>
      </c>
      <c r="I166" s="169">
        <v>2918.75</v>
      </c>
      <c r="J166" s="169">
        <v>33459.03</v>
      </c>
      <c r="T166" s="172">
        <f>I166</f>
        <v>2918.75</v>
      </c>
    </row>
    <row r="167" spans="2:34" ht="147" x14ac:dyDescent="0.25">
      <c r="B167" s="168" t="s">
        <v>662</v>
      </c>
      <c r="C167" s="168" t="s">
        <v>644</v>
      </c>
      <c r="D167" s="168">
        <v>1454137</v>
      </c>
      <c r="E167" s="168" t="s">
        <v>574</v>
      </c>
      <c r="F167" s="168" t="s">
        <v>1708</v>
      </c>
      <c r="G167" s="168" t="s">
        <v>1709</v>
      </c>
      <c r="H167" s="168" t="s">
        <v>648</v>
      </c>
      <c r="I167" s="169">
        <v>1055</v>
      </c>
      <c r="J167" s="169">
        <v>34514.03</v>
      </c>
      <c r="AG167" s="172">
        <f>I167</f>
        <v>1055</v>
      </c>
      <c r="AH167" s="172"/>
    </row>
    <row r="168" spans="2:34" x14ac:dyDescent="0.25">
      <c r="B168" s="168" t="s">
        <v>662</v>
      </c>
      <c r="C168" s="168" t="s">
        <v>676</v>
      </c>
      <c r="D168" s="168" t="s">
        <v>1710</v>
      </c>
      <c r="E168" s="168" t="s">
        <v>1453</v>
      </c>
      <c r="F168" s="168"/>
      <c r="G168" s="168" t="s">
        <v>1607</v>
      </c>
      <c r="H168" s="170" t="s">
        <v>679</v>
      </c>
      <c r="I168" s="169">
        <v>487.27</v>
      </c>
      <c r="J168" s="169">
        <v>35001.300000000003</v>
      </c>
      <c r="Q168" s="172">
        <f>I168</f>
        <v>487.27</v>
      </c>
    </row>
    <row r="169" spans="2:34" ht="23.25" x14ac:dyDescent="0.25">
      <c r="B169" s="168" t="s">
        <v>664</v>
      </c>
      <c r="C169" s="168" t="s">
        <v>644</v>
      </c>
      <c r="D169" s="168">
        <v>18444</v>
      </c>
      <c r="E169" s="168" t="s">
        <v>574</v>
      </c>
      <c r="F169" s="168" t="s">
        <v>1678</v>
      </c>
      <c r="G169" s="168" t="s">
        <v>1711</v>
      </c>
      <c r="H169" s="168" t="s">
        <v>648</v>
      </c>
      <c r="I169" s="169">
        <v>1000</v>
      </c>
      <c r="J169" s="169">
        <v>36001.300000000003</v>
      </c>
      <c r="X169" s="172">
        <f>I169</f>
        <v>1000</v>
      </c>
      <c r="Y169" s="172"/>
      <c r="Z169" s="172"/>
      <c r="AA169" s="172"/>
      <c r="AB169" s="172"/>
      <c r="AC169" s="172"/>
      <c r="AD169" s="172"/>
      <c r="AE169" s="172"/>
      <c r="AF169" s="172"/>
      <c r="AG169" s="172"/>
    </row>
    <row r="170" spans="2:34" ht="23.25" x14ac:dyDescent="0.25">
      <c r="B170" s="168" t="s">
        <v>1391</v>
      </c>
      <c r="C170" s="168" t="s">
        <v>573</v>
      </c>
      <c r="D170" s="168"/>
      <c r="E170" s="168" t="s">
        <v>574</v>
      </c>
      <c r="F170" s="168" t="s">
        <v>1602</v>
      </c>
      <c r="G170" s="168" t="s">
        <v>1712</v>
      </c>
      <c r="H170" s="168" t="s">
        <v>585</v>
      </c>
      <c r="I170" s="169">
        <v>115.13</v>
      </c>
      <c r="J170" s="169">
        <v>36116.43</v>
      </c>
      <c r="T170" s="172">
        <f>I170</f>
        <v>115.13</v>
      </c>
    </row>
    <row r="171" spans="2:34" ht="45.75" x14ac:dyDescent="0.25">
      <c r="B171" s="168" t="s">
        <v>1391</v>
      </c>
      <c r="C171" s="168" t="s">
        <v>573</v>
      </c>
      <c r="D171" s="168"/>
      <c r="E171" s="168" t="s">
        <v>574</v>
      </c>
      <c r="F171" s="168" t="s">
        <v>1584</v>
      </c>
      <c r="G171" s="168" t="s">
        <v>1713</v>
      </c>
      <c r="H171" s="168" t="s">
        <v>585</v>
      </c>
      <c r="I171" s="169">
        <v>156.69999999999999</v>
      </c>
      <c r="J171" s="169">
        <v>36273.129999999997</v>
      </c>
      <c r="P171" s="172">
        <f>I171</f>
        <v>156.69999999999999</v>
      </c>
    </row>
    <row r="172" spans="2:34" ht="23.25" x14ac:dyDescent="0.25">
      <c r="B172" s="168" t="s">
        <v>1714</v>
      </c>
      <c r="C172" s="168" t="s">
        <v>573</v>
      </c>
      <c r="D172" s="168"/>
      <c r="E172" s="168" t="s">
        <v>574</v>
      </c>
      <c r="F172" s="168" t="s">
        <v>1589</v>
      </c>
      <c r="G172" s="168" t="s">
        <v>1715</v>
      </c>
      <c r="H172" s="168" t="s">
        <v>585</v>
      </c>
      <c r="I172" s="169">
        <v>59.53</v>
      </c>
      <c r="J172" s="169">
        <v>36332.660000000003</v>
      </c>
      <c r="R172" s="172">
        <f>I172</f>
        <v>59.53</v>
      </c>
    </row>
    <row r="173" spans="2:34" ht="23.25" x14ac:dyDescent="0.25">
      <c r="B173" s="168" t="s">
        <v>1716</v>
      </c>
      <c r="C173" s="168" t="s">
        <v>573</v>
      </c>
      <c r="D173" s="168"/>
      <c r="E173" s="168" t="s">
        <v>574</v>
      </c>
      <c r="F173" s="168" t="s">
        <v>1591</v>
      </c>
      <c r="G173" s="168" t="s">
        <v>1717</v>
      </c>
      <c r="H173" s="168" t="s">
        <v>585</v>
      </c>
      <c r="I173" s="169">
        <v>111.93</v>
      </c>
      <c r="J173" s="169">
        <v>36444.589999999997</v>
      </c>
      <c r="S173" s="172">
        <f>I173</f>
        <v>111.93</v>
      </c>
      <c r="AH173" s="172"/>
    </row>
    <row r="174" spans="2:34" ht="23.25" x14ac:dyDescent="0.25">
      <c r="B174" s="168" t="s">
        <v>802</v>
      </c>
      <c r="C174" s="168" t="s">
        <v>573</v>
      </c>
      <c r="D174" s="168"/>
      <c r="E174" s="168" t="s">
        <v>574</v>
      </c>
      <c r="F174" s="168" t="s">
        <v>1593</v>
      </c>
      <c r="G174" s="168" t="s">
        <v>1718</v>
      </c>
      <c r="H174" s="168" t="s">
        <v>585</v>
      </c>
      <c r="I174" s="169">
        <v>81.239999999999995</v>
      </c>
      <c r="J174" s="169">
        <v>36525.83</v>
      </c>
      <c r="U174" s="172">
        <f>I174</f>
        <v>81.239999999999995</v>
      </c>
    </row>
    <row r="175" spans="2:34" ht="23.25" x14ac:dyDescent="0.25">
      <c r="B175" s="168" t="s">
        <v>802</v>
      </c>
      <c r="C175" s="168" t="s">
        <v>573</v>
      </c>
      <c r="D175" s="168"/>
      <c r="E175" s="168" t="s">
        <v>574</v>
      </c>
      <c r="F175" s="168" t="s">
        <v>1640</v>
      </c>
      <c r="G175" s="168" t="s">
        <v>1719</v>
      </c>
      <c r="H175" s="168" t="s">
        <v>585</v>
      </c>
      <c r="I175" s="169">
        <v>99.15</v>
      </c>
      <c r="J175" s="169">
        <v>36624.980000000003</v>
      </c>
      <c r="AE175" s="172">
        <f>I175</f>
        <v>99.15</v>
      </c>
      <c r="AH175" s="172"/>
    </row>
    <row r="176" spans="2:34" ht="23.25" x14ac:dyDescent="0.25">
      <c r="B176" s="168" t="s">
        <v>1720</v>
      </c>
      <c r="C176" s="168" t="s">
        <v>573</v>
      </c>
      <c r="D176" s="168"/>
      <c r="E176" s="168" t="s">
        <v>574</v>
      </c>
      <c r="F176" s="168" t="s">
        <v>1589</v>
      </c>
      <c r="G176" s="168" t="s">
        <v>1721</v>
      </c>
      <c r="H176" s="168" t="s">
        <v>585</v>
      </c>
      <c r="I176" s="169">
        <v>10.81</v>
      </c>
      <c r="J176" s="169">
        <v>36635.79</v>
      </c>
      <c r="R176" s="172">
        <f>I176</f>
        <v>10.81</v>
      </c>
    </row>
    <row r="177" spans="1:34" ht="23.25" x14ac:dyDescent="0.25">
      <c r="B177" s="168" t="s">
        <v>1722</v>
      </c>
      <c r="C177" s="168" t="s">
        <v>573</v>
      </c>
      <c r="D177" s="168"/>
      <c r="E177" s="168" t="s">
        <v>574</v>
      </c>
      <c r="F177" s="168" t="s">
        <v>1600</v>
      </c>
      <c r="G177" s="168" t="s">
        <v>1723</v>
      </c>
      <c r="H177" s="168" t="s">
        <v>585</v>
      </c>
      <c r="I177" s="169">
        <v>18.39</v>
      </c>
      <c r="J177" s="169">
        <v>36654.18</v>
      </c>
      <c r="V177" s="172">
        <f>I177</f>
        <v>18.39</v>
      </c>
    </row>
    <row r="178" spans="1:34" ht="23.25" x14ac:dyDescent="0.25">
      <c r="B178" s="168" t="s">
        <v>1722</v>
      </c>
      <c r="C178" s="168" t="s">
        <v>573</v>
      </c>
      <c r="D178" s="168"/>
      <c r="E178" s="168" t="s">
        <v>574</v>
      </c>
      <c r="F178" s="168" t="s">
        <v>1589</v>
      </c>
      <c r="G178" s="168" t="s">
        <v>1724</v>
      </c>
      <c r="H178" s="168" t="s">
        <v>585</v>
      </c>
      <c r="I178" s="169">
        <v>32.46</v>
      </c>
      <c r="J178" s="169">
        <v>36686.639999999999</v>
      </c>
      <c r="R178" s="172">
        <f>I178</f>
        <v>32.46</v>
      </c>
    </row>
    <row r="179" spans="1:34" ht="169.5" x14ac:dyDescent="0.25">
      <c r="B179" s="168" t="s">
        <v>1564</v>
      </c>
      <c r="C179" s="168" t="s">
        <v>644</v>
      </c>
      <c r="D179" s="168">
        <v>1455159</v>
      </c>
      <c r="E179" s="168" t="s">
        <v>574</v>
      </c>
      <c r="F179" s="168" t="s">
        <v>1708</v>
      </c>
      <c r="G179" s="168" t="s">
        <v>1725</v>
      </c>
      <c r="H179" s="168" t="s">
        <v>648</v>
      </c>
      <c r="I179" s="169">
        <v>307.5</v>
      </c>
      <c r="J179" s="169">
        <v>36994.14</v>
      </c>
      <c r="AG179" s="172">
        <f>I179</f>
        <v>307.5</v>
      </c>
      <c r="AH179" s="172"/>
    </row>
    <row r="180" spans="1:34" x14ac:dyDescent="0.25">
      <c r="B180" s="168" t="s">
        <v>1564</v>
      </c>
      <c r="C180" s="168" t="s">
        <v>676</v>
      </c>
      <c r="D180" s="168" t="s">
        <v>1726</v>
      </c>
      <c r="E180" s="168" t="s">
        <v>1453</v>
      </c>
      <c r="F180" s="168"/>
      <c r="G180" s="168" t="s">
        <v>1607</v>
      </c>
      <c r="H180" s="170" t="s">
        <v>679</v>
      </c>
      <c r="I180" s="169">
        <v>109.68</v>
      </c>
      <c r="J180" s="169">
        <v>37103.82</v>
      </c>
      <c r="Q180" s="172">
        <f>I180</f>
        <v>109.68</v>
      </c>
    </row>
    <row r="181" spans="1:34" ht="23.25" x14ac:dyDescent="0.25">
      <c r="B181" s="168" t="s">
        <v>1727</v>
      </c>
      <c r="C181" s="168" t="s">
        <v>644</v>
      </c>
      <c r="D181" s="168">
        <v>18611</v>
      </c>
      <c r="E181" s="168" t="s">
        <v>574</v>
      </c>
      <c r="F181" s="168" t="s">
        <v>1678</v>
      </c>
      <c r="G181" s="168" t="s">
        <v>1728</v>
      </c>
      <c r="H181" s="168" t="s">
        <v>648</v>
      </c>
      <c r="I181" s="169">
        <v>1000</v>
      </c>
      <c r="J181" s="169">
        <v>38103.82</v>
      </c>
      <c r="X181" s="172">
        <f>I181</f>
        <v>1000</v>
      </c>
      <c r="Y181" s="172"/>
      <c r="Z181" s="172"/>
      <c r="AA181" s="172"/>
      <c r="AB181" s="172"/>
      <c r="AC181" s="172"/>
      <c r="AD181" s="172"/>
      <c r="AE181" s="172"/>
      <c r="AF181" s="172"/>
      <c r="AG181" s="172"/>
    </row>
    <row r="182" spans="1:34" ht="45.75" x14ac:dyDescent="0.25">
      <c r="B182" s="168" t="s">
        <v>1409</v>
      </c>
      <c r="C182" s="168" t="s">
        <v>573</v>
      </c>
      <c r="D182" s="168"/>
      <c r="E182" s="168" t="s">
        <v>574</v>
      </c>
      <c r="F182" s="168" t="s">
        <v>1584</v>
      </c>
      <c r="G182" s="168" t="s">
        <v>1729</v>
      </c>
      <c r="H182" s="168" t="s">
        <v>585</v>
      </c>
      <c r="I182" s="169">
        <v>200.4</v>
      </c>
      <c r="J182" s="169">
        <v>38304.22</v>
      </c>
      <c r="P182" s="172">
        <f>I182</f>
        <v>200.4</v>
      </c>
    </row>
    <row r="183" spans="1:34" ht="23.25" x14ac:dyDescent="0.25">
      <c r="B183" s="168" t="s">
        <v>1000</v>
      </c>
      <c r="C183" s="168" t="s">
        <v>573</v>
      </c>
      <c r="D183" s="168"/>
      <c r="E183" s="168" t="s">
        <v>574</v>
      </c>
      <c r="F183" s="168" t="s">
        <v>1575</v>
      </c>
      <c r="G183" s="168" t="s">
        <v>1730</v>
      </c>
      <c r="H183" s="168" t="s">
        <v>585</v>
      </c>
      <c r="I183" s="169">
        <v>21.27</v>
      </c>
      <c r="J183" s="169">
        <v>38325.49</v>
      </c>
      <c r="Y183" s="172">
        <f>I183</f>
        <v>21.27</v>
      </c>
      <c r="Z183" s="172"/>
      <c r="AA183" s="172"/>
      <c r="AB183" s="172"/>
      <c r="AC183" s="172"/>
      <c r="AD183" s="172"/>
      <c r="AE183" s="172"/>
      <c r="AF183" s="172"/>
      <c r="AG183" s="172"/>
      <c r="AH183" s="172"/>
    </row>
    <row r="184" spans="1:34" ht="23.25" x14ac:dyDescent="0.25">
      <c r="B184" s="168" t="s">
        <v>1731</v>
      </c>
      <c r="C184" s="168" t="s">
        <v>573</v>
      </c>
      <c r="D184" s="168"/>
      <c r="E184" s="168" t="s">
        <v>574</v>
      </c>
      <c r="F184" s="168" t="s">
        <v>1589</v>
      </c>
      <c r="G184" s="168" t="s">
        <v>1732</v>
      </c>
      <c r="H184" s="168" t="s">
        <v>585</v>
      </c>
      <c r="I184" s="169">
        <v>59.53</v>
      </c>
      <c r="J184" s="169">
        <v>38385.019999999997</v>
      </c>
      <c r="R184" s="172">
        <f>I184</f>
        <v>59.53</v>
      </c>
    </row>
    <row r="185" spans="1:34" ht="23.25" x14ac:dyDescent="0.25">
      <c r="B185" s="168" t="s">
        <v>1733</v>
      </c>
      <c r="C185" s="168" t="s">
        <v>573</v>
      </c>
      <c r="D185" s="168"/>
      <c r="E185" s="168" t="s">
        <v>574</v>
      </c>
      <c r="F185" s="168" t="s">
        <v>1591</v>
      </c>
      <c r="G185" s="168" t="s">
        <v>1734</v>
      </c>
      <c r="H185" s="168" t="s">
        <v>585</v>
      </c>
      <c r="I185" s="169">
        <v>111.93</v>
      </c>
      <c r="J185" s="169">
        <v>38496.949999999997</v>
      </c>
      <c r="S185" s="172">
        <f>I185</f>
        <v>111.93</v>
      </c>
      <c r="AH185" s="172"/>
    </row>
    <row r="186" spans="1:34" ht="293.25" x14ac:dyDescent="0.25">
      <c r="B186" s="168" t="s">
        <v>1733</v>
      </c>
      <c r="C186" s="168" t="s">
        <v>644</v>
      </c>
      <c r="D186" s="168" t="s">
        <v>1735</v>
      </c>
      <c r="E186" s="168" t="s">
        <v>574</v>
      </c>
      <c r="F186" s="168" t="s">
        <v>1602</v>
      </c>
      <c r="G186" s="168" t="s">
        <v>1736</v>
      </c>
      <c r="H186" s="168" t="s">
        <v>648</v>
      </c>
      <c r="I186" s="169">
        <v>801.81</v>
      </c>
      <c r="J186" s="169">
        <v>39298.76</v>
      </c>
      <c r="T186" s="172">
        <f>I186</f>
        <v>801.81</v>
      </c>
    </row>
    <row r="187" spans="1:34" ht="23.25" x14ac:dyDescent="0.25">
      <c r="B187" s="168" t="s">
        <v>1004</v>
      </c>
      <c r="C187" s="168" t="s">
        <v>573</v>
      </c>
      <c r="D187" s="168"/>
      <c r="E187" s="168" t="s">
        <v>574</v>
      </c>
      <c r="F187" s="168" t="s">
        <v>1593</v>
      </c>
      <c r="G187" s="168" t="s">
        <v>1737</v>
      </c>
      <c r="H187" s="168" t="s">
        <v>585</v>
      </c>
      <c r="I187" s="169">
        <v>87.99</v>
      </c>
      <c r="J187" s="169">
        <v>39386.75</v>
      </c>
      <c r="U187" s="172">
        <f>I187</f>
        <v>87.99</v>
      </c>
    </row>
    <row r="188" spans="1:34" ht="23.25" x14ac:dyDescent="0.25">
      <c r="B188" s="168" t="s">
        <v>1004</v>
      </c>
      <c r="C188" s="168" t="s">
        <v>573</v>
      </c>
      <c r="D188" s="168"/>
      <c r="E188" s="168" t="s">
        <v>574</v>
      </c>
      <c r="F188" s="168" t="s">
        <v>1640</v>
      </c>
      <c r="G188" s="168" t="s">
        <v>1738</v>
      </c>
      <c r="H188" s="168" t="s">
        <v>585</v>
      </c>
      <c r="I188" s="169">
        <v>99</v>
      </c>
      <c r="J188" s="169">
        <v>39485.75</v>
      </c>
      <c r="AE188" s="172">
        <f>I188</f>
        <v>99</v>
      </c>
      <c r="AH188" s="172"/>
    </row>
    <row r="189" spans="1:34" ht="23.25" x14ac:dyDescent="0.25">
      <c r="B189" s="168" t="s">
        <v>700</v>
      </c>
      <c r="C189" s="168" t="s">
        <v>644</v>
      </c>
      <c r="D189" s="168">
        <v>18721</v>
      </c>
      <c r="E189" s="168" t="s">
        <v>574</v>
      </c>
      <c r="F189" s="168" t="s">
        <v>1678</v>
      </c>
      <c r="G189" s="168" t="s">
        <v>1739</v>
      </c>
      <c r="H189" s="168" t="s">
        <v>648</v>
      </c>
      <c r="I189" s="169">
        <v>1000</v>
      </c>
      <c r="J189" s="169">
        <v>40485.75</v>
      </c>
      <c r="X189" s="172">
        <f>I189</f>
        <v>1000</v>
      </c>
      <c r="Y189" s="172"/>
      <c r="Z189" s="172"/>
      <c r="AA189" s="172"/>
      <c r="AB189" s="172"/>
      <c r="AC189" s="172"/>
      <c r="AD189" s="172"/>
      <c r="AE189" s="172"/>
      <c r="AF189" s="172"/>
      <c r="AG189" s="172"/>
    </row>
    <row r="190" spans="1:34" ht="214.5" x14ac:dyDescent="0.25">
      <c r="B190" s="168" t="s">
        <v>700</v>
      </c>
      <c r="C190" s="168" t="s">
        <v>644</v>
      </c>
      <c r="D190" s="168">
        <v>1455827</v>
      </c>
      <c r="E190" s="168" t="s">
        <v>574</v>
      </c>
      <c r="F190" s="168" t="s">
        <v>1708</v>
      </c>
      <c r="G190" s="168" t="s">
        <v>1740</v>
      </c>
      <c r="H190" s="168" t="s">
        <v>648</v>
      </c>
      <c r="I190" s="169">
        <v>497</v>
      </c>
      <c r="J190" s="169">
        <v>40982.75</v>
      </c>
      <c r="AG190" s="172">
        <f>I190</f>
        <v>497</v>
      </c>
      <c r="AH190" s="172"/>
    </row>
    <row r="191" spans="1:34" x14ac:dyDescent="0.25">
      <c r="A191" s="167" t="s">
        <v>1741</v>
      </c>
      <c r="I191" s="171">
        <v>40982.75</v>
      </c>
    </row>
    <row r="192" spans="1:34" x14ac:dyDescent="0.25">
      <c r="A192" s="167" t="s">
        <v>1571</v>
      </c>
      <c r="I192" s="171">
        <v>40982.75</v>
      </c>
    </row>
    <row r="193" spans="1:35" x14ac:dyDescent="0.25">
      <c r="A193" s="167" t="s">
        <v>1103</v>
      </c>
      <c r="I193" s="171">
        <v>40982.75</v>
      </c>
      <c r="K193" s="172">
        <f>SUM(K8:K190)</f>
        <v>1597.7499999999998</v>
      </c>
      <c r="L193" s="172">
        <f t="shared" ref="L193:AH193" si="0">SUM(L8:L190)</f>
        <v>418.15</v>
      </c>
      <c r="M193" s="172">
        <f t="shared" si="0"/>
        <v>6319.83</v>
      </c>
      <c r="N193" s="172">
        <f t="shared" si="0"/>
        <v>160</v>
      </c>
      <c r="O193" s="172">
        <f t="shared" si="0"/>
        <v>893.21000000000026</v>
      </c>
      <c r="P193" s="172">
        <f t="shared" si="0"/>
        <v>1876.1499999999999</v>
      </c>
      <c r="Q193" s="172">
        <f t="shared" si="0"/>
        <v>4254.09</v>
      </c>
      <c r="R193" s="172">
        <f t="shared" si="0"/>
        <v>925.1999999999997</v>
      </c>
      <c r="S193" s="172">
        <f t="shared" si="0"/>
        <v>1119.3000000000004</v>
      </c>
      <c r="T193" s="172">
        <f t="shared" si="0"/>
        <v>9685.7199999999993</v>
      </c>
      <c r="U193" s="172">
        <f t="shared" si="0"/>
        <v>907.93</v>
      </c>
      <c r="V193" s="172">
        <f t="shared" si="0"/>
        <v>157.94999999999999</v>
      </c>
      <c r="W193" s="172">
        <f t="shared" si="0"/>
        <v>2000</v>
      </c>
      <c r="X193" s="172">
        <f t="shared" si="0"/>
        <v>5000</v>
      </c>
      <c r="Y193" s="172">
        <f t="shared" si="0"/>
        <v>191.43</v>
      </c>
      <c r="Z193" s="172">
        <f t="shared" si="0"/>
        <v>148</v>
      </c>
      <c r="AA193" s="172">
        <f t="shared" si="0"/>
        <v>75</v>
      </c>
      <c r="AB193" s="172">
        <f t="shared" si="0"/>
        <v>266.5</v>
      </c>
      <c r="AC193" s="172">
        <f t="shared" si="0"/>
        <v>160</v>
      </c>
      <c r="AD193" s="172">
        <f t="shared" si="0"/>
        <v>48</v>
      </c>
      <c r="AE193" s="172">
        <f t="shared" si="0"/>
        <v>623.94999999999993</v>
      </c>
      <c r="AF193" s="172">
        <f t="shared" si="0"/>
        <v>271.24</v>
      </c>
      <c r="AG193" s="172">
        <f t="shared" si="0"/>
        <v>1859.5</v>
      </c>
      <c r="AH193" s="172">
        <f t="shared" si="0"/>
        <v>2023.85</v>
      </c>
    </row>
    <row r="195" spans="1:35" x14ac:dyDescent="0.25">
      <c r="I195" t="s">
        <v>1779</v>
      </c>
      <c r="K195" s="172">
        <f>K193/12</f>
        <v>133.14583333333331</v>
      </c>
      <c r="L195" s="172">
        <f t="shared" ref="L195:AH195" si="1">L193/12</f>
        <v>34.845833333333331</v>
      </c>
      <c r="M195" s="172">
        <v>75</v>
      </c>
      <c r="N195" s="172">
        <f t="shared" si="1"/>
        <v>13.333333333333334</v>
      </c>
      <c r="O195" s="172">
        <f t="shared" si="1"/>
        <v>74.434166666666684</v>
      </c>
      <c r="P195" s="172">
        <f t="shared" si="1"/>
        <v>156.34583333333333</v>
      </c>
      <c r="Q195" s="172">
        <f t="shared" si="1"/>
        <v>354.50749999999999</v>
      </c>
      <c r="R195" s="172">
        <f t="shared" si="1"/>
        <v>77.09999999999998</v>
      </c>
      <c r="S195" s="172">
        <f t="shared" si="1"/>
        <v>93.275000000000034</v>
      </c>
      <c r="T195" s="172">
        <v>0</v>
      </c>
      <c r="U195" s="172">
        <f t="shared" si="1"/>
        <v>75.660833333333329</v>
      </c>
      <c r="V195" s="172">
        <f t="shared" si="1"/>
        <v>13.1625</v>
      </c>
      <c r="W195" s="172">
        <v>0</v>
      </c>
      <c r="X195" s="172">
        <v>0</v>
      </c>
      <c r="Y195" s="172">
        <f t="shared" si="1"/>
        <v>15.952500000000001</v>
      </c>
      <c r="Z195" s="172">
        <f t="shared" si="1"/>
        <v>12.333333333333334</v>
      </c>
      <c r="AA195" s="172">
        <v>0</v>
      </c>
      <c r="AB195" s="172">
        <f t="shared" si="1"/>
        <v>22.208333333333332</v>
      </c>
      <c r="AC195" s="172">
        <f t="shared" si="1"/>
        <v>13.333333333333334</v>
      </c>
      <c r="AD195" s="172">
        <v>0</v>
      </c>
      <c r="AE195" s="172">
        <f t="shared" si="1"/>
        <v>51.99583333333333</v>
      </c>
      <c r="AF195" s="172">
        <v>0</v>
      </c>
      <c r="AG195" s="172">
        <v>500</v>
      </c>
      <c r="AH195" s="172">
        <f t="shared" si="1"/>
        <v>168.65416666666667</v>
      </c>
      <c r="AI195" s="172">
        <f>SUM(K195:AH195)</f>
        <v>1885.2883333333332</v>
      </c>
    </row>
    <row r="196" spans="1:35" x14ac:dyDescent="0.25">
      <c r="A196" s="266" t="s">
        <v>1742</v>
      </c>
      <c r="B196" s="264"/>
      <c r="C196" s="264"/>
      <c r="D196" s="264"/>
      <c r="E196" s="264"/>
      <c r="F196" s="264"/>
      <c r="G196" s="264"/>
      <c r="H196" s="264"/>
      <c r="I196" s="264"/>
      <c r="J196" s="264"/>
      <c r="M196" t="s">
        <v>1890</v>
      </c>
    </row>
  </sheetData>
  <mergeCells count="4">
    <mergeCell ref="A1:J1"/>
    <mergeCell ref="A2:J2"/>
    <mergeCell ref="A3:J3"/>
    <mergeCell ref="A196:J19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54EE-AE58-45CE-A040-3AE8C86145EE}">
  <sheetPr>
    <pageSetUpPr fitToPage="1"/>
  </sheetPr>
  <dimension ref="A1:O98"/>
  <sheetViews>
    <sheetView zoomScale="135" zoomScaleNormal="135" workbookViewId="0">
      <pane xSplit="2" ySplit="4" topLeftCell="C74"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30" customWidth="1"/>
    <col min="3" max="3" width="1.42578125" style="112" customWidth="1"/>
    <col min="4" max="7" width="8.7109375" style="108" customWidth="1"/>
    <col min="8" max="9" width="8.7109375" style="219" customWidth="1"/>
    <col min="10" max="10" width="8.7109375" style="104" customWidth="1"/>
    <col min="11" max="14" width="10" style="104" customWidth="1"/>
    <col min="15" max="15" width="30.85546875" style="108" customWidth="1"/>
  </cols>
  <sheetData>
    <row r="1" spans="1:15" s="45" customFormat="1" x14ac:dyDescent="0.25">
      <c r="A1" s="45" t="s">
        <v>146</v>
      </c>
      <c r="C1" s="110"/>
      <c r="D1" s="139"/>
      <c r="E1" s="139"/>
      <c r="F1" s="139"/>
      <c r="G1" s="139"/>
      <c r="H1" s="221"/>
      <c r="I1" s="221"/>
      <c r="J1" s="207"/>
      <c r="K1" s="207"/>
      <c r="L1" s="207"/>
      <c r="M1" s="207"/>
      <c r="N1" s="207"/>
      <c r="O1" s="139"/>
    </row>
    <row r="2" spans="1:15" s="45" customFormat="1" x14ac:dyDescent="0.25">
      <c r="A2" s="45" t="s">
        <v>492</v>
      </c>
      <c r="C2" s="110"/>
      <c r="D2" s="139"/>
      <c r="E2" s="139"/>
      <c r="F2" s="139"/>
      <c r="G2" s="139"/>
      <c r="H2" s="221"/>
      <c r="I2" s="221"/>
      <c r="J2" s="207"/>
      <c r="K2" s="207"/>
      <c r="L2" s="207"/>
      <c r="M2" s="207"/>
      <c r="N2" s="207"/>
      <c r="O2" s="139"/>
    </row>
    <row r="3" spans="1:15" s="45" customFormat="1" hidden="1" x14ac:dyDescent="0.25">
      <c r="C3" s="110"/>
      <c r="D3" s="257"/>
      <c r="E3" s="257"/>
      <c r="F3" s="257"/>
      <c r="G3" s="257"/>
      <c r="H3" s="257"/>
      <c r="I3" s="257"/>
      <c r="J3" s="257"/>
      <c r="K3" s="257"/>
      <c r="L3" s="257"/>
      <c r="M3" s="257"/>
      <c r="N3" s="257"/>
      <c r="O3" s="257"/>
    </row>
    <row r="4" spans="1:15" s="68" customFormat="1" ht="30" customHeight="1" x14ac:dyDescent="0.25">
      <c r="C4" s="111"/>
      <c r="D4" s="206">
        <v>45362</v>
      </c>
      <c r="E4" s="206">
        <v>45369</v>
      </c>
      <c r="F4" s="206">
        <v>45376</v>
      </c>
      <c r="G4" s="206">
        <v>45383</v>
      </c>
      <c r="H4" s="222">
        <v>45390</v>
      </c>
      <c r="I4" s="222">
        <v>45397</v>
      </c>
      <c r="J4" s="206">
        <v>45404</v>
      </c>
      <c r="K4" s="206">
        <v>45411</v>
      </c>
      <c r="L4" s="208">
        <v>45418</v>
      </c>
      <c r="M4" s="208">
        <v>45425</v>
      </c>
      <c r="N4" s="208">
        <v>45432</v>
      </c>
      <c r="O4" s="186" t="s">
        <v>1821</v>
      </c>
    </row>
    <row r="5" spans="1:15" s="45" customFormat="1" x14ac:dyDescent="0.25">
      <c r="A5" s="45" t="s">
        <v>1806</v>
      </c>
      <c r="C5" s="110"/>
      <c r="D5" s="126">
        <v>-2446</v>
      </c>
      <c r="E5" s="126">
        <f>D97</f>
        <v>8923</v>
      </c>
      <c r="F5" s="126">
        <f>E97</f>
        <v>45221</v>
      </c>
      <c r="G5" s="126">
        <f>F97</f>
        <v>15146</v>
      </c>
      <c r="H5" s="216">
        <f>G97</f>
        <v>27195</v>
      </c>
      <c r="I5" s="216">
        <f t="shared" ref="I5:N5" si="0">H97</f>
        <v>26652</v>
      </c>
      <c r="J5" s="126">
        <f t="shared" si="0"/>
        <v>11208</v>
      </c>
      <c r="K5" s="126">
        <f t="shared" si="0"/>
        <v>9520</v>
      </c>
      <c r="L5" s="126">
        <f t="shared" si="0"/>
        <v>15568</v>
      </c>
      <c r="M5" s="173">
        <f t="shared" si="0"/>
        <v>-14379.96</v>
      </c>
      <c r="N5" s="173">
        <f t="shared" si="0"/>
        <v>-19035.96</v>
      </c>
      <c r="O5" s="212" t="s">
        <v>1860</v>
      </c>
    </row>
    <row r="6" spans="1:15" x14ac:dyDescent="0.25">
      <c r="A6" s="45" t="s">
        <v>1807</v>
      </c>
      <c r="C6" s="113"/>
      <c r="D6" s="121"/>
      <c r="E6" s="121"/>
      <c r="F6" s="121"/>
      <c r="G6" s="121"/>
      <c r="H6" s="217"/>
      <c r="I6" s="217"/>
      <c r="J6" s="178"/>
      <c r="K6" s="121"/>
      <c r="L6" s="178"/>
      <c r="M6" s="178"/>
      <c r="N6" s="178"/>
      <c r="O6" s="213"/>
    </row>
    <row r="7" spans="1:15" x14ac:dyDescent="0.25">
      <c r="B7" t="s">
        <v>1808</v>
      </c>
      <c r="C7" s="113"/>
      <c r="D7" s="121"/>
      <c r="E7" s="121">
        <v>5971</v>
      </c>
      <c r="F7" s="121">
        <v>1333</v>
      </c>
      <c r="G7" s="121">
        <v>733</v>
      </c>
      <c r="H7" s="217">
        <v>7348</v>
      </c>
      <c r="I7" s="217"/>
      <c r="J7" s="178"/>
      <c r="K7" s="121"/>
      <c r="L7" s="178"/>
      <c r="M7" s="178"/>
      <c r="N7" s="178"/>
      <c r="O7" s="213"/>
    </row>
    <row r="8" spans="1:15" x14ac:dyDescent="0.25">
      <c r="B8" t="s">
        <v>1883</v>
      </c>
      <c r="C8" s="113"/>
      <c r="D8" s="121"/>
      <c r="E8" s="121"/>
      <c r="F8" s="121"/>
      <c r="G8" s="121"/>
      <c r="H8" s="217"/>
      <c r="I8" s="217"/>
      <c r="J8" s="121">
        <v>3800</v>
      </c>
      <c r="K8" s="121"/>
      <c r="L8" s="178"/>
      <c r="M8" s="178"/>
      <c r="N8" s="178"/>
      <c r="O8" s="213"/>
    </row>
    <row r="9" spans="1:15" x14ac:dyDescent="0.25">
      <c r="B9" t="s">
        <v>262</v>
      </c>
      <c r="C9" s="113"/>
      <c r="D9" s="121">
        <v>15952</v>
      </c>
      <c r="E9" s="121">
        <v>886</v>
      </c>
      <c r="F9" s="121"/>
      <c r="G9" s="121">
        <v>10634</v>
      </c>
      <c r="H9" s="217">
        <v>15065</v>
      </c>
      <c r="I9" s="217"/>
      <c r="J9" s="178"/>
      <c r="K9" s="121">
        <v>15952</v>
      </c>
      <c r="L9" s="178"/>
      <c r="M9" s="178"/>
      <c r="N9" s="178"/>
      <c r="O9" s="213"/>
    </row>
    <row r="10" spans="1:15" x14ac:dyDescent="0.25">
      <c r="B10" t="s">
        <v>1822</v>
      </c>
      <c r="C10" s="113"/>
      <c r="D10" s="121"/>
      <c r="E10" s="121"/>
      <c r="F10" s="121"/>
      <c r="G10" s="121">
        <v>-877</v>
      </c>
      <c r="H10" s="217"/>
      <c r="I10" s="217"/>
      <c r="J10" s="178"/>
      <c r="K10" s="121"/>
      <c r="L10" s="178"/>
      <c r="M10" s="178"/>
      <c r="N10" s="178"/>
      <c r="O10" s="213"/>
    </row>
    <row r="11" spans="1:15" x14ac:dyDescent="0.25">
      <c r="B11" t="s">
        <v>1845</v>
      </c>
      <c r="C11" s="113"/>
      <c r="D11" s="121">
        <v>3994</v>
      </c>
      <c r="E11" s="121">
        <v>519</v>
      </c>
      <c r="F11" s="121"/>
      <c r="G11" s="121">
        <v>1243</v>
      </c>
      <c r="H11" s="217">
        <v>683</v>
      </c>
      <c r="I11" s="217">
        <v>100</v>
      </c>
      <c r="J11" s="178"/>
      <c r="K11" s="121"/>
      <c r="L11" s="121">
        <v>5556</v>
      </c>
      <c r="M11" s="178"/>
      <c r="N11" s="178"/>
      <c r="O11" s="213"/>
    </row>
    <row r="12" spans="1:15" x14ac:dyDescent="0.25">
      <c r="B12" t="s">
        <v>537</v>
      </c>
      <c r="C12" s="113"/>
      <c r="D12" s="121">
        <v>997</v>
      </c>
      <c r="E12" s="121">
        <v>744</v>
      </c>
      <c r="F12" s="121">
        <v>324</v>
      </c>
      <c r="G12" s="121">
        <v>606</v>
      </c>
      <c r="H12" s="217">
        <v>419</v>
      </c>
      <c r="I12" s="217">
        <v>64</v>
      </c>
      <c r="J12" s="121">
        <v>556</v>
      </c>
      <c r="K12" s="121">
        <v>782</v>
      </c>
      <c r="L12" s="121">
        <v>220</v>
      </c>
      <c r="M12" s="178"/>
      <c r="N12" s="178"/>
      <c r="O12" s="213"/>
    </row>
    <row r="13" spans="1:15" x14ac:dyDescent="0.25">
      <c r="B13" t="s">
        <v>154</v>
      </c>
      <c r="C13" s="113"/>
      <c r="D13" s="122">
        <v>12264</v>
      </c>
      <c r="E13" s="122">
        <v>4035</v>
      </c>
      <c r="F13" s="122">
        <v>2265</v>
      </c>
      <c r="G13" s="122">
        <v>13366</v>
      </c>
      <c r="H13" s="218">
        <v>2567</v>
      </c>
      <c r="I13" s="218">
        <v>2139</v>
      </c>
      <c r="J13" s="122">
        <v>1846</v>
      </c>
      <c r="K13" s="122">
        <v>882</v>
      </c>
      <c r="L13" s="122">
        <v>3275</v>
      </c>
      <c r="M13" s="201"/>
      <c r="N13" s="201"/>
      <c r="O13" s="213"/>
    </row>
    <row r="14" spans="1:15" hidden="1" x14ac:dyDescent="0.25">
      <c r="B14" t="s">
        <v>186</v>
      </c>
      <c r="K14" s="108"/>
      <c r="L14" s="108"/>
      <c r="O14" s="213"/>
    </row>
    <row r="15" spans="1:15" hidden="1" x14ac:dyDescent="0.25">
      <c r="B15" t="s">
        <v>192</v>
      </c>
      <c r="K15" s="108"/>
      <c r="L15" s="108"/>
      <c r="O15" s="213"/>
    </row>
    <row r="16" spans="1:15" hidden="1" x14ac:dyDescent="0.25">
      <c r="B16" t="s">
        <v>154</v>
      </c>
      <c r="K16" s="108"/>
      <c r="L16" s="108"/>
      <c r="O16" s="213"/>
    </row>
    <row r="17" spans="1:15" s="45" customFormat="1" x14ac:dyDescent="0.25">
      <c r="B17" s="45" t="s">
        <v>1839</v>
      </c>
      <c r="C17" s="117"/>
      <c r="D17" s="126">
        <f>SUM(D7:D13)</f>
        <v>33207</v>
      </c>
      <c r="E17" s="126">
        <f>SUM(E7:E13)</f>
        <v>12155</v>
      </c>
      <c r="F17" s="126">
        <f>SUM(F7:F13)</f>
        <v>3922</v>
      </c>
      <c r="G17" s="126">
        <f>SUM(G7:G13)</f>
        <v>25705</v>
      </c>
      <c r="H17" s="216">
        <f t="shared" ref="H17:K17" si="1">SUM(H7:H13)</f>
        <v>26082</v>
      </c>
      <c r="I17" s="216">
        <f t="shared" si="1"/>
        <v>2303</v>
      </c>
      <c r="J17" s="216">
        <f t="shared" si="1"/>
        <v>6202</v>
      </c>
      <c r="K17" s="126">
        <f t="shared" si="1"/>
        <v>17616</v>
      </c>
      <c r="L17" s="126">
        <f t="shared" ref="L17:M17" si="2">SUM(L7:L13)</f>
        <v>9051</v>
      </c>
      <c r="M17" s="173">
        <f t="shared" si="2"/>
        <v>0</v>
      </c>
      <c r="N17" s="173">
        <f t="shared" ref="N17" si="3">SUM(N7:N13)</f>
        <v>0</v>
      </c>
      <c r="O17" s="214"/>
    </row>
    <row r="18" spans="1:15" s="45" customFormat="1" x14ac:dyDescent="0.25">
      <c r="A18" s="45" t="s">
        <v>1836</v>
      </c>
      <c r="B18"/>
      <c r="C18" s="117"/>
      <c r="D18" s="124"/>
      <c r="E18" s="124"/>
      <c r="F18" s="124"/>
      <c r="G18" s="124"/>
      <c r="H18" s="223"/>
      <c r="I18" s="223"/>
      <c r="J18" s="209"/>
      <c r="K18" s="209"/>
      <c r="L18" s="209"/>
      <c r="M18" s="209"/>
      <c r="N18" s="209"/>
      <c r="O18" s="215"/>
    </row>
    <row r="19" spans="1:15" x14ac:dyDescent="0.25">
      <c r="A19" t="s">
        <v>1832</v>
      </c>
      <c r="O19" s="213"/>
    </row>
    <row r="20" spans="1:15" x14ac:dyDescent="0.25">
      <c r="B20" t="s">
        <v>1809</v>
      </c>
      <c r="C20" s="113"/>
      <c r="D20" s="121"/>
      <c r="E20" s="121"/>
      <c r="F20" s="121"/>
      <c r="G20" s="121"/>
      <c r="H20" s="217"/>
      <c r="I20" s="217"/>
      <c r="J20" s="178"/>
      <c r="K20" s="178"/>
      <c r="L20" s="178"/>
      <c r="M20" s="178"/>
      <c r="N20" s="178"/>
      <c r="O20" s="213"/>
    </row>
    <row r="21" spans="1:15" x14ac:dyDescent="0.25">
      <c r="B21" t="s">
        <v>1846</v>
      </c>
      <c r="C21" s="113"/>
      <c r="D21" s="121"/>
      <c r="E21" s="121"/>
      <c r="F21" s="121">
        <v>4371</v>
      </c>
      <c r="G21" s="121"/>
      <c r="H21" s="217">
        <v>7420</v>
      </c>
      <c r="I21" s="217">
        <v>5700</v>
      </c>
      <c r="J21" s="178"/>
      <c r="K21" s="178"/>
      <c r="L21" s="178"/>
      <c r="M21" s="178"/>
      <c r="N21" s="178"/>
      <c r="O21" s="213"/>
    </row>
    <row r="22" spans="1:15" x14ac:dyDescent="0.25">
      <c r="B22" t="s">
        <v>1810</v>
      </c>
      <c r="C22" s="113"/>
      <c r="D22" s="121">
        <f>670</f>
        <v>670</v>
      </c>
      <c r="E22" s="121">
        <v>199</v>
      </c>
      <c r="F22" s="121">
        <v>119</v>
      </c>
      <c r="G22" s="121">
        <f>915+92</f>
        <v>1007</v>
      </c>
      <c r="H22" s="217"/>
      <c r="I22" s="217"/>
      <c r="J22" s="178"/>
      <c r="K22" s="178"/>
      <c r="L22" s="178"/>
      <c r="M22" s="178"/>
      <c r="N22" s="178"/>
      <c r="O22" s="213"/>
    </row>
    <row r="23" spans="1:15" x14ac:dyDescent="0.25">
      <c r="B23" t="s">
        <v>154</v>
      </c>
      <c r="C23" s="113"/>
      <c r="D23" s="121"/>
      <c r="E23" s="121">
        <v>1262</v>
      </c>
      <c r="F23" s="121">
        <f>3800</f>
        <v>3800</v>
      </c>
      <c r="G23" s="121">
        <v>1661</v>
      </c>
      <c r="H23" s="217"/>
      <c r="I23" s="217"/>
      <c r="J23" s="178"/>
      <c r="K23" s="178"/>
      <c r="L23" s="178"/>
      <c r="M23" s="178"/>
      <c r="N23" s="178"/>
      <c r="O23" s="213"/>
    </row>
    <row r="24" spans="1:15" x14ac:dyDescent="0.25">
      <c r="C24" s="113"/>
      <c r="D24" s="121"/>
      <c r="E24" s="121"/>
      <c r="F24" s="121"/>
      <c r="G24" s="121"/>
      <c r="H24" s="217"/>
      <c r="I24" s="217"/>
      <c r="J24" s="178"/>
      <c r="K24" s="178"/>
      <c r="L24" s="178"/>
      <c r="M24" s="178"/>
      <c r="N24" s="178"/>
      <c r="O24" s="213"/>
    </row>
    <row r="25" spans="1:15" x14ac:dyDescent="0.25">
      <c r="A25" t="s">
        <v>1833</v>
      </c>
      <c r="C25" s="113"/>
      <c r="D25" s="121">
        <f>9290+2000</f>
        <v>11290</v>
      </c>
      <c r="E25" s="121">
        <f>2407+1735</f>
        <v>4142</v>
      </c>
      <c r="F25" s="121">
        <f>7694+683</f>
        <v>8377</v>
      </c>
      <c r="G25" s="121">
        <v>167</v>
      </c>
      <c r="H25" s="217">
        <v>167</v>
      </c>
      <c r="I25" s="217">
        <v>211</v>
      </c>
      <c r="J25" s="178"/>
      <c r="K25" s="121">
        <v>175</v>
      </c>
      <c r="L25" s="178"/>
      <c r="M25" s="178"/>
      <c r="N25" s="178"/>
      <c r="O25" s="213"/>
    </row>
    <row r="26" spans="1:15" x14ac:dyDescent="0.25">
      <c r="B26" t="s">
        <v>1830</v>
      </c>
      <c r="C26" s="113"/>
      <c r="D26" s="121"/>
      <c r="E26" s="121"/>
      <c r="F26" s="121"/>
      <c r="G26" s="121"/>
      <c r="H26" s="217">
        <v>5942</v>
      </c>
      <c r="I26" s="217"/>
      <c r="J26" s="121">
        <v>3457</v>
      </c>
      <c r="K26" s="178"/>
      <c r="L26" s="178"/>
      <c r="M26" s="178"/>
      <c r="N26" s="178"/>
      <c r="O26" s="213"/>
    </row>
    <row r="27" spans="1:15" x14ac:dyDescent="0.25">
      <c r="B27" t="s">
        <v>1866</v>
      </c>
      <c r="C27" s="113"/>
      <c r="D27" s="121"/>
      <c r="E27" s="121"/>
      <c r="F27" s="121"/>
      <c r="G27" s="121"/>
      <c r="H27" s="217"/>
      <c r="I27" s="217"/>
      <c r="J27" s="178"/>
      <c r="K27" s="178"/>
      <c r="L27" s="178"/>
      <c r="M27" s="178"/>
      <c r="N27" s="178"/>
      <c r="O27" s="213"/>
    </row>
    <row r="28" spans="1:15" s="39" customFormat="1" x14ac:dyDescent="0.25">
      <c r="B28" s="39" t="s">
        <v>503</v>
      </c>
      <c r="C28" s="160"/>
      <c r="D28" s="121"/>
      <c r="E28" s="121"/>
      <c r="F28" s="121"/>
      <c r="G28" s="121"/>
      <c r="H28" s="220"/>
      <c r="I28" s="220"/>
      <c r="J28" s="176"/>
      <c r="K28" s="157">
        <v>1885</v>
      </c>
      <c r="L28" s="176">
        <v>2287</v>
      </c>
      <c r="M28" s="176"/>
      <c r="N28" s="176"/>
      <c r="O28" s="212" t="s">
        <v>1869</v>
      </c>
    </row>
    <row r="29" spans="1:15" s="39" customFormat="1" x14ac:dyDescent="0.25">
      <c r="B29" s="39" t="s">
        <v>504</v>
      </c>
      <c r="C29" s="160"/>
      <c r="D29" s="121"/>
      <c r="E29" s="121"/>
      <c r="F29" s="121"/>
      <c r="G29" s="121"/>
      <c r="H29" s="220"/>
      <c r="I29" s="220"/>
      <c r="J29" s="176"/>
      <c r="K29" s="176"/>
      <c r="L29" s="176">
        <v>1200</v>
      </c>
      <c r="M29" s="176"/>
      <c r="N29" s="176"/>
      <c r="O29" s="212" t="s">
        <v>1870</v>
      </c>
    </row>
    <row r="30" spans="1:15" s="39" customFormat="1" x14ac:dyDescent="0.25">
      <c r="B30" s="39" t="s">
        <v>505</v>
      </c>
      <c r="C30" s="160"/>
      <c r="D30" s="121"/>
      <c r="E30" s="121"/>
      <c r="F30" s="121"/>
      <c r="G30" s="121"/>
      <c r="H30" s="220"/>
      <c r="I30" s="220"/>
      <c r="J30" s="176"/>
      <c r="K30" s="176"/>
      <c r="L30" s="176">
        <v>2500</v>
      </c>
      <c r="M30" s="176"/>
      <c r="N30" s="176"/>
      <c r="O30" s="212" t="s">
        <v>1871</v>
      </c>
    </row>
    <row r="31" spans="1:15" s="39" customFormat="1" x14ac:dyDescent="0.25">
      <c r="B31" s="39" t="s">
        <v>506</v>
      </c>
      <c r="C31" s="160"/>
      <c r="D31" s="121"/>
      <c r="E31" s="121"/>
      <c r="F31" s="121"/>
      <c r="G31" s="121"/>
      <c r="H31" s="220"/>
      <c r="I31" s="220">
        <v>3500</v>
      </c>
      <c r="J31" s="176"/>
      <c r="K31" s="157">
        <v>1500</v>
      </c>
      <c r="L31" s="176">
        <v>3500</v>
      </c>
      <c r="M31" s="176"/>
      <c r="N31" s="176"/>
      <c r="O31" s="212" t="s">
        <v>1872</v>
      </c>
    </row>
    <row r="32" spans="1:15" x14ac:dyDescent="0.25">
      <c r="B32" t="s">
        <v>1831</v>
      </c>
      <c r="C32" s="113"/>
      <c r="D32" s="121"/>
      <c r="E32" s="121"/>
      <c r="F32" s="121"/>
      <c r="G32" s="121"/>
      <c r="H32" s="217"/>
      <c r="I32" s="217"/>
      <c r="J32" s="178"/>
      <c r="K32" s="178"/>
      <c r="L32" s="178"/>
      <c r="M32" s="178"/>
      <c r="N32" s="178"/>
      <c r="O32" s="213"/>
    </row>
    <row r="33" spans="1:15" s="39" customFormat="1" x14ac:dyDescent="0.25">
      <c r="B33" s="39" t="s">
        <v>507</v>
      </c>
      <c r="C33" s="160"/>
      <c r="D33" s="121"/>
      <c r="E33" s="121"/>
      <c r="F33" s="121"/>
      <c r="G33" s="121"/>
      <c r="H33" s="220">
        <v>1523</v>
      </c>
      <c r="I33" s="220"/>
      <c r="J33" s="176"/>
      <c r="K33" s="157">
        <v>1470</v>
      </c>
      <c r="L33" s="176">
        <v>1430</v>
      </c>
      <c r="M33" s="176"/>
      <c r="N33" s="176"/>
      <c r="O33" s="212" t="s">
        <v>1873</v>
      </c>
    </row>
    <row r="34" spans="1:15" s="39" customFormat="1" x14ac:dyDescent="0.25">
      <c r="B34" s="39" t="s">
        <v>508</v>
      </c>
      <c r="C34" s="160"/>
      <c r="D34" s="121"/>
      <c r="E34" s="121"/>
      <c r="F34" s="121"/>
      <c r="G34" s="121"/>
      <c r="H34" s="220">
        <v>1396</v>
      </c>
      <c r="I34" s="220"/>
      <c r="J34" s="176"/>
      <c r="K34" s="157">
        <v>1450</v>
      </c>
      <c r="L34" s="176">
        <v>1430</v>
      </c>
      <c r="M34" s="176"/>
      <c r="N34" s="176"/>
      <c r="O34" s="212" t="s">
        <v>1873</v>
      </c>
    </row>
    <row r="35" spans="1:15" s="39" customFormat="1" hidden="1" x14ac:dyDescent="0.25">
      <c r="C35" s="160"/>
      <c r="D35" s="121"/>
      <c r="E35" s="121"/>
      <c r="F35" s="121"/>
      <c r="G35" s="121"/>
      <c r="H35" s="220"/>
      <c r="I35" s="220"/>
      <c r="J35" s="176"/>
      <c r="K35" s="176"/>
      <c r="L35" s="176"/>
      <c r="M35" s="176"/>
      <c r="N35" s="176"/>
      <c r="O35" s="212"/>
    </row>
    <row r="36" spans="1:15" s="39" customFormat="1" hidden="1" x14ac:dyDescent="0.25">
      <c r="C36" s="160"/>
      <c r="D36" s="121"/>
      <c r="E36" s="121"/>
      <c r="F36" s="121"/>
      <c r="G36" s="121"/>
      <c r="H36" s="220"/>
      <c r="I36" s="220"/>
      <c r="J36" s="176"/>
      <c r="K36" s="176"/>
      <c r="L36" s="176"/>
      <c r="M36" s="176"/>
      <c r="N36" s="176"/>
      <c r="O36" s="212"/>
    </row>
    <row r="37" spans="1:15" x14ac:dyDescent="0.25">
      <c r="B37" t="s">
        <v>161</v>
      </c>
      <c r="C37" s="113"/>
      <c r="D37" s="121"/>
      <c r="E37" s="121"/>
      <c r="F37" s="121"/>
      <c r="G37" s="121"/>
      <c r="H37" s="217">
        <f>(SUM(H28:H31))*0.08</f>
        <v>0</v>
      </c>
      <c r="I37" s="217"/>
      <c r="J37" s="178"/>
      <c r="K37" s="178"/>
      <c r="L37" s="178">
        <f>(SUM(L28:L31))*0.08</f>
        <v>758.96</v>
      </c>
      <c r="M37" s="178"/>
      <c r="N37" s="178"/>
      <c r="O37" s="212" t="s">
        <v>1874</v>
      </c>
    </row>
    <row r="38" spans="1:15" x14ac:dyDescent="0.25">
      <c r="B38" t="s">
        <v>1825</v>
      </c>
      <c r="C38" s="113"/>
      <c r="D38" s="121"/>
      <c r="E38" s="121"/>
      <c r="F38" s="121">
        <v>1618</v>
      </c>
      <c r="G38" s="121"/>
      <c r="H38" s="217">
        <v>138</v>
      </c>
      <c r="I38" s="217"/>
      <c r="J38" s="178"/>
      <c r="K38" s="121">
        <v>1618</v>
      </c>
      <c r="L38" s="178">
        <v>138</v>
      </c>
      <c r="M38" s="178"/>
      <c r="N38" s="178"/>
      <c r="O38" s="212" t="s">
        <v>1816</v>
      </c>
    </row>
    <row r="39" spans="1:15" x14ac:dyDescent="0.25">
      <c r="C39" s="113"/>
      <c r="D39" s="121"/>
      <c r="E39" s="121"/>
      <c r="F39" s="121"/>
      <c r="G39" s="121"/>
      <c r="H39" s="217"/>
      <c r="I39" s="217"/>
      <c r="J39" s="178"/>
      <c r="K39" s="178"/>
      <c r="L39" s="178"/>
      <c r="M39" s="178"/>
      <c r="N39" s="178"/>
      <c r="O39" s="212"/>
    </row>
    <row r="40" spans="1:15" x14ac:dyDescent="0.25">
      <c r="A40" t="s">
        <v>1834</v>
      </c>
      <c r="C40" s="113"/>
      <c r="D40" s="121"/>
      <c r="E40" s="121"/>
      <c r="F40" s="121"/>
      <c r="G40" s="121"/>
      <c r="H40" s="217"/>
      <c r="I40" s="217"/>
      <c r="J40" s="178"/>
      <c r="K40" s="178"/>
      <c r="L40" s="178"/>
      <c r="M40" s="178"/>
      <c r="N40" s="178"/>
      <c r="O40" s="212"/>
    </row>
    <row r="41" spans="1:15" s="39" customFormat="1" x14ac:dyDescent="0.25">
      <c r="B41" s="39" t="s">
        <v>1811</v>
      </c>
      <c r="C41" s="160"/>
      <c r="D41" s="121"/>
      <c r="E41" s="121"/>
      <c r="F41" s="121"/>
      <c r="G41" s="121"/>
      <c r="H41" s="220"/>
      <c r="I41" s="220"/>
      <c r="J41" s="176"/>
      <c r="K41" s="176"/>
      <c r="L41" s="157">
        <v>69</v>
      </c>
      <c r="M41" s="176"/>
      <c r="N41" s="176"/>
      <c r="O41" s="212"/>
    </row>
    <row r="42" spans="1:15" s="39" customFormat="1" x14ac:dyDescent="0.25">
      <c r="B42" s="39" t="s">
        <v>1795</v>
      </c>
      <c r="C42" s="160"/>
      <c r="D42" s="121">
        <v>345</v>
      </c>
      <c r="E42" s="121">
        <v>34</v>
      </c>
      <c r="F42" s="121">
        <v>136</v>
      </c>
      <c r="G42" s="121">
        <v>127</v>
      </c>
      <c r="H42" s="220"/>
      <c r="I42" s="220"/>
      <c r="J42" s="176"/>
      <c r="K42" s="157">
        <v>83</v>
      </c>
      <c r="L42" s="157">
        <v>126</v>
      </c>
      <c r="M42" s="176"/>
      <c r="N42" s="176"/>
      <c r="O42" s="212"/>
    </row>
    <row r="43" spans="1:15" s="39" customFormat="1" x14ac:dyDescent="0.25">
      <c r="B43" s="39" t="s">
        <v>1817</v>
      </c>
      <c r="C43" s="160"/>
      <c r="D43" s="121"/>
      <c r="E43" s="121"/>
      <c r="F43" s="121"/>
      <c r="G43" s="121"/>
      <c r="H43" s="220"/>
      <c r="I43" s="220"/>
      <c r="J43" s="176"/>
      <c r="K43" s="157">
        <v>205</v>
      </c>
      <c r="L43" s="157">
        <v>37</v>
      </c>
      <c r="M43" s="176"/>
      <c r="N43" s="176"/>
      <c r="O43" s="212"/>
    </row>
    <row r="44" spans="1:15" s="39" customFormat="1" x14ac:dyDescent="0.25">
      <c r="B44" s="39" t="s">
        <v>1818</v>
      </c>
      <c r="C44" s="160"/>
      <c r="D44" s="121"/>
      <c r="E44" s="121"/>
      <c r="F44" s="121"/>
      <c r="G44" s="121"/>
      <c r="H44" s="220"/>
      <c r="I44" s="220"/>
      <c r="J44" s="176"/>
      <c r="K44" s="157">
        <v>295</v>
      </c>
      <c r="L44" s="176"/>
      <c r="M44" s="176"/>
      <c r="N44" s="176"/>
      <c r="O44" s="212"/>
    </row>
    <row r="45" spans="1:15" s="39" customFormat="1" ht="17.25" x14ac:dyDescent="0.25">
      <c r="A45" s="202"/>
      <c r="B45" s="39" t="s">
        <v>1819</v>
      </c>
      <c r="C45" s="160"/>
      <c r="D45" s="121"/>
      <c r="E45" s="121"/>
      <c r="F45" s="121"/>
      <c r="G45" s="121"/>
      <c r="H45" s="220"/>
      <c r="I45" s="220"/>
      <c r="J45" s="176"/>
      <c r="K45" s="176"/>
      <c r="L45" s="176"/>
      <c r="M45" s="176"/>
      <c r="N45" s="176"/>
      <c r="O45" s="212"/>
    </row>
    <row r="46" spans="1:15" s="39" customFormat="1" x14ac:dyDescent="0.25">
      <c r="B46" s="39" t="s">
        <v>1820</v>
      </c>
      <c r="C46" s="160"/>
      <c r="D46" s="121"/>
      <c r="E46" s="121"/>
      <c r="F46" s="121">
        <v>44</v>
      </c>
      <c r="G46" s="121">
        <v>236</v>
      </c>
      <c r="H46" s="220"/>
      <c r="I46" s="220"/>
      <c r="J46" s="176"/>
      <c r="K46" s="176"/>
      <c r="L46" s="176"/>
      <c r="M46" s="176"/>
      <c r="N46" s="176"/>
      <c r="O46" s="212"/>
    </row>
    <row r="47" spans="1:15" s="39" customFormat="1" x14ac:dyDescent="0.25">
      <c r="C47" s="160"/>
      <c r="D47" s="121"/>
      <c r="E47" s="121"/>
      <c r="F47" s="121"/>
      <c r="G47" s="121"/>
      <c r="H47" s="220"/>
      <c r="I47" s="220"/>
      <c r="J47" s="176"/>
      <c r="K47" s="176"/>
      <c r="L47" s="176"/>
      <c r="M47" s="176"/>
      <c r="N47" s="176"/>
      <c r="O47" s="212"/>
    </row>
    <row r="48" spans="1:15" s="39" customFormat="1" x14ac:dyDescent="0.25">
      <c r="A48" t="s">
        <v>1835</v>
      </c>
      <c r="C48" s="160"/>
      <c r="D48" s="121"/>
      <c r="E48" s="121"/>
      <c r="F48" s="121"/>
      <c r="G48" s="121"/>
      <c r="H48" s="220"/>
      <c r="I48" s="220"/>
      <c r="J48" s="176"/>
      <c r="K48" s="176"/>
      <c r="L48" s="176"/>
      <c r="M48" s="176"/>
      <c r="N48" s="176"/>
      <c r="O48" s="212"/>
    </row>
    <row r="49" spans="2:15" x14ac:dyDescent="0.25">
      <c r="B49" t="s">
        <v>165</v>
      </c>
      <c r="C49" s="113"/>
      <c r="D49" s="121"/>
      <c r="E49" s="121"/>
      <c r="F49" s="121">
        <v>9145</v>
      </c>
      <c r="G49" s="121"/>
      <c r="H49" s="217"/>
      <c r="I49" s="217"/>
      <c r="J49" s="178"/>
      <c r="K49" s="178"/>
      <c r="L49" s="178">
        <v>9500</v>
      </c>
      <c r="M49" s="178"/>
      <c r="N49" s="178"/>
      <c r="O49" s="212" t="s">
        <v>1875</v>
      </c>
    </row>
    <row r="50" spans="2:15" x14ac:dyDescent="0.25">
      <c r="B50" s="39" t="s">
        <v>1823</v>
      </c>
      <c r="C50" s="113"/>
      <c r="D50" s="121"/>
      <c r="E50" s="121"/>
      <c r="F50" s="121"/>
      <c r="G50" s="121"/>
      <c r="H50" s="217"/>
      <c r="I50" s="217">
        <v>-4500</v>
      </c>
      <c r="J50" s="178"/>
      <c r="K50" s="121">
        <v>-4500</v>
      </c>
      <c r="L50" s="178"/>
      <c r="M50" s="178"/>
      <c r="N50" s="178"/>
      <c r="O50" s="212"/>
    </row>
    <row r="51" spans="2:15" x14ac:dyDescent="0.25">
      <c r="B51" t="s">
        <v>1436</v>
      </c>
      <c r="C51" s="113"/>
      <c r="D51" s="121"/>
      <c r="E51" s="121"/>
      <c r="F51" s="121">
        <v>498</v>
      </c>
      <c r="G51" s="121"/>
      <c r="H51" s="217"/>
      <c r="I51" s="217"/>
      <c r="J51" s="178"/>
      <c r="K51" s="178"/>
      <c r="L51" s="178"/>
      <c r="M51" s="178"/>
      <c r="N51" s="178"/>
      <c r="O51" s="212"/>
    </row>
    <row r="52" spans="2:15" x14ac:dyDescent="0.25">
      <c r="B52" s="39" t="s">
        <v>1824</v>
      </c>
      <c r="C52" s="113"/>
      <c r="D52" s="121"/>
      <c r="E52" s="121"/>
      <c r="F52" s="121"/>
      <c r="G52" s="121"/>
      <c r="H52" s="217"/>
      <c r="I52" s="217"/>
      <c r="J52" s="178"/>
      <c r="K52" s="178"/>
      <c r="L52" s="178">
        <v>130</v>
      </c>
      <c r="M52" s="178"/>
      <c r="N52" s="178"/>
      <c r="O52" s="212" t="s">
        <v>1876</v>
      </c>
    </row>
    <row r="53" spans="2:15" x14ac:dyDescent="0.25">
      <c r="B53" t="s">
        <v>167</v>
      </c>
      <c r="C53" s="113"/>
      <c r="D53" s="121"/>
      <c r="E53" s="121"/>
      <c r="F53" s="121"/>
      <c r="G53" s="121"/>
      <c r="H53" s="217"/>
      <c r="I53" s="217"/>
      <c r="J53" s="178"/>
      <c r="K53" s="178"/>
      <c r="L53" s="178"/>
      <c r="M53" s="178"/>
      <c r="N53" s="178"/>
      <c r="O53" s="212"/>
    </row>
    <row r="54" spans="2:15" x14ac:dyDescent="0.25">
      <c r="B54" t="s">
        <v>168</v>
      </c>
      <c r="C54" s="113"/>
      <c r="D54" s="121"/>
      <c r="E54" s="121">
        <v>790</v>
      </c>
      <c r="F54" s="121"/>
      <c r="G54" s="121">
        <v>460</v>
      </c>
      <c r="H54" s="217">
        <v>570</v>
      </c>
      <c r="I54" s="217"/>
      <c r="J54" s="121">
        <v>11</v>
      </c>
      <c r="K54" s="178"/>
      <c r="L54" s="121">
        <v>706</v>
      </c>
      <c r="M54" s="178"/>
      <c r="N54" s="178"/>
      <c r="O54" s="212" t="s">
        <v>1847</v>
      </c>
    </row>
    <row r="55" spans="2:15" x14ac:dyDescent="0.25">
      <c r="B55" t="s">
        <v>262</v>
      </c>
      <c r="C55" s="113"/>
      <c r="D55" s="121">
        <v>2998</v>
      </c>
      <c r="E55" s="121"/>
      <c r="F55" s="121"/>
      <c r="G55" s="121">
        <v>843</v>
      </c>
      <c r="H55" s="217"/>
      <c r="I55" s="217"/>
      <c r="J55" s="178"/>
      <c r="K55" s="178"/>
      <c r="L55" s="178"/>
      <c r="M55" s="178"/>
      <c r="N55" s="178"/>
      <c r="O55" s="212"/>
    </row>
    <row r="56" spans="2:15" x14ac:dyDescent="0.25">
      <c r="B56" t="s">
        <v>1826</v>
      </c>
      <c r="C56" s="113"/>
      <c r="D56" s="121"/>
      <c r="E56" s="121"/>
      <c r="F56" s="121"/>
      <c r="G56" s="121"/>
      <c r="H56" s="217"/>
      <c r="I56" s="217"/>
      <c r="J56" s="178"/>
      <c r="K56" s="178"/>
      <c r="L56" s="178"/>
      <c r="M56" s="178"/>
      <c r="N56" s="178"/>
      <c r="O56" s="212"/>
    </row>
    <row r="57" spans="2:15" x14ac:dyDescent="0.25">
      <c r="B57" s="39" t="s">
        <v>1848</v>
      </c>
      <c r="C57" s="113"/>
      <c r="D57" s="121"/>
      <c r="E57" s="121"/>
      <c r="F57" s="121"/>
      <c r="G57" s="121">
        <v>112</v>
      </c>
      <c r="H57" s="217"/>
      <c r="I57" s="217"/>
      <c r="J57" s="178"/>
      <c r="K57" s="121">
        <v>112</v>
      </c>
      <c r="L57" s="178"/>
      <c r="M57" s="178"/>
      <c r="N57" s="178"/>
      <c r="O57" s="212" t="s">
        <v>1849</v>
      </c>
    </row>
    <row r="58" spans="2:15" x14ac:dyDescent="0.25">
      <c r="B58" s="39" t="s">
        <v>1850</v>
      </c>
      <c r="C58" s="113"/>
      <c r="D58" s="121">
        <v>130</v>
      </c>
      <c r="E58" s="121"/>
      <c r="F58" s="121"/>
      <c r="G58" s="121">
        <v>222</v>
      </c>
      <c r="H58" s="217"/>
      <c r="I58" s="217"/>
      <c r="J58" s="178"/>
      <c r="K58" s="121">
        <v>141</v>
      </c>
      <c r="L58" s="178"/>
      <c r="M58" s="178"/>
      <c r="N58" s="178"/>
      <c r="O58" s="212"/>
    </row>
    <row r="59" spans="2:15" x14ac:dyDescent="0.25">
      <c r="B59" s="39" t="s">
        <v>1842</v>
      </c>
      <c r="C59" s="113"/>
      <c r="D59" s="121"/>
      <c r="E59" s="121"/>
      <c r="F59" s="121"/>
      <c r="G59" s="121"/>
      <c r="H59" s="217">
        <v>983</v>
      </c>
      <c r="I59" s="217"/>
      <c r="J59" s="178"/>
      <c r="K59" s="178"/>
      <c r="L59" s="178"/>
      <c r="M59" s="178"/>
      <c r="N59" s="178"/>
      <c r="O59" s="212" t="s">
        <v>1877</v>
      </c>
    </row>
    <row r="60" spans="2:15" x14ac:dyDescent="0.25">
      <c r="B60" t="s">
        <v>170</v>
      </c>
      <c r="C60" s="113"/>
      <c r="D60" s="121"/>
      <c r="E60" s="121"/>
      <c r="F60" s="121"/>
      <c r="G60" s="121"/>
      <c r="H60" s="217"/>
      <c r="I60" s="217"/>
      <c r="J60" s="178"/>
      <c r="K60" s="178"/>
      <c r="L60" s="178"/>
      <c r="M60" s="178"/>
      <c r="N60" s="178"/>
      <c r="O60" s="212"/>
    </row>
    <row r="61" spans="2:15" x14ac:dyDescent="0.25">
      <c r="B61" s="39" t="s">
        <v>1852</v>
      </c>
      <c r="C61" s="113"/>
      <c r="D61" s="121"/>
      <c r="E61" s="121"/>
      <c r="F61" s="121"/>
      <c r="G61" s="121"/>
      <c r="H61" s="217"/>
      <c r="I61" s="217"/>
      <c r="J61" s="178"/>
      <c r="K61" s="121">
        <v>610</v>
      </c>
      <c r="L61" s="178"/>
      <c r="M61" s="178"/>
      <c r="N61" s="178"/>
      <c r="O61" s="212" t="s">
        <v>1851</v>
      </c>
    </row>
    <row r="62" spans="2:15" x14ac:dyDescent="0.25">
      <c r="B62" s="39" t="s">
        <v>1853</v>
      </c>
      <c r="C62" s="113"/>
      <c r="D62" s="121"/>
      <c r="E62" s="121"/>
      <c r="F62" s="121"/>
      <c r="G62" s="121"/>
      <c r="H62" s="217"/>
      <c r="I62" s="217"/>
      <c r="J62" s="178"/>
      <c r="K62" s="178"/>
      <c r="L62" s="178">
        <v>183</v>
      </c>
      <c r="M62" s="178"/>
      <c r="N62" s="178"/>
      <c r="O62" s="212" t="s">
        <v>1878</v>
      </c>
    </row>
    <row r="63" spans="2:15" x14ac:dyDescent="0.25">
      <c r="B63" s="39" t="s">
        <v>1827</v>
      </c>
      <c r="C63" s="113"/>
      <c r="D63" s="121"/>
      <c r="E63" s="121">
        <v>1933</v>
      </c>
      <c r="F63" s="121"/>
      <c r="G63" s="121">
        <v>610</v>
      </c>
      <c r="H63" s="217">
        <v>511</v>
      </c>
      <c r="I63" s="217"/>
      <c r="J63" s="178"/>
      <c r="K63" s="178"/>
      <c r="L63" s="178">
        <v>600</v>
      </c>
      <c r="M63" s="178"/>
      <c r="N63" s="178"/>
      <c r="O63" s="212"/>
    </row>
    <row r="64" spans="2:15" x14ac:dyDescent="0.25">
      <c r="B64" t="s">
        <v>171</v>
      </c>
      <c r="C64" s="113"/>
      <c r="D64" s="121"/>
      <c r="E64" s="121"/>
      <c r="F64" s="121"/>
      <c r="G64" s="121"/>
      <c r="H64" s="217"/>
      <c r="I64" s="217"/>
      <c r="J64" s="178"/>
      <c r="K64" s="178"/>
      <c r="L64" s="178"/>
      <c r="M64" s="178"/>
      <c r="N64" s="178"/>
      <c r="O64" s="212"/>
    </row>
    <row r="65" spans="1:15" x14ac:dyDescent="0.25">
      <c r="B65" s="39" t="s">
        <v>1843</v>
      </c>
      <c r="C65" s="113"/>
      <c r="D65" s="121"/>
      <c r="E65" s="121"/>
      <c r="F65" s="121">
        <v>1594</v>
      </c>
      <c r="G65" s="121">
        <v>1594</v>
      </c>
      <c r="H65" s="217"/>
      <c r="I65" s="217"/>
      <c r="J65" s="178"/>
      <c r="K65" s="121">
        <v>1594</v>
      </c>
      <c r="L65" s="178"/>
      <c r="M65" s="178"/>
      <c r="N65" s="178"/>
      <c r="O65" s="212"/>
    </row>
    <row r="66" spans="1:15" x14ac:dyDescent="0.25">
      <c r="B66" s="39" t="s">
        <v>1844</v>
      </c>
      <c r="C66" s="113"/>
      <c r="D66" s="121"/>
      <c r="E66" s="121"/>
      <c r="F66" s="121"/>
      <c r="G66" s="121"/>
      <c r="H66" s="217"/>
      <c r="I66" s="217"/>
      <c r="J66" s="178"/>
      <c r="K66" s="178"/>
      <c r="L66" s="178"/>
      <c r="M66" s="178"/>
      <c r="N66" s="178"/>
      <c r="O66" s="212" t="s">
        <v>1879</v>
      </c>
    </row>
    <row r="67" spans="1:15" x14ac:dyDescent="0.25">
      <c r="B67" t="s">
        <v>172</v>
      </c>
      <c r="C67" s="113"/>
      <c r="D67" s="121"/>
      <c r="E67" s="121"/>
      <c r="F67" s="121">
        <f>213+110</f>
        <v>323</v>
      </c>
      <c r="G67" s="121"/>
      <c r="H67" s="217"/>
      <c r="I67" s="217"/>
      <c r="J67" s="178"/>
      <c r="K67" s="178"/>
      <c r="L67" s="178"/>
      <c r="M67" s="178"/>
      <c r="N67" s="178"/>
      <c r="O67" s="212"/>
    </row>
    <row r="68" spans="1:15" x14ac:dyDescent="0.25">
      <c r="B68" t="s">
        <v>173</v>
      </c>
      <c r="C68" s="113"/>
      <c r="D68" s="121"/>
      <c r="E68" s="121"/>
      <c r="F68" s="121"/>
      <c r="G68" s="121"/>
      <c r="H68" s="217"/>
      <c r="I68" s="217"/>
      <c r="J68" s="178"/>
      <c r="K68" s="178"/>
      <c r="L68" s="178"/>
      <c r="M68" s="178"/>
      <c r="N68" s="178"/>
      <c r="O68" s="212"/>
    </row>
    <row r="69" spans="1:15" x14ac:dyDescent="0.25">
      <c r="B69" t="s">
        <v>174</v>
      </c>
      <c r="C69" s="113"/>
      <c r="D69" s="121"/>
      <c r="E69" s="121"/>
      <c r="F69" s="121"/>
      <c r="G69" s="121"/>
      <c r="H69" s="217"/>
      <c r="I69" s="217"/>
      <c r="J69" s="178"/>
      <c r="K69" s="178"/>
      <c r="L69" s="178"/>
      <c r="M69" s="178"/>
      <c r="N69" s="178"/>
      <c r="O69" s="212"/>
    </row>
    <row r="70" spans="1:15" x14ac:dyDescent="0.25">
      <c r="B70" t="s">
        <v>511</v>
      </c>
      <c r="C70" s="113"/>
      <c r="D70" s="121"/>
      <c r="E70" s="121"/>
      <c r="F70" s="121"/>
      <c r="G70" s="121"/>
      <c r="H70" s="217"/>
      <c r="I70" s="217"/>
      <c r="J70" s="178"/>
      <c r="K70" s="178"/>
      <c r="L70" s="178"/>
      <c r="M70" s="178"/>
      <c r="N70" s="178"/>
      <c r="O70" s="212"/>
    </row>
    <row r="71" spans="1:15" x14ac:dyDescent="0.25">
      <c r="B71" s="39" t="s">
        <v>1828</v>
      </c>
      <c r="C71" s="113"/>
      <c r="D71" s="121"/>
      <c r="E71" s="121"/>
      <c r="F71" s="121"/>
      <c r="G71" s="121">
        <v>751</v>
      </c>
      <c r="H71" s="217"/>
      <c r="I71" s="217">
        <v>1</v>
      </c>
      <c r="J71" s="178"/>
      <c r="K71" s="121">
        <v>157</v>
      </c>
      <c r="L71" s="178"/>
      <c r="M71" s="178"/>
      <c r="N71" s="178"/>
      <c r="O71" s="212" t="s">
        <v>1841</v>
      </c>
    </row>
    <row r="72" spans="1:15" x14ac:dyDescent="0.25">
      <c r="B72" s="39" t="s">
        <v>1829</v>
      </c>
      <c r="C72" s="113"/>
      <c r="D72" s="121"/>
      <c r="E72" s="121"/>
      <c r="F72" s="121"/>
      <c r="G72" s="121"/>
      <c r="H72" s="217"/>
      <c r="I72" s="217"/>
      <c r="J72" s="178"/>
      <c r="K72" s="178"/>
      <c r="L72" s="178"/>
      <c r="M72" s="178"/>
      <c r="N72" s="178"/>
      <c r="O72" s="212"/>
    </row>
    <row r="73" spans="1:15" x14ac:dyDescent="0.25">
      <c r="A73" s="207" t="s">
        <v>1805</v>
      </c>
      <c r="B73" t="s">
        <v>176</v>
      </c>
      <c r="C73" s="113"/>
      <c r="D73" s="121">
        <v>105</v>
      </c>
      <c r="E73" s="121">
        <v>38</v>
      </c>
      <c r="F73" s="121">
        <v>10</v>
      </c>
      <c r="G73" s="121">
        <v>31</v>
      </c>
      <c r="H73" s="218">
        <v>693</v>
      </c>
      <c r="I73" s="218">
        <v>3026</v>
      </c>
      <c r="J73" s="201"/>
      <c r="K73" s="122">
        <v>139</v>
      </c>
      <c r="L73" s="122">
        <v>9210</v>
      </c>
      <c r="M73" s="201"/>
      <c r="N73" s="201"/>
      <c r="O73" s="227" t="s">
        <v>1884</v>
      </c>
    </row>
    <row r="74" spans="1:15" s="45" customFormat="1" x14ac:dyDescent="0.25">
      <c r="B74" s="45" t="s">
        <v>1838</v>
      </c>
      <c r="C74" s="117"/>
      <c r="D74" s="127">
        <f>SUM(D20:D73)</f>
        <v>15538</v>
      </c>
      <c r="E74" s="127">
        <f>SUM(E20:E73)</f>
        <v>8398</v>
      </c>
      <c r="F74" s="127">
        <f>SUM(F20:F73)</f>
        <v>30035</v>
      </c>
      <c r="G74" s="127">
        <f>SUM(G20:G73)</f>
        <v>7821</v>
      </c>
      <c r="H74" s="224">
        <f t="shared" ref="H74:K74" si="4">SUM(H20:H73)</f>
        <v>19343</v>
      </c>
      <c r="I74" s="224">
        <f t="shared" si="4"/>
        <v>7938</v>
      </c>
      <c r="J74" s="127">
        <f t="shared" si="4"/>
        <v>3468</v>
      </c>
      <c r="K74" s="127">
        <f t="shared" si="4"/>
        <v>6934</v>
      </c>
      <c r="L74" s="210">
        <f t="shared" ref="L74:M74" si="5">SUM(L20:L73)</f>
        <v>33804.959999999999</v>
      </c>
      <c r="M74" s="210">
        <f t="shared" si="5"/>
        <v>0</v>
      </c>
      <c r="N74" s="210">
        <f t="shared" ref="N74" si="6">SUM(N20:N73)</f>
        <v>0</v>
      </c>
      <c r="O74" s="212"/>
    </row>
    <row r="75" spans="1:15" x14ac:dyDescent="0.25">
      <c r="A75" s="45" t="s">
        <v>512</v>
      </c>
      <c r="C75" s="113"/>
      <c r="O75" s="212"/>
    </row>
    <row r="76" spans="1:15" x14ac:dyDescent="0.25">
      <c r="A76" s="45"/>
      <c r="B76" t="s">
        <v>1800</v>
      </c>
      <c r="C76" s="113"/>
      <c r="D76" s="121"/>
      <c r="E76" s="121"/>
      <c r="F76" s="121"/>
      <c r="G76" s="121"/>
      <c r="H76" s="217"/>
      <c r="I76" s="217"/>
      <c r="J76" s="178"/>
      <c r="K76" s="178"/>
      <c r="L76" s="178"/>
      <c r="M76" s="178"/>
      <c r="N76" s="178"/>
      <c r="O76" s="212"/>
    </row>
    <row r="77" spans="1:15" x14ac:dyDescent="0.25">
      <c r="A77" s="45"/>
      <c r="B77" t="s">
        <v>1812</v>
      </c>
      <c r="C77" s="113"/>
      <c r="D77" s="121"/>
      <c r="E77" s="121"/>
      <c r="F77" s="121"/>
      <c r="G77" s="121"/>
      <c r="H77" s="217"/>
      <c r="I77" s="217"/>
      <c r="J77" s="178"/>
      <c r="K77" s="178"/>
      <c r="L77" s="178"/>
      <c r="M77" s="178"/>
      <c r="N77" s="178"/>
      <c r="O77" s="212" t="s">
        <v>1878</v>
      </c>
    </row>
    <row r="78" spans="1:15" x14ac:dyDescent="0.25">
      <c r="A78" s="45"/>
      <c r="B78" s="104" t="s">
        <v>1882</v>
      </c>
      <c r="C78" s="113"/>
      <c r="D78" s="121"/>
      <c r="E78" s="121"/>
      <c r="F78" s="121"/>
      <c r="G78" s="121"/>
      <c r="H78" s="217">
        <v>1700</v>
      </c>
      <c r="I78" s="217"/>
      <c r="J78" s="178"/>
      <c r="K78" s="178"/>
      <c r="L78" s="178"/>
      <c r="M78" s="178"/>
      <c r="N78" s="178"/>
      <c r="O78" s="212"/>
    </row>
    <row r="79" spans="1:15" x14ac:dyDescent="0.25">
      <c r="A79" s="45"/>
      <c r="B79" t="s">
        <v>1813</v>
      </c>
      <c r="C79" s="113"/>
      <c r="D79" s="121">
        <v>500</v>
      </c>
      <c r="E79" s="121">
        <v>4200</v>
      </c>
      <c r="F79" s="121">
        <v>600</v>
      </c>
      <c r="G79" s="121">
        <v>1200</v>
      </c>
      <c r="H79" s="217">
        <v>800</v>
      </c>
      <c r="I79" s="217">
        <v>900</v>
      </c>
      <c r="J79" s="121">
        <v>1000</v>
      </c>
      <c r="K79" s="121">
        <v>285</v>
      </c>
      <c r="L79" s="121">
        <v>150</v>
      </c>
      <c r="M79" s="178"/>
      <c r="N79" s="178"/>
      <c r="O79" s="212" t="s">
        <v>1805</v>
      </c>
    </row>
    <row r="80" spans="1:15" x14ac:dyDescent="0.25">
      <c r="A80" s="45"/>
      <c r="B80" t="s">
        <v>1814</v>
      </c>
      <c r="C80" s="113"/>
      <c r="D80" s="121"/>
      <c r="E80" s="121"/>
      <c r="F80" s="121"/>
      <c r="G80" s="121"/>
      <c r="H80" s="217"/>
      <c r="I80" s="217"/>
      <c r="J80" s="178"/>
      <c r="K80" s="178"/>
      <c r="L80" s="178"/>
      <c r="M80" s="178"/>
      <c r="N80" s="178"/>
      <c r="O80" s="212"/>
    </row>
    <row r="81" spans="1:15" x14ac:dyDescent="0.25">
      <c r="A81" s="45"/>
      <c r="B81" t="s">
        <v>1815</v>
      </c>
      <c r="C81" s="113"/>
      <c r="D81" s="121"/>
      <c r="E81" s="121">
        <v>691</v>
      </c>
      <c r="F81" s="121"/>
      <c r="G81" s="121"/>
      <c r="H81" s="217"/>
      <c r="I81" s="217"/>
      <c r="J81" s="178"/>
      <c r="K81" s="178"/>
      <c r="L81" s="178"/>
      <c r="M81" s="178"/>
      <c r="N81" s="178"/>
      <c r="O81" s="212"/>
    </row>
    <row r="82" spans="1:15" x14ac:dyDescent="0.25">
      <c r="A82" s="45"/>
      <c r="B82" t="s">
        <v>1861</v>
      </c>
      <c r="C82" s="113"/>
      <c r="D82" s="121">
        <f>1033+99</f>
        <v>1132</v>
      </c>
      <c r="E82" s="121"/>
      <c r="F82" s="121"/>
      <c r="G82" s="121"/>
      <c r="H82" s="217">
        <v>975</v>
      </c>
      <c r="I82" s="217"/>
      <c r="J82" s="121">
        <v>40</v>
      </c>
      <c r="K82" s="178"/>
      <c r="L82" s="178"/>
      <c r="M82" s="178"/>
      <c r="N82" s="178"/>
      <c r="O82" s="212" t="s">
        <v>1805</v>
      </c>
    </row>
    <row r="83" spans="1:15" x14ac:dyDescent="0.25">
      <c r="A83" s="207"/>
      <c r="B83" t="s">
        <v>1867</v>
      </c>
      <c r="C83" s="113"/>
      <c r="D83" s="121">
        <v>909</v>
      </c>
      <c r="E83" s="121"/>
      <c r="F83" s="121"/>
      <c r="G83" s="121"/>
      <c r="H83" s="217"/>
      <c r="I83" s="217"/>
      <c r="J83" s="178"/>
      <c r="K83" s="178"/>
      <c r="L83" s="178"/>
      <c r="M83" s="178"/>
      <c r="N83" s="178"/>
      <c r="O83" s="212" t="s">
        <v>1805</v>
      </c>
    </row>
    <row r="84" spans="1:15" x14ac:dyDescent="0.25">
      <c r="A84" s="45"/>
      <c r="B84" t="s">
        <v>484</v>
      </c>
      <c r="C84" s="113"/>
      <c r="D84" s="121"/>
      <c r="E84" s="121"/>
      <c r="F84" s="121"/>
      <c r="G84" s="121"/>
      <c r="H84" s="217"/>
      <c r="I84" s="217"/>
      <c r="J84" s="178"/>
      <c r="K84" s="178"/>
      <c r="L84" s="178"/>
      <c r="M84" s="178"/>
      <c r="N84" s="178"/>
      <c r="O84" s="212"/>
    </row>
    <row r="85" spans="1:15" x14ac:dyDescent="0.25">
      <c r="A85" s="45"/>
      <c r="B85" t="s">
        <v>1868</v>
      </c>
      <c r="C85" s="113"/>
      <c r="D85" s="121"/>
      <c r="E85" s="121"/>
      <c r="F85" s="121">
        <v>1512</v>
      </c>
      <c r="G85" s="121">
        <v>1890</v>
      </c>
      <c r="H85" s="217">
        <v>1890</v>
      </c>
      <c r="I85" s="217">
        <v>2268</v>
      </c>
      <c r="J85" s="121">
        <v>1512</v>
      </c>
      <c r="K85" s="121">
        <v>1890</v>
      </c>
      <c r="L85" s="121">
        <v>1890</v>
      </c>
      <c r="M85" s="178">
        <v>1890</v>
      </c>
      <c r="N85" s="178">
        <v>1890</v>
      </c>
      <c r="O85" s="212"/>
    </row>
    <row r="86" spans="1:15" x14ac:dyDescent="0.25">
      <c r="A86" s="45"/>
      <c r="B86" t="s">
        <v>483</v>
      </c>
      <c r="C86" s="113"/>
      <c r="D86" s="121">
        <v>1181</v>
      </c>
      <c r="E86" s="121">
        <v>1181</v>
      </c>
      <c r="F86" s="121">
        <v>1181</v>
      </c>
      <c r="G86" s="121">
        <v>1181</v>
      </c>
      <c r="H86" s="217">
        <v>1181</v>
      </c>
      <c r="I86" s="217">
        <v>1181</v>
      </c>
      <c r="J86" s="121">
        <v>1181</v>
      </c>
      <c r="K86" s="121">
        <v>1181</v>
      </c>
      <c r="L86" s="121">
        <v>1181</v>
      </c>
      <c r="M86" s="178">
        <v>1181</v>
      </c>
      <c r="N86" s="178">
        <v>1181</v>
      </c>
      <c r="O86" s="212"/>
    </row>
    <row r="87" spans="1:15" x14ac:dyDescent="0.25">
      <c r="A87" s="45"/>
      <c r="B87" t="s">
        <v>1802</v>
      </c>
      <c r="C87" s="113"/>
      <c r="D87" s="121"/>
      <c r="E87" s="121"/>
      <c r="F87" s="121"/>
      <c r="G87" s="121"/>
      <c r="H87" s="217"/>
      <c r="I87" s="217"/>
      <c r="J87" s="121"/>
      <c r="K87" s="178"/>
      <c r="L87" s="178"/>
      <c r="M87" s="178"/>
      <c r="N87" s="178"/>
      <c r="O87" s="212"/>
    </row>
    <row r="88" spans="1:15" x14ac:dyDescent="0.25">
      <c r="A88" s="45"/>
      <c r="B88" t="s">
        <v>1745</v>
      </c>
      <c r="C88" s="113"/>
      <c r="D88" s="121">
        <v>585</v>
      </c>
      <c r="E88" s="121">
        <v>585</v>
      </c>
      <c r="F88" s="121">
        <v>585</v>
      </c>
      <c r="G88" s="121">
        <v>585</v>
      </c>
      <c r="H88" s="217">
        <v>585</v>
      </c>
      <c r="I88" s="217">
        <v>585</v>
      </c>
      <c r="J88" s="121">
        <v>585</v>
      </c>
      <c r="K88" s="121">
        <v>585</v>
      </c>
      <c r="L88" s="121">
        <v>585</v>
      </c>
      <c r="M88" s="178">
        <v>585</v>
      </c>
      <c r="N88" s="178">
        <v>585</v>
      </c>
      <c r="O88" s="212"/>
    </row>
    <row r="89" spans="1:15" x14ac:dyDescent="0.25">
      <c r="A89" s="45"/>
      <c r="B89" t="s">
        <v>514</v>
      </c>
      <c r="C89" s="113"/>
      <c r="D89" s="121"/>
      <c r="E89" s="121"/>
      <c r="F89" s="121"/>
      <c r="G89" s="121"/>
      <c r="H89" s="217"/>
      <c r="I89" s="217">
        <v>3813</v>
      </c>
      <c r="J89" s="178"/>
      <c r="K89" s="178"/>
      <c r="L89" s="178"/>
      <c r="M89" s="178"/>
      <c r="N89" s="178"/>
      <c r="O89" s="212"/>
    </row>
    <row r="90" spans="1:15" x14ac:dyDescent="0.25">
      <c r="A90" s="45"/>
      <c r="B90" t="s">
        <v>515</v>
      </c>
      <c r="C90" s="113"/>
      <c r="D90" s="121"/>
      <c r="E90" s="121">
        <v>1551</v>
      </c>
      <c r="F90" s="121"/>
      <c r="G90" s="121">
        <v>893</v>
      </c>
      <c r="H90" s="217"/>
      <c r="I90" s="217">
        <v>961</v>
      </c>
      <c r="J90" s="178"/>
      <c r="K90" s="121">
        <v>565</v>
      </c>
      <c r="L90" s="178"/>
      <c r="M90" s="178">
        <v>900</v>
      </c>
      <c r="N90" s="178">
        <v>900</v>
      </c>
      <c r="O90" s="212" t="s">
        <v>1805</v>
      </c>
    </row>
    <row r="91" spans="1:15" x14ac:dyDescent="0.25">
      <c r="A91" s="45"/>
      <c r="B91" t="s">
        <v>485</v>
      </c>
      <c r="C91" s="113"/>
      <c r="D91" s="121">
        <v>110</v>
      </c>
      <c r="E91" s="121">
        <v>201</v>
      </c>
      <c r="F91" s="121">
        <v>84</v>
      </c>
      <c r="G91" s="121">
        <v>86</v>
      </c>
      <c r="H91" s="217">
        <v>151</v>
      </c>
      <c r="I91" s="217">
        <v>101</v>
      </c>
      <c r="J91" s="121">
        <v>104</v>
      </c>
      <c r="K91" s="121">
        <v>128</v>
      </c>
      <c r="L91" s="121">
        <v>99</v>
      </c>
      <c r="M91" s="178">
        <v>100</v>
      </c>
      <c r="N91" s="178">
        <v>100</v>
      </c>
      <c r="O91" s="212" t="s">
        <v>1805</v>
      </c>
    </row>
    <row r="92" spans="1:15" x14ac:dyDescent="0.25">
      <c r="A92" s="45"/>
      <c r="B92" t="s">
        <v>250</v>
      </c>
      <c r="C92" s="113"/>
      <c r="D92" s="122">
        <v>1883</v>
      </c>
      <c r="E92" s="122"/>
      <c r="F92" s="122"/>
      <c r="G92" s="122"/>
      <c r="H92" s="218"/>
      <c r="I92" s="218"/>
      <c r="J92" s="201"/>
      <c r="K92" s="201"/>
      <c r="L92" s="122">
        <v>1289</v>
      </c>
      <c r="M92" s="201"/>
      <c r="N92" s="201"/>
      <c r="O92" s="212" t="s">
        <v>1805</v>
      </c>
    </row>
    <row r="93" spans="1:15" x14ac:dyDescent="0.25">
      <c r="B93" s="45" t="s">
        <v>1837</v>
      </c>
      <c r="C93" s="113"/>
      <c r="D93" s="122">
        <f>SUM(D77:D92)</f>
        <v>6300</v>
      </c>
      <c r="E93" s="122">
        <f>SUM(E77:E92)</f>
        <v>8409</v>
      </c>
      <c r="F93" s="122">
        <f>SUM(F77:F92)</f>
        <v>3962</v>
      </c>
      <c r="G93" s="122">
        <f>SUM(G77:G92)</f>
        <v>5835</v>
      </c>
      <c r="H93" s="218">
        <f t="shared" ref="H93:K93" si="7">SUM(H76:H92)</f>
        <v>7282</v>
      </c>
      <c r="I93" s="218">
        <f t="shared" si="7"/>
        <v>9809</v>
      </c>
      <c r="J93" s="122">
        <f t="shared" si="7"/>
        <v>4422</v>
      </c>
      <c r="K93" s="122">
        <f t="shared" si="7"/>
        <v>4634</v>
      </c>
      <c r="L93" s="122">
        <f t="shared" ref="L93:M93" si="8">SUM(L76:L92)</f>
        <v>5194</v>
      </c>
      <c r="M93" s="201">
        <f t="shared" si="8"/>
        <v>4656</v>
      </c>
      <c r="N93" s="201">
        <f t="shared" ref="N93" si="9">SUM(N76:N92)</f>
        <v>4656</v>
      </c>
      <c r="O93" s="212"/>
    </row>
    <row r="94" spans="1:15" x14ac:dyDescent="0.25">
      <c r="B94" s="45"/>
      <c r="C94" s="113"/>
      <c r="D94" s="121"/>
      <c r="E94" s="121"/>
      <c r="F94" s="121"/>
      <c r="G94" s="121"/>
      <c r="H94" s="217"/>
      <c r="I94" s="217"/>
      <c r="J94" s="121"/>
      <c r="K94" s="178"/>
      <c r="L94" s="178"/>
      <c r="M94" s="178"/>
      <c r="N94" s="178"/>
      <c r="O94" s="212"/>
    </row>
    <row r="95" spans="1:15" s="45" customFormat="1" x14ac:dyDescent="0.25">
      <c r="A95" s="45" t="s">
        <v>518</v>
      </c>
      <c r="C95" s="117"/>
      <c r="D95" s="124">
        <f t="shared" ref="D95:E95" si="10">D17-D74-D93</f>
        <v>11369</v>
      </c>
      <c r="E95" s="124">
        <f t="shared" si="10"/>
        <v>-4652</v>
      </c>
      <c r="F95" s="124">
        <f t="shared" ref="F95:K95" si="11">F17-F74-F93</f>
        <v>-30075</v>
      </c>
      <c r="G95" s="124">
        <f t="shared" ref="G95" si="12">G17-G74-G93</f>
        <v>12049</v>
      </c>
      <c r="H95" s="223">
        <f t="shared" si="11"/>
        <v>-543</v>
      </c>
      <c r="I95" s="223">
        <f t="shared" si="11"/>
        <v>-15444</v>
      </c>
      <c r="J95" s="124">
        <f t="shared" si="11"/>
        <v>-1688</v>
      </c>
      <c r="K95" s="124">
        <f t="shared" si="11"/>
        <v>6048</v>
      </c>
      <c r="L95" s="209">
        <f t="shared" ref="L95:M95" si="13">L17-L74-L93</f>
        <v>-29947.96</v>
      </c>
      <c r="M95" s="209">
        <f t="shared" si="13"/>
        <v>-4656</v>
      </c>
      <c r="N95" s="209">
        <f t="shared" ref="N95" si="14">N17-N74-N93</f>
        <v>-4656</v>
      </c>
      <c r="O95" s="212"/>
    </row>
    <row r="96" spans="1:15" s="45" customFormat="1" x14ac:dyDescent="0.25">
      <c r="A96" s="45" t="s">
        <v>1840</v>
      </c>
      <c r="C96" s="117"/>
      <c r="D96" s="126"/>
      <c r="E96" s="126">
        <v>40950</v>
      </c>
      <c r="F96" s="126"/>
      <c r="G96" s="126"/>
      <c r="H96" s="216"/>
      <c r="I96" s="216"/>
      <c r="J96" s="126"/>
      <c r="K96" s="126"/>
      <c r="L96" s="173"/>
      <c r="M96" s="173"/>
      <c r="N96" s="173"/>
      <c r="O96" s="212"/>
    </row>
    <row r="97" spans="1:15" ht="15.75" thickBot="1" x14ac:dyDescent="0.3">
      <c r="A97" s="45" t="s">
        <v>1864</v>
      </c>
      <c r="D97" s="130">
        <f t="shared" ref="D97:K97" si="15">D5+D95+D96</f>
        <v>8923</v>
      </c>
      <c r="E97" s="130">
        <f t="shared" si="15"/>
        <v>45221</v>
      </c>
      <c r="F97" s="130">
        <f t="shared" si="15"/>
        <v>15146</v>
      </c>
      <c r="G97" s="130">
        <f t="shared" si="15"/>
        <v>27195</v>
      </c>
      <c r="H97" s="225">
        <f t="shared" si="15"/>
        <v>26652</v>
      </c>
      <c r="I97" s="225">
        <f t="shared" si="15"/>
        <v>11208</v>
      </c>
      <c r="J97" s="130">
        <f t="shared" si="15"/>
        <v>9520</v>
      </c>
      <c r="K97" s="130">
        <f t="shared" si="15"/>
        <v>15568</v>
      </c>
      <c r="L97" s="211">
        <f t="shared" ref="L97:M97" si="16">L5+L95+L96</f>
        <v>-14379.96</v>
      </c>
      <c r="M97" s="211">
        <f t="shared" si="16"/>
        <v>-19035.96</v>
      </c>
      <c r="N97" s="211">
        <f t="shared" ref="N97" si="17">N5+N95+N96</f>
        <v>-23691.96</v>
      </c>
      <c r="O97" s="212"/>
    </row>
    <row r="98" spans="1:15" ht="15.75" thickTop="1" x14ac:dyDescent="0.25">
      <c r="D98" s="121"/>
      <c r="E98" s="121"/>
      <c r="F98" s="121"/>
      <c r="G98" s="121"/>
      <c r="O98" s="187"/>
    </row>
  </sheetData>
  <mergeCells count="1">
    <mergeCell ref="D3:O3"/>
  </mergeCells>
  <pageMargins left="0.7" right="0.7" top="0.75" bottom="0.75" header="0.3" footer="0.3"/>
  <pageSetup scale="73"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DA00-1E55-4E75-A8BF-5611852CCD43}">
  <dimension ref="A1:M148"/>
  <sheetViews>
    <sheetView topLeftCell="B106" workbookViewId="0">
      <selection activeCell="M120" sqref="M120"/>
    </sheetView>
  </sheetViews>
  <sheetFormatPr defaultColWidth="12.85546875" defaultRowHeight="15.75" outlineLevelRow="3" x14ac:dyDescent="0.25"/>
  <cols>
    <col min="1" max="1" width="31.42578125" style="237" customWidth="1"/>
    <col min="2" max="2" width="25" style="237" customWidth="1"/>
    <col min="3" max="3" width="13.28515625" style="237" customWidth="1"/>
    <col min="4" max="4" width="13.5703125" style="237" customWidth="1"/>
    <col min="5" max="5" width="8.7109375" style="237" customWidth="1"/>
    <col min="6" max="6" width="30.7109375" style="237" customWidth="1"/>
    <col min="7" max="7" width="60.7109375" style="237" customWidth="1"/>
    <col min="8" max="8" width="29" style="237" customWidth="1"/>
    <col min="9" max="9" width="30.140625" style="237" customWidth="1"/>
    <col min="10" max="10" width="17" style="237" customWidth="1"/>
    <col min="11" max="11" width="12" style="237" customWidth="1"/>
    <col min="12" max="16384" width="12.85546875" style="237"/>
  </cols>
  <sheetData>
    <row r="1" spans="1:11" ht="18" x14ac:dyDescent="0.25">
      <c r="A1" s="267" t="s">
        <v>146</v>
      </c>
      <c r="B1" s="268"/>
      <c r="C1" s="268"/>
      <c r="D1" s="268"/>
      <c r="E1" s="268"/>
      <c r="F1" s="268"/>
      <c r="G1" s="268"/>
      <c r="H1" s="268"/>
      <c r="I1" s="268"/>
      <c r="J1" s="268"/>
    </row>
    <row r="2" spans="1:11" ht="18" x14ac:dyDescent="0.25">
      <c r="A2" s="267" t="s">
        <v>548</v>
      </c>
      <c r="B2" s="268"/>
      <c r="C2" s="268"/>
      <c r="D2" s="268"/>
      <c r="E2" s="268"/>
      <c r="F2" s="268"/>
      <c r="G2" s="268"/>
      <c r="H2" s="268"/>
      <c r="I2" s="268"/>
      <c r="J2" s="268"/>
    </row>
    <row r="3" spans="1:11" x14ac:dyDescent="0.25">
      <c r="A3" s="269" t="s">
        <v>1894</v>
      </c>
      <c r="B3" s="268"/>
      <c r="C3" s="268"/>
      <c r="D3" s="268"/>
      <c r="E3" s="268"/>
      <c r="F3" s="268"/>
      <c r="G3" s="268"/>
      <c r="H3" s="268"/>
      <c r="I3" s="268"/>
      <c r="J3" s="268"/>
    </row>
    <row r="5" spans="1:11" x14ac:dyDescent="0.25">
      <c r="B5" s="238" t="s">
        <v>556</v>
      </c>
      <c r="C5" s="238" t="s">
        <v>550</v>
      </c>
      <c r="D5" s="238" t="s">
        <v>1895</v>
      </c>
      <c r="E5" s="238" t="s">
        <v>552</v>
      </c>
      <c r="F5" s="238" t="s">
        <v>554</v>
      </c>
      <c r="G5" s="238" t="s">
        <v>555</v>
      </c>
      <c r="H5" s="238" t="s">
        <v>1896</v>
      </c>
      <c r="I5" s="238" t="s">
        <v>556</v>
      </c>
      <c r="J5" s="238" t="s">
        <v>558</v>
      </c>
      <c r="K5" s="238" t="s">
        <v>559</v>
      </c>
    </row>
    <row r="6" spans="1:11" x14ac:dyDescent="0.25">
      <c r="A6" s="239" t="s">
        <v>1897</v>
      </c>
    </row>
    <row r="7" spans="1:11" outlineLevel="1" x14ac:dyDescent="0.25">
      <c r="A7" s="240" t="s">
        <v>1898</v>
      </c>
    </row>
    <row r="8" spans="1:11" outlineLevel="2" x14ac:dyDescent="0.25">
      <c r="A8" s="241" t="s">
        <v>1899</v>
      </c>
    </row>
    <row r="9" spans="1:11" outlineLevel="3" x14ac:dyDescent="0.25">
      <c r="B9" s="242" t="s">
        <v>1899</v>
      </c>
      <c r="C9" s="242" t="s">
        <v>1900</v>
      </c>
      <c r="D9" s="242" t="s">
        <v>573</v>
      </c>
      <c r="E9" s="242" t="s">
        <v>1901</v>
      </c>
      <c r="F9" s="242" t="s">
        <v>1901</v>
      </c>
      <c r="G9" s="242" t="s">
        <v>1442</v>
      </c>
      <c r="H9" s="242" t="s">
        <v>1902</v>
      </c>
      <c r="I9" s="242" t="s">
        <v>577</v>
      </c>
      <c r="J9" s="243">
        <v>199</v>
      </c>
      <c r="K9" s="243">
        <v>199</v>
      </c>
    </row>
    <row r="10" spans="1:11" outlineLevel="3" x14ac:dyDescent="0.25">
      <c r="B10" s="242" t="s">
        <v>1899</v>
      </c>
      <c r="C10" s="242" t="s">
        <v>1903</v>
      </c>
      <c r="D10" s="242" t="s">
        <v>573</v>
      </c>
      <c r="E10" s="242" t="s">
        <v>1901</v>
      </c>
      <c r="F10" s="242" t="s">
        <v>952</v>
      </c>
      <c r="G10" s="242" t="s">
        <v>1444</v>
      </c>
      <c r="H10" s="242" t="s">
        <v>1902</v>
      </c>
      <c r="I10" s="242" t="s">
        <v>585</v>
      </c>
      <c r="J10" s="243">
        <v>911</v>
      </c>
      <c r="K10" s="243">
        <v>1110</v>
      </c>
    </row>
    <row r="11" spans="1:11" outlineLevel="3" x14ac:dyDescent="0.25">
      <c r="B11" s="242" t="s">
        <v>1899</v>
      </c>
      <c r="C11" s="242" t="s">
        <v>1904</v>
      </c>
      <c r="D11" s="242" t="s">
        <v>573</v>
      </c>
      <c r="E11" s="242" t="s">
        <v>1901</v>
      </c>
      <c r="F11" s="242" t="s">
        <v>1901</v>
      </c>
      <c r="G11" s="242" t="s">
        <v>1905</v>
      </c>
      <c r="H11" s="242" t="s">
        <v>1902</v>
      </c>
      <c r="I11" s="242" t="s">
        <v>585</v>
      </c>
      <c r="J11" s="243">
        <v>20.46</v>
      </c>
      <c r="K11" s="243">
        <v>1130.46</v>
      </c>
    </row>
    <row r="12" spans="1:11" outlineLevel="3" x14ac:dyDescent="0.25">
      <c r="B12" s="242" t="s">
        <v>1899</v>
      </c>
      <c r="C12" s="242" t="s">
        <v>1906</v>
      </c>
      <c r="D12" s="242" t="s">
        <v>573</v>
      </c>
      <c r="E12" s="242" t="s">
        <v>1901</v>
      </c>
      <c r="F12" s="242" t="s">
        <v>952</v>
      </c>
      <c r="G12" s="242" t="s">
        <v>1448</v>
      </c>
      <c r="H12" s="242" t="s">
        <v>1902</v>
      </c>
      <c r="I12" s="242" t="s">
        <v>585</v>
      </c>
      <c r="J12" s="243">
        <v>95</v>
      </c>
      <c r="K12" s="243">
        <v>1225.46</v>
      </c>
    </row>
    <row r="13" spans="1:11" outlineLevel="3" x14ac:dyDescent="0.25">
      <c r="B13" s="242" t="s">
        <v>1899</v>
      </c>
      <c r="C13" s="242" t="s">
        <v>1906</v>
      </c>
      <c r="D13" s="242" t="s">
        <v>573</v>
      </c>
      <c r="E13" s="242" t="s">
        <v>1901</v>
      </c>
      <c r="F13" s="242" t="s">
        <v>1907</v>
      </c>
      <c r="G13" s="242" t="s">
        <v>1908</v>
      </c>
      <c r="H13" s="242" t="s">
        <v>1902</v>
      </c>
      <c r="I13" s="242" t="s">
        <v>585</v>
      </c>
      <c r="J13" s="243">
        <v>14.99</v>
      </c>
      <c r="K13" s="243">
        <v>1240.45</v>
      </c>
    </row>
    <row r="14" spans="1:11" outlineLevel="3" x14ac:dyDescent="0.25">
      <c r="B14" s="242" t="s">
        <v>1899</v>
      </c>
      <c r="C14" s="242" t="s">
        <v>1909</v>
      </c>
      <c r="D14" s="242" t="s">
        <v>573</v>
      </c>
      <c r="E14" s="242" t="s">
        <v>1901</v>
      </c>
      <c r="F14" s="242" t="s">
        <v>277</v>
      </c>
      <c r="G14" s="242" t="s">
        <v>1910</v>
      </c>
      <c r="H14" s="242" t="s">
        <v>1902</v>
      </c>
      <c r="I14" s="242" t="s">
        <v>585</v>
      </c>
      <c r="J14" s="243">
        <v>8</v>
      </c>
      <c r="K14" s="243">
        <v>1248.45</v>
      </c>
    </row>
    <row r="15" spans="1:11" outlineLevel="3" x14ac:dyDescent="0.25">
      <c r="B15" s="242" t="s">
        <v>1899</v>
      </c>
      <c r="C15" s="242" t="s">
        <v>1911</v>
      </c>
      <c r="D15" s="242" t="s">
        <v>573</v>
      </c>
      <c r="E15" s="242" t="s">
        <v>1901</v>
      </c>
      <c r="F15" s="242" t="s">
        <v>1901</v>
      </c>
      <c r="G15" s="242" t="s">
        <v>1912</v>
      </c>
      <c r="H15" s="242" t="s">
        <v>1902</v>
      </c>
      <c r="I15" s="242" t="s">
        <v>585</v>
      </c>
      <c r="J15" s="243">
        <v>10</v>
      </c>
      <c r="K15" s="243">
        <v>1258.45</v>
      </c>
    </row>
    <row r="16" spans="1:11" outlineLevel="3" x14ac:dyDescent="0.25">
      <c r="B16" s="242" t="s">
        <v>1899</v>
      </c>
      <c r="C16" s="242" t="s">
        <v>1913</v>
      </c>
      <c r="D16" s="242" t="s">
        <v>573</v>
      </c>
      <c r="E16" s="242" t="s">
        <v>1901</v>
      </c>
      <c r="F16" s="242" t="s">
        <v>952</v>
      </c>
      <c r="G16" s="242" t="s">
        <v>1451</v>
      </c>
      <c r="H16" s="242" t="s">
        <v>1902</v>
      </c>
      <c r="I16" s="242" t="s">
        <v>585</v>
      </c>
      <c r="J16" s="243">
        <v>1251</v>
      </c>
      <c r="K16" s="243">
        <v>2509.4499999999998</v>
      </c>
    </row>
    <row r="17" spans="1:11" outlineLevel="3" x14ac:dyDescent="0.25">
      <c r="B17" s="242" t="s">
        <v>1899</v>
      </c>
      <c r="C17" s="242" t="s">
        <v>1913</v>
      </c>
      <c r="D17" s="242" t="s">
        <v>573</v>
      </c>
      <c r="E17" s="242" t="s">
        <v>1901</v>
      </c>
      <c r="F17" s="242" t="s">
        <v>1907</v>
      </c>
      <c r="G17" s="242" t="s">
        <v>1914</v>
      </c>
      <c r="H17" s="242" t="s">
        <v>1902</v>
      </c>
      <c r="I17" s="242" t="s">
        <v>585</v>
      </c>
      <c r="J17" s="243">
        <v>14.99</v>
      </c>
      <c r="K17" s="243">
        <v>2524.44</v>
      </c>
    </row>
    <row r="18" spans="1:11" outlineLevel="3" x14ac:dyDescent="0.25">
      <c r="B18" s="242" t="s">
        <v>1899</v>
      </c>
      <c r="C18" s="242" t="s">
        <v>1915</v>
      </c>
      <c r="D18" s="242" t="s">
        <v>573</v>
      </c>
      <c r="E18" s="242" t="s">
        <v>1901</v>
      </c>
      <c r="F18" s="242" t="s">
        <v>1901</v>
      </c>
      <c r="G18" s="242" t="s">
        <v>1442</v>
      </c>
      <c r="H18" s="242" t="s">
        <v>1902</v>
      </c>
      <c r="I18" s="242" t="s">
        <v>581</v>
      </c>
      <c r="J18" s="243">
        <v>95</v>
      </c>
      <c r="K18" s="243">
        <v>2619.44</v>
      </c>
    </row>
    <row r="19" spans="1:11" outlineLevel="3" x14ac:dyDescent="0.25">
      <c r="B19" s="242" t="s">
        <v>1899</v>
      </c>
      <c r="C19" s="242" t="s">
        <v>1916</v>
      </c>
      <c r="D19" s="242" t="s">
        <v>573</v>
      </c>
      <c r="E19" s="242" t="s">
        <v>1901</v>
      </c>
      <c r="F19" s="242" t="s">
        <v>952</v>
      </c>
      <c r="G19" s="242" t="s">
        <v>1455</v>
      </c>
      <c r="H19" s="242" t="s">
        <v>1902</v>
      </c>
      <c r="I19" s="242" t="s">
        <v>585</v>
      </c>
      <c r="J19" s="243">
        <v>741</v>
      </c>
      <c r="K19" s="243">
        <v>3360.44</v>
      </c>
    </row>
    <row r="20" spans="1:11" outlineLevel="3" x14ac:dyDescent="0.25">
      <c r="B20" s="242" t="s">
        <v>1899</v>
      </c>
      <c r="C20" s="242" t="s">
        <v>1917</v>
      </c>
      <c r="D20" s="242" t="s">
        <v>573</v>
      </c>
      <c r="E20" s="242" t="s">
        <v>1901</v>
      </c>
      <c r="F20" s="242" t="s">
        <v>1901</v>
      </c>
      <c r="G20" s="242" t="s">
        <v>1918</v>
      </c>
      <c r="H20" s="242" t="s">
        <v>1902</v>
      </c>
      <c r="I20" s="242" t="s">
        <v>585</v>
      </c>
      <c r="J20" s="243">
        <v>9.65</v>
      </c>
      <c r="K20" s="243">
        <v>3370.09</v>
      </c>
    </row>
    <row r="21" spans="1:11" outlineLevel="3" x14ac:dyDescent="0.25">
      <c r="B21" s="242" t="s">
        <v>1899</v>
      </c>
      <c r="C21" s="242" t="s">
        <v>1919</v>
      </c>
      <c r="D21" s="242" t="s">
        <v>573</v>
      </c>
      <c r="E21" s="242" t="s">
        <v>1901</v>
      </c>
      <c r="F21" s="242" t="s">
        <v>952</v>
      </c>
      <c r="G21" s="242" t="s">
        <v>1920</v>
      </c>
      <c r="H21" s="242" t="s">
        <v>1902</v>
      </c>
      <c r="I21" s="242" t="s">
        <v>577</v>
      </c>
      <c r="J21" s="243">
        <v>39</v>
      </c>
      <c r="K21" s="243">
        <v>3409.09</v>
      </c>
    </row>
    <row r="22" spans="1:11" outlineLevel="3" x14ac:dyDescent="0.25">
      <c r="B22" s="242" t="s">
        <v>1899</v>
      </c>
      <c r="C22" s="242" t="s">
        <v>1921</v>
      </c>
      <c r="D22" s="242" t="s">
        <v>573</v>
      </c>
      <c r="E22" s="242" t="s">
        <v>1901</v>
      </c>
      <c r="F22" s="242" t="s">
        <v>1901</v>
      </c>
      <c r="G22" s="242" t="s">
        <v>1472</v>
      </c>
      <c r="H22" s="242" t="s">
        <v>1902</v>
      </c>
      <c r="I22" s="242" t="s">
        <v>577</v>
      </c>
      <c r="J22" s="243">
        <v>1107.98</v>
      </c>
      <c r="K22" s="243">
        <v>4517.07</v>
      </c>
    </row>
    <row r="23" spans="1:11" outlineLevel="2" x14ac:dyDescent="0.25">
      <c r="A23" s="241" t="s">
        <v>1922</v>
      </c>
      <c r="J23" s="244">
        <v>4517.07</v>
      </c>
    </row>
    <row r="24" spans="1:11" outlineLevel="2" x14ac:dyDescent="0.25"/>
    <row r="25" spans="1:11" outlineLevel="2" x14ac:dyDescent="0.25">
      <c r="A25" s="241" t="s">
        <v>1923</v>
      </c>
    </row>
    <row r="26" spans="1:11" outlineLevel="3" x14ac:dyDescent="0.25">
      <c r="B26" s="242" t="s">
        <v>1923</v>
      </c>
      <c r="C26" s="242" t="s">
        <v>1924</v>
      </c>
      <c r="D26" s="242" t="s">
        <v>573</v>
      </c>
      <c r="E26" s="242" t="s">
        <v>1901</v>
      </c>
      <c r="F26" s="242" t="s">
        <v>1503</v>
      </c>
      <c r="G26" s="242" t="s">
        <v>1925</v>
      </c>
      <c r="H26" s="242" t="s">
        <v>1926</v>
      </c>
      <c r="I26" s="242" t="s">
        <v>585</v>
      </c>
      <c r="J26" s="243">
        <v>118.52</v>
      </c>
      <c r="K26" s="243">
        <v>118.52</v>
      </c>
    </row>
    <row r="27" spans="1:11" outlineLevel="3" x14ac:dyDescent="0.25">
      <c r="B27" s="242" t="s">
        <v>1923</v>
      </c>
      <c r="C27" s="242" t="s">
        <v>1927</v>
      </c>
      <c r="D27" s="242" t="s">
        <v>573</v>
      </c>
      <c r="E27" s="242" t="s">
        <v>1901</v>
      </c>
      <c r="F27" s="242" t="s">
        <v>1503</v>
      </c>
      <c r="G27" s="242" t="s">
        <v>1928</v>
      </c>
      <c r="H27" s="242" t="s">
        <v>1926</v>
      </c>
      <c r="I27" s="242" t="s">
        <v>585</v>
      </c>
      <c r="J27" s="243">
        <v>9.98</v>
      </c>
      <c r="K27" s="243">
        <v>128.5</v>
      </c>
    </row>
    <row r="28" spans="1:11" outlineLevel="3" x14ac:dyDescent="0.25">
      <c r="B28" s="242" t="s">
        <v>1923</v>
      </c>
      <c r="C28" s="242" t="s">
        <v>1927</v>
      </c>
      <c r="D28" s="242" t="s">
        <v>573</v>
      </c>
      <c r="E28" s="242" t="s">
        <v>1901</v>
      </c>
      <c r="F28" s="242" t="s">
        <v>1503</v>
      </c>
      <c r="G28" s="242" t="s">
        <v>1929</v>
      </c>
      <c r="H28" s="242" t="s">
        <v>1926</v>
      </c>
      <c r="I28" s="242" t="s">
        <v>585</v>
      </c>
      <c r="J28" s="243">
        <v>1</v>
      </c>
      <c r="K28" s="243">
        <v>129.5</v>
      </c>
    </row>
    <row r="29" spans="1:11" outlineLevel="3" x14ac:dyDescent="0.25">
      <c r="B29" s="242" t="s">
        <v>1923</v>
      </c>
      <c r="C29" s="242" t="s">
        <v>1927</v>
      </c>
      <c r="D29" s="242" t="s">
        <v>573</v>
      </c>
      <c r="E29" s="242" t="s">
        <v>1901</v>
      </c>
      <c r="F29" s="242" t="s">
        <v>1503</v>
      </c>
      <c r="G29" s="242" t="s">
        <v>1930</v>
      </c>
      <c r="H29" s="242" t="s">
        <v>1926</v>
      </c>
      <c r="I29" s="242" t="s">
        <v>585</v>
      </c>
      <c r="J29" s="243">
        <v>5</v>
      </c>
      <c r="K29" s="243">
        <v>134.5</v>
      </c>
    </row>
    <row r="30" spans="1:11" outlineLevel="3" x14ac:dyDescent="0.25">
      <c r="B30" s="242" t="s">
        <v>1923</v>
      </c>
      <c r="C30" s="242" t="s">
        <v>1927</v>
      </c>
      <c r="D30" s="242" t="s">
        <v>573</v>
      </c>
      <c r="E30" s="242" t="s">
        <v>1901</v>
      </c>
      <c r="F30" s="242" t="s">
        <v>1503</v>
      </c>
      <c r="G30" s="242" t="s">
        <v>1931</v>
      </c>
      <c r="H30" s="242" t="s">
        <v>1926</v>
      </c>
      <c r="I30" s="242" t="s">
        <v>585</v>
      </c>
      <c r="J30" s="243">
        <v>9.43</v>
      </c>
      <c r="K30" s="243">
        <v>143.93</v>
      </c>
    </row>
    <row r="31" spans="1:11" outlineLevel="3" x14ac:dyDescent="0.25">
      <c r="B31" s="242" t="s">
        <v>1923</v>
      </c>
      <c r="C31" s="242" t="s">
        <v>1927</v>
      </c>
      <c r="D31" s="242" t="s">
        <v>573</v>
      </c>
      <c r="E31" s="242" t="s">
        <v>1901</v>
      </c>
      <c r="F31" s="242" t="s">
        <v>1503</v>
      </c>
      <c r="G31" s="242" t="s">
        <v>1932</v>
      </c>
      <c r="H31" s="242" t="s">
        <v>1926</v>
      </c>
      <c r="I31" s="242" t="s">
        <v>585</v>
      </c>
      <c r="J31" s="243">
        <v>9.9600000000000009</v>
      </c>
      <c r="K31" s="243">
        <v>153.88999999999999</v>
      </c>
    </row>
    <row r="32" spans="1:11" outlineLevel="3" x14ac:dyDescent="0.25">
      <c r="B32" s="242" t="s">
        <v>1923</v>
      </c>
      <c r="C32" s="242" t="s">
        <v>1927</v>
      </c>
      <c r="D32" s="242" t="s">
        <v>573</v>
      </c>
      <c r="E32" s="242" t="s">
        <v>1901</v>
      </c>
      <c r="F32" s="242" t="s">
        <v>1503</v>
      </c>
      <c r="G32" s="242" t="s">
        <v>1933</v>
      </c>
      <c r="H32" s="242" t="s">
        <v>1926</v>
      </c>
      <c r="I32" s="242" t="s">
        <v>585</v>
      </c>
      <c r="J32" s="243">
        <v>9.93</v>
      </c>
      <c r="K32" s="243">
        <v>163.82</v>
      </c>
    </row>
    <row r="33" spans="2:11" outlineLevel="3" x14ac:dyDescent="0.25">
      <c r="B33" s="242" t="s">
        <v>1923</v>
      </c>
      <c r="C33" s="242" t="s">
        <v>1927</v>
      </c>
      <c r="D33" s="242" t="s">
        <v>573</v>
      </c>
      <c r="E33" s="242" t="s">
        <v>1901</v>
      </c>
      <c r="F33" s="242" t="s">
        <v>1503</v>
      </c>
      <c r="G33" s="242" t="s">
        <v>1934</v>
      </c>
      <c r="H33" s="242" t="s">
        <v>1926</v>
      </c>
      <c r="I33" s="242" t="s">
        <v>585</v>
      </c>
      <c r="J33" s="243">
        <v>1</v>
      </c>
      <c r="K33" s="243">
        <v>164.82</v>
      </c>
    </row>
    <row r="34" spans="2:11" outlineLevel="3" x14ac:dyDescent="0.25">
      <c r="B34" s="242" t="s">
        <v>1923</v>
      </c>
      <c r="C34" s="242" t="s">
        <v>1927</v>
      </c>
      <c r="D34" s="242" t="s">
        <v>573</v>
      </c>
      <c r="E34" s="242" t="s">
        <v>1901</v>
      </c>
      <c r="F34" s="242" t="s">
        <v>1503</v>
      </c>
      <c r="G34" s="242" t="s">
        <v>1935</v>
      </c>
      <c r="H34" s="242" t="s">
        <v>1926</v>
      </c>
      <c r="I34" s="242" t="s">
        <v>585</v>
      </c>
      <c r="J34" s="243">
        <v>9.9499999999999993</v>
      </c>
      <c r="K34" s="243">
        <v>174.77</v>
      </c>
    </row>
    <row r="35" spans="2:11" outlineLevel="3" x14ac:dyDescent="0.25">
      <c r="B35" s="242" t="s">
        <v>1923</v>
      </c>
      <c r="C35" s="242" t="s">
        <v>1927</v>
      </c>
      <c r="D35" s="242" t="s">
        <v>573</v>
      </c>
      <c r="E35" s="242" t="s">
        <v>1901</v>
      </c>
      <c r="F35" s="242" t="s">
        <v>1503</v>
      </c>
      <c r="G35" s="242" t="s">
        <v>1936</v>
      </c>
      <c r="H35" s="242" t="s">
        <v>1926</v>
      </c>
      <c r="I35" s="242" t="s">
        <v>585</v>
      </c>
      <c r="J35" s="243">
        <v>1</v>
      </c>
      <c r="K35" s="243">
        <v>175.77</v>
      </c>
    </row>
    <row r="36" spans="2:11" outlineLevel="3" x14ac:dyDescent="0.25">
      <c r="B36" s="242" t="s">
        <v>1923</v>
      </c>
      <c r="C36" s="242" t="s">
        <v>1927</v>
      </c>
      <c r="D36" s="242" t="s">
        <v>573</v>
      </c>
      <c r="E36" s="242" t="s">
        <v>1901</v>
      </c>
      <c r="F36" s="242" t="s">
        <v>1503</v>
      </c>
      <c r="G36" s="242" t="s">
        <v>1937</v>
      </c>
      <c r="H36" s="242" t="s">
        <v>1926</v>
      </c>
      <c r="I36" s="242" t="s">
        <v>585</v>
      </c>
      <c r="J36" s="243">
        <v>11.94</v>
      </c>
      <c r="K36" s="243">
        <v>187.71</v>
      </c>
    </row>
    <row r="37" spans="2:11" outlineLevel="3" x14ac:dyDescent="0.25">
      <c r="B37" s="242" t="s">
        <v>1923</v>
      </c>
      <c r="C37" s="242" t="s">
        <v>1927</v>
      </c>
      <c r="D37" s="242" t="s">
        <v>573</v>
      </c>
      <c r="E37" s="242" t="s">
        <v>1901</v>
      </c>
      <c r="F37" s="242" t="s">
        <v>1503</v>
      </c>
      <c r="G37" s="242" t="s">
        <v>1938</v>
      </c>
      <c r="H37" s="242" t="s">
        <v>1926</v>
      </c>
      <c r="I37" s="242" t="s">
        <v>585</v>
      </c>
      <c r="J37" s="243">
        <v>3</v>
      </c>
      <c r="K37" s="243">
        <v>190.71</v>
      </c>
    </row>
    <row r="38" spans="2:11" outlineLevel="3" x14ac:dyDescent="0.25">
      <c r="B38" s="242" t="s">
        <v>1923</v>
      </c>
      <c r="C38" s="242" t="s">
        <v>1927</v>
      </c>
      <c r="D38" s="242" t="s">
        <v>573</v>
      </c>
      <c r="E38" s="242" t="s">
        <v>1901</v>
      </c>
      <c r="F38" s="242" t="s">
        <v>1503</v>
      </c>
      <c r="G38" s="242" t="s">
        <v>1939</v>
      </c>
      <c r="H38" s="242" t="s">
        <v>1926</v>
      </c>
      <c r="I38" s="242" t="s">
        <v>585</v>
      </c>
      <c r="J38" s="243">
        <v>16.690000000000001</v>
      </c>
      <c r="K38" s="243">
        <v>207.4</v>
      </c>
    </row>
    <row r="39" spans="2:11" outlineLevel="3" x14ac:dyDescent="0.25">
      <c r="B39" s="242" t="s">
        <v>1923</v>
      </c>
      <c r="C39" s="242" t="s">
        <v>1940</v>
      </c>
      <c r="D39" s="242" t="s">
        <v>573</v>
      </c>
      <c r="E39" s="242" t="s">
        <v>1901</v>
      </c>
      <c r="F39" s="242" t="s">
        <v>1503</v>
      </c>
      <c r="G39" s="242" t="s">
        <v>1941</v>
      </c>
      <c r="H39" s="242" t="s">
        <v>1926</v>
      </c>
      <c r="I39" s="242" t="s">
        <v>585</v>
      </c>
      <c r="J39" s="243">
        <v>3</v>
      </c>
      <c r="K39" s="243">
        <v>210.4</v>
      </c>
    </row>
    <row r="40" spans="2:11" outlineLevel="3" x14ac:dyDescent="0.25">
      <c r="B40" s="242" t="s">
        <v>1923</v>
      </c>
      <c r="C40" s="242" t="s">
        <v>1940</v>
      </c>
      <c r="D40" s="242" t="s">
        <v>573</v>
      </c>
      <c r="E40" s="242" t="s">
        <v>1901</v>
      </c>
      <c r="F40" s="242" t="s">
        <v>1503</v>
      </c>
      <c r="G40" s="242" t="s">
        <v>1942</v>
      </c>
      <c r="H40" s="242" t="s">
        <v>1926</v>
      </c>
      <c r="I40" s="242" t="s">
        <v>585</v>
      </c>
      <c r="J40" s="243">
        <v>9.99</v>
      </c>
      <c r="K40" s="243">
        <v>220.39</v>
      </c>
    </row>
    <row r="41" spans="2:11" outlineLevel="3" x14ac:dyDescent="0.25">
      <c r="B41" s="242" t="s">
        <v>1923</v>
      </c>
      <c r="C41" s="242" t="s">
        <v>1940</v>
      </c>
      <c r="D41" s="242" t="s">
        <v>573</v>
      </c>
      <c r="E41" s="242" t="s">
        <v>1901</v>
      </c>
      <c r="F41" s="242" t="s">
        <v>1503</v>
      </c>
      <c r="G41" s="242" t="s">
        <v>1943</v>
      </c>
      <c r="H41" s="242" t="s">
        <v>1926</v>
      </c>
      <c r="I41" s="242" t="s">
        <v>585</v>
      </c>
      <c r="J41" s="243">
        <v>3</v>
      </c>
      <c r="K41" s="243">
        <v>223.39</v>
      </c>
    </row>
    <row r="42" spans="2:11" outlineLevel="3" x14ac:dyDescent="0.25">
      <c r="B42" s="242" t="s">
        <v>1923</v>
      </c>
      <c r="C42" s="242" t="s">
        <v>1940</v>
      </c>
      <c r="D42" s="242" t="s">
        <v>573</v>
      </c>
      <c r="E42" s="242" t="s">
        <v>1901</v>
      </c>
      <c r="F42" s="242" t="s">
        <v>1503</v>
      </c>
      <c r="G42" s="242" t="s">
        <v>1944</v>
      </c>
      <c r="H42" s="242" t="s">
        <v>1926</v>
      </c>
      <c r="I42" s="242" t="s">
        <v>585</v>
      </c>
      <c r="J42" s="243">
        <v>17.95</v>
      </c>
      <c r="K42" s="243">
        <v>241.34</v>
      </c>
    </row>
    <row r="43" spans="2:11" outlineLevel="3" x14ac:dyDescent="0.25">
      <c r="B43" s="242" t="s">
        <v>1923</v>
      </c>
      <c r="C43" s="242" t="s">
        <v>1940</v>
      </c>
      <c r="D43" s="242" t="s">
        <v>573</v>
      </c>
      <c r="E43" s="242" t="s">
        <v>1901</v>
      </c>
      <c r="F43" s="242" t="s">
        <v>1503</v>
      </c>
      <c r="G43" s="242" t="s">
        <v>1945</v>
      </c>
      <c r="H43" s="242" t="s">
        <v>1926</v>
      </c>
      <c r="I43" s="242" t="s">
        <v>585</v>
      </c>
      <c r="J43" s="243">
        <v>1</v>
      </c>
      <c r="K43" s="243">
        <v>242.34</v>
      </c>
    </row>
    <row r="44" spans="2:11" outlineLevel="3" x14ac:dyDescent="0.25">
      <c r="B44" s="242" t="s">
        <v>1923</v>
      </c>
      <c r="C44" s="242" t="s">
        <v>1940</v>
      </c>
      <c r="D44" s="242" t="s">
        <v>573</v>
      </c>
      <c r="E44" s="242" t="s">
        <v>1901</v>
      </c>
      <c r="F44" s="242" t="s">
        <v>1503</v>
      </c>
      <c r="G44" s="242" t="s">
        <v>1946</v>
      </c>
      <c r="H44" s="242" t="s">
        <v>1926</v>
      </c>
      <c r="I44" s="242" t="s">
        <v>585</v>
      </c>
      <c r="J44" s="243">
        <v>11.98</v>
      </c>
      <c r="K44" s="243">
        <v>254.32</v>
      </c>
    </row>
    <row r="45" spans="2:11" outlineLevel="3" x14ac:dyDescent="0.25">
      <c r="B45" s="242" t="s">
        <v>1923</v>
      </c>
      <c r="C45" s="242" t="s">
        <v>1940</v>
      </c>
      <c r="D45" s="242" t="s">
        <v>573</v>
      </c>
      <c r="E45" s="242" t="s">
        <v>1901</v>
      </c>
      <c r="F45" s="242" t="s">
        <v>1503</v>
      </c>
      <c r="G45" s="242" t="s">
        <v>1947</v>
      </c>
      <c r="H45" s="242" t="s">
        <v>1926</v>
      </c>
      <c r="I45" s="242" t="s">
        <v>585</v>
      </c>
      <c r="J45" s="243">
        <v>3</v>
      </c>
      <c r="K45" s="243">
        <v>257.32</v>
      </c>
    </row>
    <row r="46" spans="2:11" outlineLevel="3" x14ac:dyDescent="0.25">
      <c r="B46" s="242" t="s">
        <v>1923</v>
      </c>
      <c r="C46" s="242" t="s">
        <v>1940</v>
      </c>
      <c r="D46" s="242" t="s">
        <v>573</v>
      </c>
      <c r="E46" s="242" t="s">
        <v>1901</v>
      </c>
      <c r="F46" s="242" t="s">
        <v>1503</v>
      </c>
      <c r="G46" s="242" t="s">
        <v>1948</v>
      </c>
      <c r="H46" s="242" t="s">
        <v>1926</v>
      </c>
      <c r="I46" s="242" t="s">
        <v>585</v>
      </c>
      <c r="J46" s="243">
        <v>10.89</v>
      </c>
      <c r="K46" s="243">
        <v>268.20999999999998</v>
      </c>
    </row>
    <row r="47" spans="2:11" outlineLevel="3" x14ac:dyDescent="0.25">
      <c r="B47" s="242" t="s">
        <v>1923</v>
      </c>
      <c r="C47" s="242" t="s">
        <v>1949</v>
      </c>
      <c r="D47" s="242" t="s">
        <v>573</v>
      </c>
      <c r="E47" s="242" t="s">
        <v>1901</v>
      </c>
      <c r="F47" s="242" t="s">
        <v>1503</v>
      </c>
      <c r="G47" s="242" t="s">
        <v>1950</v>
      </c>
      <c r="H47" s="242" t="s">
        <v>1926</v>
      </c>
      <c r="I47" s="242" t="s">
        <v>585</v>
      </c>
      <c r="J47" s="243">
        <v>42.62</v>
      </c>
      <c r="K47" s="243">
        <v>310.83</v>
      </c>
    </row>
    <row r="48" spans="2:11" outlineLevel="3" x14ac:dyDescent="0.25">
      <c r="B48" s="242" t="s">
        <v>1923</v>
      </c>
      <c r="C48" s="242" t="s">
        <v>1951</v>
      </c>
      <c r="D48" s="242" t="s">
        <v>573</v>
      </c>
      <c r="E48" s="242" t="s">
        <v>1901</v>
      </c>
      <c r="F48" s="242" t="s">
        <v>1503</v>
      </c>
      <c r="G48" s="242" t="s">
        <v>1952</v>
      </c>
      <c r="H48" s="242" t="s">
        <v>1926</v>
      </c>
      <c r="I48" s="242" t="s">
        <v>585</v>
      </c>
      <c r="J48" s="243">
        <v>204.67</v>
      </c>
      <c r="K48" s="243">
        <v>515.5</v>
      </c>
    </row>
    <row r="49" spans="1:11" outlineLevel="3" x14ac:dyDescent="0.25">
      <c r="B49" s="242" t="s">
        <v>1923</v>
      </c>
      <c r="C49" s="242" t="s">
        <v>1953</v>
      </c>
      <c r="D49" s="242" t="s">
        <v>573</v>
      </c>
      <c r="E49" s="242" t="s">
        <v>1901</v>
      </c>
      <c r="F49" s="242" t="s">
        <v>1503</v>
      </c>
      <c r="G49" s="242" t="s">
        <v>1954</v>
      </c>
      <c r="H49" s="242" t="s">
        <v>1926</v>
      </c>
      <c r="I49" s="242" t="s">
        <v>585</v>
      </c>
      <c r="J49" s="243">
        <v>36.01</v>
      </c>
      <c r="K49" s="243">
        <v>551.51</v>
      </c>
    </row>
    <row r="50" spans="1:11" outlineLevel="3" x14ac:dyDescent="0.25">
      <c r="B50" s="242" t="s">
        <v>1923</v>
      </c>
      <c r="C50" s="242" t="s">
        <v>1955</v>
      </c>
      <c r="D50" s="242" t="s">
        <v>573</v>
      </c>
      <c r="E50" s="242" t="s">
        <v>1901</v>
      </c>
      <c r="F50" s="242" t="s">
        <v>1503</v>
      </c>
      <c r="G50" s="242" t="s">
        <v>1956</v>
      </c>
      <c r="H50" s="242" t="s">
        <v>1926</v>
      </c>
      <c r="I50" s="242" t="s">
        <v>585</v>
      </c>
      <c r="J50" s="243">
        <v>245.64</v>
      </c>
      <c r="K50" s="243">
        <v>797.15</v>
      </c>
    </row>
    <row r="51" spans="1:11" outlineLevel="3" x14ac:dyDescent="0.25">
      <c r="B51" s="242" t="s">
        <v>1923</v>
      </c>
      <c r="C51" s="242" t="s">
        <v>1957</v>
      </c>
      <c r="D51" s="242" t="s">
        <v>573</v>
      </c>
      <c r="E51" s="242" t="s">
        <v>1901</v>
      </c>
      <c r="F51" s="242" t="s">
        <v>1503</v>
      </c>
      <c r="G51" s="242" t="s">
        <v>1958</v>
      </c>
      <c r="H51" s="242" t="s">
        <v>1926</v>
      </c>
      <c r="I51" s="242" t="s">
        <v>585</v>
      </c>
      <c r="J51" s="243">
        <v>204.67</v>
      </c>
      <c r="K51" s="243">
        <v>1001.82</v>
      </c>
    </row>
    <row r="52" spans="1:11" outlineLevel="2" x14ac:dyDescent="0.25">
      <c r="A52" s="241" t="s">
        <v>1959</v>
      </c>
      <c r="J52" s="244">
        <v>1001.82</v>
      </c>
    </row>
    <row r="53" spans="1:11" outlineLevel="2" x14ac:dyDescent="0.25"/>
    <row r="54" spans="1:11" outlineLevel="2" x14ac:dyDescent="0.25">
      <c r="A54" s="241" t="s">
        <v>1960</v>
      </c>
    </row>
    <row r="55" spans="1:11" outlineLevel="3" x14ac:dyDescent="0.25">
      <c r="B55" s="242" t="s">
        <v>1960</v>
      </c>
      <c r="C55" s="242" t="s">
        <v>1961</v>
      </c>
      <c r="D55" s="242" t="s">
        <v>676</v>
      </c>
      <c r="E55" s="242" t="s">
        <v>1962</v>
      </c>
      <c r="F55" s="242" t="s">
        <v>1901</v>
      </c>
      <c r="G55" s="242" t="s">
        <v>1963</v>
      </c>
      <c r="H55" s="242" t="s">
        <v>1964</v>
      </c>
      <c r="I55" s="242" t="s">
        <v>1901</v>
      </c>
      <c r="J55" s="243">
        <v>44.82</v>
      </c>
      <c r="K55" s="243">
        <v>44.82</v>
      </c>
    </row>
    <row r="56" spans="1:11" outlineLevel="3" x14ac:dyDescent="0.25">
      <c r="B56" s="242" t="s">
        <v>1960</v>
      </c>
      <c r="C56" s="242" t="s">
        <v>1965</v>
      </c>
      <c r="D56" s="242" t="s">
        <v>676</v>
      </c>
      <c r="E56" s="242" t="s">
        <v>1966</v>
      </c>
      <c r="F56" s="242" t="s">
        <v>1901</v>
      </c>
      <c r="G56" s="242" t="s">
        <v>1967</v>
      </c>
      <c r="H56" s="242" t="s">
        <v>1964</v>
      </c>
      <c r="I56" s="242" t="s">
        <v>1901</v>
      </c>
      <c r="J56" s="243">
        <v>44.03</v>
      </c>
      <c r="K56" s="243">
        <v>88.85</v>
      </c>
    </row>
    <row r="57" spans="1:11" outlineLevel="3" x14ac:dyDescent="0.25">
      <c r="B57" s="242" t="s">
        <v>1960</v>
      </c>
      <c r="C57" s="242" t="s">
        <v>1968</v>
      </c>
      <c r="D57" s="242" t="s">
        <v>676</v>
      </c>
      <c r="E57" s="242" t="s">
        <v>1969</v>
      </c>
      <c r="F57" s="242" t="s">
        <v>1901</v>
      </c>
      <c r="G57" s="242" t="s">
        <v>1970</v>
      </c>
      <c r="H57" s="242" t="s">
        <v>1964</v>
      </c>
      <c r="I57" s="242" t="s">
        <v>1901</v>
      </c>
      <c r="J57" s="243">
        <v>16.61</v>
      </c>
      <c r="K57" s="243">
        <v>105.46</v>
      </c>
    </row>
    <row r="58" spans="1:11" outlineLevel="3" x14ac:dyDescent="0.25">
      <c r="B58" s="242" t="s">
        <v>1960</v>
      </c>
      <c r="C58" s="242" t="s">
        <v>1971</v>
      </c>
      <c r="D58" s="242" t="s">
        <v>676</v>
      </c>
      <c r="E58" s="242" t="s">
        <v>1972</v>
      </c>
      <c r="F58" s="242" t="s">
        <v>1901</v>
      </c>
      <c r="G58" s="242" t="s">
        <v>1973</v>
      </c>
      <c r="H58" s="242" t="s">
        <v>1964</v>
      </c>
      <c r="I58" s="242" t="s">
        <v>1901</v>
      </c>
      <c r="J58" s="243">
        <v>181.45</v>
      </c>
      <c r="K58" s="243">
        <v>286.91000000000003</v>
      </c>
    </row>
    <row r="59" spans="1:11" outlineLevel="3" x14ac:dyDescent="0.25">
      <c r="B59" s="242" t="s">
        <v>1960</v>
      </c>
      <c r="C59" s="242" t="s">
        <v>1974</v>
      </c>
      <c r="D59" s="242" t="s">
        <v>676</v>
      </c>
      <c r="E59" s="242" t="s">
        <v>1975</v>
      </c>
      <c r="F59" s="242" t="s">
        <v>1901</v>
      </c>
      <c r="G59" s="242" t="s">
        <v>1976</v>
      </c>
      <c r="H59" s="242" t="s">
        <v>1964</v>
      </c>
      <c r="I59" s="242" t="s">
        <v>1901</v>
      </c>
      <c r="J59" s="243">
        <v>79.41</v>
      </c>
      <c r="K59" s="243">
        <v>366.32</v>
      </c>
    </row>
    <row r="60" spans="1:11" outlineLevel="3" x14ac:dyDescent="0.25">
      <c r="B60" s="242" t="s">
        <v>1960</v>
      </c>
      <c r="C60" s="242" t="s">
        <v>1977</v>
      </c>
      <c r="D60" s="242" t="s">
        <v>676</v>
      </c>
      <c r="E60" s="242" t="s">
        <v>1978</v>
      </c>
      <c r="F60" s="242" t="s">
        <v>1901</v>
      </c>
      <c r="G60" s="242" t="s">
        <v>1979</v>
      </c>
      <c r="H60" s="242" t="s">
        <v>1964</v>
      </c>
      <c r="I60" s="242" t="s">
        <v>1901</v>
      </c>
      <c r="J60" s="243">
        <v>13.09</v>
      </c>
      <c r="K60" s="243">
        <v>379.41</v>
      </c>
    </row>
    <row r="61" spans="1:11" outlineLevel="3" x14ac:dyDescent="0.25">
      <c r="B61" s="242" t="s">
        <v>1960</v>
      </c>
      <c r="C61" s="242" t="s">
        <v>1980</v>
      </c>
      <c r="D61" s="242" t="s">
        <v>676</v>
      </c>
      <c r="E61" s="242" t="s">
        <v>1981</v>
      </c>
      <c r="F61" s="242" t="s">
        <v>1901</v>
      </c>
      <c r="G61" s="242" t="s">
        <v>1982</v>
      </c>
      <c r="H61" s="242" t="s">
        <v>1964</v>
      </c>
      <c r="I61" s="242" t="s">
        <v>1901</v>
      </c>
      <c r="J61" s="243">
        <v>23.22</v>
      </c>
      <c r="K61" s="243">
        <v>402.63</v>
      </c>
    </row>
    <row r="62" spans="1:11" outlineLevel="3" x14ac:dyDescent="0.25">
      <c r="B62" s="242" t="s">
        <v>1960</v>
      </c>
      <c r="C62" s="242" t="s">
        <v>1983</v>
      </c>
      <c r="D62" s="242" t="s">
        <v>676</v>
      </c>
      <c r="E62" s="242" t="s">
        <v>1984</v>
      </c>
      <c r="F62" s="242" t="s">
        <v>1901</v>
      </c>
      <c r="G62" s="242" t="s">
        <v>1985</v>
      </c>
      <c r="H62" s="242" t="s">
        <v>1964</v>
      </c>
      <c r="I62" s="242" t="s">
        <v>1901</v>
      </c>
      <c r="J62" s="243">
        <v>25.58</v>
      </c>
      <c r="K62" s="243">
        <v>428.21</v>
      </c>
    </row>
    <row r="63" spans="1:11" outlineLevel="3" x14ac:dyDescent="0.25">
      <c r="B63" s="242" t="s">
        <v>1960</v>
      </c>
      <c r="C63" s="242" t="s">
        <v>1986</v>
      </c>
      <c r="D63" s="242" t="s">
        <v>676</v>
      </c>
      <c r="E63" s="242" t="s">
        <v>1987</v>
      </c>
      <c r="F63" s="242" t="s">
        <v>1901</v>
      </c>
      <c r="G63" s="242" t="s">
        <v>1988</v>
      </c>
      <c r="H63" s="242" t="s">
        <v>1964</v>
      </c>
      <c r="I63" s="242" t="s">
        <v>1901</v>
      </c>
      <c r="J63" s="243">
        <v>40.380000000000003</v>
      </c>
      <c r="K63" s="243">
        <v>468.59</v>
      </c>
    </row>
    <row r="64" spans="1:11" outlineLevel="3" x14ac:dyDescent="0.25">
      <c r="B64" s="242" t="s">
        <v>1960</v>
      </c>
      <c r="C64" s="242" t="s">
        <v>1989</v>
      </c>
      <c r="D64" s="242" t="s">
        <v>676</v>
      </c>
      <c r="E64" s="242" t="s">
        <v>1990</v>
      </c>
      <c r="F64" s="242" t="s">
        <v>1901</v>
      </c>
      <c r="G64" s="242" t="s">
        <v>1991</v>
      </c>
      <c r="H64" s="242" t="s">
        <v>1964</v>
      </c>
      <c r="I64" s="242" t="s">
        <v>1901</v>
      </c>
      <c r="J64" s="243">
        <v>0</v>
      </c>
      <c r="K64" s="243">
        <v>468.59</v>
      </c>
    </row>
    <row r="65" spans="1:13" outlineLevel="3" x14ac:dyDescent="0.25">
      <c r="B65" s="242" t="s">
        <v>1960</v>
      </c>
      <c r="C65" s="242" t="s">
        <v>1992</v>
      </c>
      <c r="D65" s="242" t="s">
        <v>676</v>
      </c>
      <c r="E65" s="242" t="s">
        <v>1993</v>
      </c>
      <c r="F65" s="242" t="s">
        <v>1901</v>
      </c>
      <c r="G65" s="242" t="s">
        <v>1994</v>
      </c>
      <c r="H65" s="242" t="s">
        <v>1964</v>
      </c>
      <c r="I65" s="242" t="s">
        <v>1901</v>
      </c>
      <c r="J65" s="243">
        <v>24</v>
      </c>
      <c r="K65" s="243">
        <v>492.59</v>
      </c>
    </row>
    <row r="66" spans="1:13" outlineLevel="3" x14ac:dyDescent="0.25">
      <c r="B66" s="242" t="s">
        <v>1960</v>
      </c>
      <c r="C66" s="242" t="s">
        <v>1995</v>
      </c>
      <c r="D66" s="242" t="s">
        <v>676</v>
      </c>
      <c r="E66" s="242" t="s">
        <v>1996</v>
      </c>
      <c r="F66" s="242" t="s">
        <v>1901</v>
      </c>
      <c r="G66" s="242" t="s">
        <v>1997</v>
      </c>
      <c r="H66" s="242" t="s">
        <v>1964</v>
      </c>
      <c r="I66" s="242" t="s">
        <v>1901</v>
      </c>
      <c r="J66" s="243">
        <v>29.03</v>
      </c>
      <c r="K66" s="243">
        <v>521.62</v>
      </c>
    </row>
    <row r="67" spans="1:13" outlineLevel="3" x14ac:dyDescent="0.25">
      <c r="B67" s="242" t="s">
        <v>1960</v>
      </c>
      <c r="C67" s="242" t="s">
        <v>1998</v>
      </c>
      <c r="D67" s="242" t="s">
        <v>676</v>
      </c>
      <c r="E67" s="242" t="s">
        <v>1999</v>
      </c>
      <c r="F67" s="242" t="s">
        <v>1901</v>
      </c>
      <c r="G67" s="242" t="s">
        <v>2000</v>
      </c>
      <c r="H67" s="242" t="s">
        <v>1964</v>
      </c>
      <c r="I67" s="242" t="s">
        <v>1901</v>
      </c>
      <c r="J67" s="243">
        <v>47.8</v>
      </c>
      <c r="K67" s="243">
        <v>569.41999999999996</v>
      </c>
    </row>
    <row r="68" spans="1:13" outlineLevel="3" x14ac:dyDescent="0.25">
      <c r="B68" s="242" t="s">
        <v>1960</v>
      </c>
      <c r="C68" s="242" t="s">
        <v>2001</v>
      </c>
      <c r="D68" s="242" t="s">
        <v>676</v>
      </c>
      <c r="E68" s="242" t="s">
        <v>2002</v>
      </c>
      <c r="F68" s="242" t="s">
        <v>1901</v>
      </c>
      <c r="G68" s="242" t="s">
        <v>2003</v>
      </c>
      <c r="H68" s="242" t="s">
        <v>1964</v>
      </c>
      <c r="I68" s="242" t="s">
        <v>1901</v>
      </c>
      <c r="J68" s="243">
        <v>38.049999999999997</v>
      </c>
      <c r="K68" s="243">
        <v>607.47</v>
      </c>
    </row>
    <row r="69" spans="1:13" outlineLevel="3" x14ac:dyDescent="0.25">
      <c r="B69" s="242" t="s">
        <v>1960</v>
      </c>
      <c r="C69" s="242" t="s">
        <v>1915</v>
      </c>
      <c r="D69" s="242" t="s">
        <v>676</v>
      </c>
      <c r="E69" s="242" t="s">
        <v>2004</v>
      </c>
      <c r="F69" s="242" t="s">
        <v>1901</v>
      </c>
      <c r="G69" s="242" t="s">
        <v>2005</v>
      </c>
      <c r="H69" s="242" t="s">
        <v>1964</v>
      </c>
      <c r="I69" s="242" t="s">
        <v>1901</v>
      </c>
      <c r="J69" s="243">
        <v>9.08</v>
      </c>
      <c r="K69" s="243">
        <v>616.54999999999995</v>
      </c>
    </row>
    <row r="70" spans="1:13" outlineLevel="3" x14ac:dyDescent="0.25">
      <c r="B70" s="242" t="s">
        <v>1960</v>
      </c>
      <c r="C70" s="242" t="s">
        <v>2006</v>
      </c>
      <c r="D70" s="242" t="s">
        <v>676</v>
      </c>
      <c r="E70" s="242" t="s">
        <v>2007</v>
      </c>
      <c r="F70" s="242" t="s">
        <v>1901</v>
      </c>
      <c r="G70" s="242" t="s">
        <v>2008</v>
      </c>
      <c r="H70" s="242" t="s">
        <v>1964</v>
      </c>
      <c r="I70" s="242" t="s">
        <v>1901</v>
      </c>
      <c r="J70" s="243">
        <v>27.59</v>
      </c>
      <c r="K70" s="243">
        <v>644.14</v>
      </c>
    </row>
    <row r="71" spans="1:13" outlineLevel="3" x14ac:dyDescent="0.25">
      <c r="B71" s="242" t="s">
        <v>1960</v>
      </c>
      <c r="C71" s="242" t="s">
        <v>2009</v>
      </c>
      <c r="D71" s="242" t="s">
        <v>676</v>
      </c>
      <c r="E71" s="242" t="s">
        <v>2010</v>
      </c>
      <c r="F71" s="242" t="s">
        <v>1901</v>
      </c>
      <c r="G71" s="242" t="s">
        <v>2011</v>
      </c>
      <c r="H71" s="242" t="s">
        <v>1964</v>
      </c>
      <c r="I71" s="242" t="s">
        <v>1901</v>
      </c>
      <c r="J71" s="243">
        <v>16.77</v>
      </c>
      <c r="K71" s="243">
        <v>660.91</v>
      </c>
    </row>
    <row r="72" spans="1:13" outlineLevel="3" x14ac:dyDescent="0.25">
      <c r="B72" s="242" t="s">
        <v>1960</v>
      </c>
      <c r="C72" s="242" t="s">
        <v>2012</v>
      </c>
      <c r="D72" s="242" t="s">
        <v>676</v>
      </c>
      <c r="E72" s="242" t="s">
        <v>2013</v>
      </c>
      <c r="F72" s="242" t="s">
        <v>1901</v>
      </c>
      <c r="G72" s="242" t="s">
        <v>2014</v>
      </c>
      <c r="H72" s="242" t="s">
        <v>1964</v>
      </c>
      <c r="I72" s="242" t="s">
        <v>1901</v>
      </c>
      <c r="J72" s="243">
        <v>17.77</v>
      </c>
      <c r="K72" s="243">
        <v>678.68</v>
      </c>
    </row>
    <row r="73" spans="1:13" outlineLevel="3" x14ac:dyDescent="0.25">
      <c r="B73" s="242" t="s">
        <v>1960</v>
      </c>
      <c r="C73" s="242" t="s">
        <v>2015</v>
      </c>
      <c r="D73" s="242" t="s">
        <v>676</v>
      </c>
      <c r="E73" s="242" t="s">
        <v>2016</v>
      </c>
      <c r="F73" s="242" t="s">
        <v>1901</v>
      </c>
      <c r="G73" s="242" t="s">
        <v>2017</v>
      </c>
      <c r="H73" s="242" t="s">
        <v>1964</v>
      </c>
      <c r="I73" s="242" t="s">
        <v>1901</v>
      </c>
      <c r="J73" s="243">
        <v>7.29</v>
      </c>
      <c r="K73" s="243">
        <v>685.97</v>
      </c>
    </row>
    <row r="74" spans="1:13" outlineLevel="3" x14ac:dyDescent="0.25">
      <c r="B74" s="242" t="s">
        <v>1960</v>
      </c>
      <c r="C74" s="242" t="s">
        <v>2018</v>
      </c>
      <c r="D74" s="242" t="s">
        <v>676</v>
      </c>
      <c r="E74" s="242" t="s">
        <v>2019</v>
      </c>
      <c r="F74" s="242" t="s">
        <v>1901</v>
      </c>
      <c r="G74" s="242" t="s">
        <v>2020</v>
      </c>
      <c r="H74" s="242" t="s">
        <v>1964</v>
      </c>
      <c r="I74" s="242" t="s">
        <v>1901</v>
      </c>
      <c r="J74" s="243">
        <v>6.84</v>
      </c>
      <c r="K74" s="243">
        <v>692.81</v>
      </c>
    </row>
    <row r="75" spans="1:13" outlineLevel="2" x14ac:dyDescent="0.25">
      <c r="A75" s="241" t="s">
        <v>2021</v>
      </c>
      <c r="J75" s="244">
        <v>692.81</v>
      </c>
    </row>
    <row r="76" spans="1:13" outlineLevel="2" x14ac:dyDescent="0.25">
      <c r="L76" s="237" t="s">
        <v>193</v>
      </c>
      <c r="M76" s="237" t="s">
        <v>154</v>
      </c>
    </row>
    <row r="77" spans="1:13" outlineLevel="2" x14ac:dyDescent="0.25">
      <c r="A77" s="241" t="s">
        <v>2022</v>
      </c>
    </row>
    <row r="78" spans="1:13" outlineLevel="3" x14ac:dyDescent="0.25">
      <c r="B78" s="242" t="s">
        <v>2022</v>
      </c>
      <c r="C78" s="242" t="s">
        <v>2023</v>
      </c>
      <c r="D78" s="242" t="s">
        <v>676</v>
      </c>
      <c r="E78" s="242" t="s">
        <v>2024</v>
      </c>
      <c r="F78" s="242" t="s">
        <v>1901</v>
      </c>
      <c r="G78" s="242" t="s">
        <v>2025</v>
      </c>
      <c r="H78" s="242" t="s">
        <v>2026</v>
      </c>
      <c r="I78" s="242" t="s">
        <v>1901</v>
      </c>
      <c r="J78" s="243">
        <v>434.41</v>
      </c>
      <c r="K78" s="243">
        <v>434.41</v>
      </c>
      <c r="L78" s="245">
        <f>J78</f>
        <v>434.41</v>
      </c>
    </row>
    <row r="79" spans="1:13" outlineLevel="3" x14ac:dyDescent="0.25">
      <c r="B79" s="242" t="s">
        <v>2022</v>
      </c>
      <c r="C79" s="242" t="s">
        <v>2027</v>
      </c>
      <c r="D79" s="242" t="s">
        <v>573</v>
      </c>
      <c r="E79" s="242" t="s">
        <v>1901</v>
      </c>
      <c r="F79" s="242" t="s">
        <v>952</v>
      </c>
      <c r="G79" s="242" t="s">
        <v>1472</v>
      </c>
      <c r="H79" s="242" t="s">
        <v>2026</v>
      </c>
      <c r="I79" s="242" t="s">
        <v>577</v>
      </c>
      <c r="J79" s="243">
        <v>1129.48</v>
      </c>
      <c r="K79" s="243">
        <v>1563.89</v>
      </c>
      <c r="M79" s="245">
        <f>J79</f>
        <v>1129.48</v>
      </c>
    </row>
    <row r="80" spans="1:13" outlineLevel="3" x14ac:dyDescent="0.25">
      <c r="B80" s="242" t="s">
        <v>2022</v>
      </c>
      <c r="C80" s="242" t="s">
        <v>2028</v>
      </c>
      <c r="D80" s="242" t="s">
        <v>676</v>
      </c>
      <c r="E80" s="242" t="s">
        <v>2029</v>
      </c>
      <c r="F80" s="242" t="s">
        <v>1901</v>
      </c>
      <c r="G80" s="242" t="s">
        <v>2025</v>
      </c>
      <c r="H80" s="242" t="s">
        <v>2026</v>
      </c>
      <c r="I80" s="242" t="s">
        <v>1901</v>
      </c>
      <c r="J80" s="243">
        <v>-434.41</v>
      </c>
      <c r="K80" s="243">
        <v>1129.48</v>
      </c>
      <c r="L80" s="245">
        <f>J80</f>
        <v>-434.41</v>
      </c>
    </row>
    <row r="81" spans="2:13" outlineLevel="3" x14ac:dyDescent="0.25">
      <c r="B81" s="242" t="s">
        <v>2022</v>
      </c>
      <c r="C81" s="242" t="s">
        <v>2030</v>
      </c>
      <c r="D81" s="242" t="s">
        <v>573</v>
      </c>
      <c r="E81" s="242" t="s">
        <v>1901</v>
      </c>
      <c r="F81" s="242" t="s">
        <v>1456</v>
      </c>
      <c r="G81" s="242" t="s">
        <v>2031</v>
      </c>
      <c r="H81" s="242" t="s">
        <v>2026</v>
      </c>
      <c r="I81" s="242" t="s">
        <v>585</v>
      </c>
      <c r="J81" s="243">
        <v>763.49</v>
      </c>
      <c r="K81" s="243">
        <v>1892.97</v>
      </c>
      <c r="L81" s="245">
        <f>J81</f>
        <v>763.49</v>
      </c>
      <c r="M81" s="245"/>
    </row>
    <row r="82" spans="2:13" outlineLevel="3" x14ac:dyDescent="0.25">
      <c r="B82" s="242" t="s">
        <v>2022</v>
      </c>
      <c r="C82" s="242" t="s">
        <v>2030</v>
      </c>
      <c r="D82" s="242" t="s">
        <v>676</v>
      </c>
      <c r="E82" s="242" t="s">
        <v>2032</v>
      </c>
      <c r="F82" s="242" t="s">
        <v>1901</v>
      </c>
      <c r="G82" s="242" t="s">
        <v>2033</v>
      </c>
      <c r="H82" s="242" t="s">
        <v>2026</v>
      </c>
      <c r="I82" s="242" t="s">
        <v>1901</v>
      </c>
      <c r="J82" s="243">
        <v>534.41999999999996</v>
      </c>
      <c r="K82" s="243">
        <v>2427.39</v>
      </c>
      <c r="L82" s="245">
        <f>J82</f>
        <v>534.41999999999996</v>
      </c>
    </row>
    <row r="83" spans="2:13" outlineLevel="3" x14ac:dyDescent="0.25">
      <c r="B83" s="242" t="s">
        <v>2022</v>
      </c>
      <c r="C83" s="242" t="s">
        <v>2034</v>
      </c>
      <c r="D83" s="242" t="s">
        <v>573</v>
      </c>
      <c r="E83" s="242" t="s">
        <v>1901</v>
      </c>
      <c r="F83" s="242" t="s">
        <v>952</v>
      </c>
      <c r="G83" s="242" t="s">
        <v>1472</v>
      </c>
      <c r="H83" s="242" t="s">
        <v>2026</v>
      </c>
      <c r="I83" s="242" t="s">
        <v>581</v>
      </c>
      <c r="J83" s="243">
        <v>42.43</v>
      </c>
      <c r="K83" s="243">
        <v>2469.8200000000002</v>
      </c>
      <c r="M83" s="245">
        <f>J83</f>
        <v>42.43</v>
      </c>
    </row>
    <row r="84" spans="2:13" outlineLevel="3" x14ac:dyDescent="0.25">
      <c r="B84" s="242" t="s">
        <v>2022</v>
      </c>
      <c r="C84" s="242" t="s">
        <v>1971</v>
      </c>
      <c r="D84" s="242" t="s">
        <v>573</v>
      </c>
      <c r="E84" s="242" t="s">
        <v>1901</v>
      </c>
      <c r="F84" s="242" t="s">
        <v>1901</v>
      </c>
      <c r="G84" s="242" t="s">
        <v>2035</v>
      </c>
      <c r="H84" s="242" t="s">
        <v>2026</v>
      </c>
      <c r="I84" s="242" t="s">
        <v>739</v>
      </c>
      <c r="J84" s="243">
        <v>133.19</v>
      </c>
      <c r="K84" s="243">
        <v>2603.0100000000002</v>
      </c>
      <c r="M84" s="245">
        <f t="shared" ref="M84:M85" si="0">J84</f>
        <v>133.19</v>
      </c>
    </row>
    <row r="85" spans="2:13" outlineLevel="3" x14ac:dyDescent="0.25">
      <c r="B85" s="242" t="s">
        <v>2022</v>
      </c>
      <c r="C85" s="242" t="s">
        <v>1971</v>
      </c>
      <c r="D85" s="242" t="s">
        <v>573</v>
      </c>
      <c r="E85" s="242" t="s">
        <v>1901</v>
      </c>
      <c r="F85" s="242" t="s">
        <v>2036</v>
      </c>
      <c r="G85" s="242" t="s">
        <v>2037</v>
      </c>
      <c r="H85" s="242" t="s">
        <v>2026</v>
      </c>
      <c r="I85" s="242" t="s">
        <v>739</v>
      </c>
      <c r="J85" s="243">
        <v>14.45</v>
      </c>
      <c r="K85" s="243">
        <v>2617.46</v>
      </c>
      <c r="M85" s="245">
        <f t="shared" si="0"/>
        <v>14.45</v>
      </c>
    </row>
    <row r="86" spans="2:13" outlineLevel="3" x14ac:dyDescent="0.25">
      <c r="B86" s="242" t="s">
        <v>2022</v>
      </c>
      <c r="C86" s="242" t="s">
        <v>1974</v>
      </c>
      <c r="D86" s="242" t="s">
        <v>676</v>
      </c>
      <c r="E86" s="242" t="s">
        <v>2038</v>
      </c>
      <c r="F86" s="242" t="s">
        <v>1901</v>
      </c>
      <c r="G86" s="242" t="s">
        <v>1552</v>
      </c>
      <c r="H86" s="242" t="s">
        <v>2026</v>
      </c>
      <c r="I86" s="242" t="s">
        <v>1901</v>
      </c>
      <c r="J86" s="243">
        <v>4.13</v>
      </c>
      <c r="K86" s="243">
        <v>2621.59</v>
      </c>
      <c r="L86" s="245">
        <f>J86</f>
        <v>4.13</v>
      </c>
    </row>
    <row r="87" spans="2:13" outlineLevel="3" x14ac:dyDescent="0.25">
      <c r="B87" s="242" t="s">
        <v>2022</v>
      </c>
      <c r="C87" s="242" t="s">
        <v>1974</v>
      </c>
      <c r="D87" s="242" t="s">
        <v>676</v>
      </c>
      <c r="E87" s="242" t="s">
        <v>2038</v>
      </c>
      <c r="F87" s="242" t="s">
        <v>1901</v>
      </c>
      <c r="G87" s="242" t="s">
        <v>1558</v>
      </c>
      <c r="H87" s="242" t="s">
        <v>2026</v>
      </c>
      <c r="I87" s="242" t="s">
        <v>1901</v>
      </c>
      <c r="J87" s="243">
        <v>124.11</v>
      </c>
      <c r="K87" s="243">
        <v>2745.7</v>
      </c>
      <c r="L87" s="245">
        <f t="shared" ref="L87:L90" si="1">J87</f>
        <v>124.11</v>
      </c>
    </row>
    <row r="88" spans="2:13" outlineLevel="3" x14ac:dyDescent="0.25">
      <c r="B88" s="242" t="s">
        <v>2022</v>
      </c>
      <c r="C88" s="242" t="s">
        <v>1974</v>
      </c>
      <c r="D88" s="242" t="s">
        <v>676</v>
      </c>
      <c r="E88" s="242" t="s">
        <v>2038</v>
      </c>
      <c r="F88" s="242" t="s">
        <v>1901</v>
      </c>
      <c r="G88" s="242" t="s">
        <v>2039</v>
      </c>
      <c r="H88" s="242" t="s">
        <v>2026</v>
      </c>
      <c r="I88" s="242" t="s">
        <v>1901</v>
      </c>
      <c r="J88" s="243">
        <v>294.16000000000003</v>
      </c>
      <c r="K88" s="243">
        <v>3039.86</v>
      </c>
      <c r="L88" s="245">
        <f t="shared" si="1"/>
        <v>294.16000000000003</v>
      </c>
    </row>
    <row r="89" spans="2:13" outlineLevel="3" x14ac:dyDescent="0.25">
      <c r="B89" s="242" t="s">
        <v>2022</v>
      </c>
      <c r="C89" s="242" t="s">
        <v>1974</v>
      </c>
      <c r="D89" s="242" t="s">
        <v>676</v>
      </c>
      <c r="E89" s="242" t="s">
        <v>2038</v>
      </c>
      <c r="F89" s="242" t="s">
        <v>1901</v>
      </c>
      <c r="G89" s="242" t="s">
        <v>2040</v>
      </c>
      <c r="H89" s="242" t="s">
        <v>2026</v>
      </c>
      <c r="I89" s="242" t="s">
        <v>1901</v>
      </c>
      <c r="J89" s="243">
        <v>243.57</v>
      </c>
      <c r="K89" s="243">
        <v>3283.43</v>
      </c>
      <c r="L89" s="245">
        <f t="shared" si="1"/>
        <v>243.57</v>
      </c>
    </row>
    <row r="90" spans="2:13" outlineLevel="3" x14ac:dyDescent="0.25">
      <c r="B90" s="242" t="s">
        <v>2022</v>
      </c>
      <c r="C90" s="242" t="s">
        <v>1974</v>
      </c>
      <c r="D90" s="242" t="s">
        <v>676</v>
      </c>
      <c r="E90" s="242" t="s">
        <v>2038</v>
      </c>
      <c r="F90" s="242" t="s">
        <v>1901</v>
      </c>
      <c r="G90" s="242" t="s">
        <v>2041</v>
      </c>
      <c r="H90" s="242" t="s">
        <v>2026</v>
      </c>
      <c r="I90" s="242" t="s">
        <v>1901</v>
      </c>
      <c r="J90" s="243">
        <v>516.05999999999995</v>
      </c>
      <c r="K90" s="243">
        <v>3799.49</v>
      </c>
      <c r="L90" s="245">
        <f t="shared" si="1"/>
        <v>516.05999999999995</v>
      </c>
    </row>
    <row r="91" spans="2:13" outlineLevel="3" x14ac:dyDescent="0.25">
      <c r="B91" s="242" t="s">
        <v>2022</v>
      </c>
      <c r="C91" s="242" t="s">
        <v>1980</v>
      </c>
      <c r="D91" s="242" t="s">
        <v>573</v>
      </c>
      <c r="E91" s="242" t="s">
        <v>1901</v>
      </c>
      <c r="F91" s="242" t="s">
        <v>1901</v>
      </c>
      <c r="G91" s="242" t="s">
        <v>2042</v>
      </c>
      <c r="H91" s="242" t="s">
        <v>2026</v>
      </c>
      <c r="I91" s="242" t="s">
        <v>577</v>
      </c>
      <c r="J91" s="243">
        <v>1120.94</v>
      </c>
      <c r="K91" s="243">
        <v>4920.43</v>
      </c>
      <c r="M91" s="245">
        <f>J91</f>
        <v>1120.94</v>
      </c>
    </row>
    <row r="92" spans="2:13" outlineLevel="3" x14ac:dyDescent="0.25">
      <c r="B92" s="242" t="s">
        <v>2022</v>
      </c>
      <c r="C92" s="242" t="s">
        <v>2043</v>
      </c>
      <c r="D92" s="242" t="s">
        <v>676</v>
      </c>
      <c r="E92" s="242" t="s">
        <v>2044</v>
      </c>
      <c r="F92" s="242" t="s">
        <v>1901</v>
      </c>
      <c r="G92" s="242" t="s">
        <v>2045</v>
      </c>
      <c r="H92" s="242" t="s">
        <v>2026</v>
      </c>
      <c r="I92" s="242" t="s">
        <v>1901</v>
      </c>
      <c r="J92" s="243">
        <v>374.34</v>
      </c>
      <c r="K92" s="243">
        <v>5294.77</v>
      </c>
      <c r="L92" s="245">
        <f>J92</f>
        <v>374.34</v>
      </c>
    </row>
    <row r="93" spans="2:13" outlineLevel="3" x14ac:dyDescent="0.25">
      <c r="B93" s="242" t="s">
        <v>2022</v>
      </c>
      <c r="C93" s="242" t="s">
        <v>2043</v>
      </c>
      <c r="D93" s="242" t="s">
        <v>676</v>
      </c>
      <c r="E93" s="242" t="s">
        <v>2046</v>
      </c>
      <c r="F93" s="242" t="s">
        <v>1901</v>
      </c>
      <c r="G93" s="242" t="s">
        <v>2047</v>
      </c>
      <c r="H93" s="242" t="s">
        <v>2026</v>
      </c>
      <c r="I93" s="242" t="s">
        <v>1901</v>
      </c>
      <c r="J93" s="243">
        <v>-368.42</v>
      </c>
      <c r="K93" s="243">
        <v>4926.3500000000004</v>
      </c>
      <c r="L93" s="245">
        <f>J93</f>
        <v>-368.42</v>
      </c>
    </row>
    <row r="94" spans="2:13" outlineLevel="3" x14ac:dyDescent="0.25">
      <c r="B94" s="242" t="s">
        <v>2022</v>
      </c>
      <c r="C94" s="242" t="s">
        <v>2048</v>
      </c>
      <c r="D94" s="242" t="s">
        <v>676</v>
      </c>
      <c r="E94" s="242" t="s">
        <v>2049</v>
      </c>
      <c r="F94" s="242" t="s">
        <v>1901</v>
      </c>
      <c r="G94" s="242" t="s">
        <v>2050</v>
      </c>
      <c r="H94" s="242" t="s">
        <v>2026</v>
      </c>
      <c r="I94" s="242" t="s">
        <v>1901</v>
      </c>
      <c r="J94" s="243">
        <v>326.61</v>
      </c>
      <c r="K94" s="243">
        <v>5252.96</v>
      </c>
      <c r="L94" s="245">
        <f>J94</f>
        <v>326.61</v>
      </c>
    </row>
    <row r="95" spans="2:13" outlineLevel="3" x14ac:dyDescent="0.25">
      <c r="B95" s="242" t="s">
        <v>2022</v>
      </c>
      <c r="C95" s="242" t="s">
        <v>2051</v>
      </c>
      <c r="D95" s="242" t="s">
        <v>573</v>
      </c>
      <c r="E95" s="242" t="s">
        <v>1901</v>
      </c>
      <c r="F95" s="242" t="s">
        <v>1456</v>
      </c>
      <c r="G95" s="242" t="s">
        <v>2052</v>
      </c>
      <c r="H95" s="242" t="s">
        <v>2026</v>
      </c>
      <c r="I95" s="242" t="s">
        <v>585</v>
      </c>
      <c r="J95" s="243">
        <v>725.4</v>
      </c>
      <c r="K95" s="243">
        <v>5978.36</v>
      </c>
      <c r="L95" s="245">
        <f>J95</f>
        <v>725.4</v>
      </c>
      <c r="M95" s="245"/>
    </row>
    <row r="96" spans="2:13" outlineLevel="3" x14ac:dyDescent="0.25">
      <c r="B96" s="242" t="s">
        <v>2022</v>
      </c>
      <c r="C96" s="242" t="s">
        <v>1953</v>
      </c>
      <c r="D96" s="242" t="s">
        <v>573</v>
      </c>
      <c r="E96" s="242" t="s">
        <v>1901</v>
      </c>
      <c r="F96" s="242" t="s">
        <v>1901</v>
      </c>
      <c r="G96" s="242" t="s">
        <v>2035</v>
      </c>
      <c r="H96" s="242" t="s">
        <v>2026</v>
      </c>
      <c r="I96" s="242" t="s">
        <v>739</v>
      </c>
      <c r="J96" s="243">
        <v>172.45</v>
      </c>
      <c r="K96" s="243">
        <v>6150.81</v>
      </c>
      <c r="M96" s="245">
        <f t="shared" ref="M96:M97" si="2">J96</f>
        <v>172.45</v>
      </c>
    </row>
    <row r="97" spans="2:13" outlineLevel="3" x14ac:dyDescent="0.25">
      <c r="B97" s="242" t="s">
        <v>2022</v>
      </c>
      <c r="C97" s="242" t="s">
        <v>1955</v>
      </c>
      <c r="D97" s="242" t="s">
        <v>573</v>
      </c>
      <c r="E97" s="242" t="s">
        <v>1901</v>
      </c>
      <c r="F97" s="242" t="s">
        <v>1456</v>
      </c>
      <c r="G97" s="242" t="s">
        <v>2053</v>
      </c>
      <c r="H97" s="242" t="s">
        <v>2026</v>
      </c>
      <c r="I97" s="242" t="s">
        <v>585</v>
      </c>
      <c r="J97" s="243">
        <v>686.83</v>
      </c>
      <c r="K97" s="243">
        <v>6837.64</v>
      </c>
      <c r="M97" s="245">
        <f t="shared" si="2"/>
        <v>686.83</v>
      </c>
    </row>
    <row r="98" spans="2:13" outlineLevel="3" x14ac:dyDescent="0.25">
      <c r="B98" s="242" t="s">
        <v>2022</v>
      </c>
      <c r="C98" s="242" t="s">
        <v>1955</v>
      </c>
      <c r="D98" s="242" t="s">
        <v>676</v>
      </c>
      <c r="E98" s="242" t="s">
        <v>2054</v>
      </c>
      <c r="F98" s="242" t="s">
        <v>1901</v>
      </c>
      <c r="G98" s="242" t="s">
        <v>2055</v>
      </c>
      <c r="H98" s="242" t="s">
        <v>2026</v>
      </c>
      <c r="I98" s="242" t="s">
        <v>1901</v>
      </c>
      <c r="J98" s="243">
        <v>-5.92</v>
      </c>
      <c r="K98" s="243">
        <v>6831.72</v>
      </c>
      <c r="L98" s="245">
        <f>J98</f>
        <v>-5.92</v>
      </c>
    </row>
    <row r="99" spans="2:13" outlineLevel="3" x14ac:dyDescent="0.25">
      <c r="B99" s="242" t="s">
        <v>2022</v>
      </c>
      <c r="C99" s="242" t="s">
        <v>1989</v>
      </c>
      <c r="D99" s="242" t="s">
        <v>676</v>
      </c>
      <c r="E99" s="242" t="s">
        <v>2056</v>
      </c>
      <c r="F99" s="242" t="s">
        <v>1901</v>
      </c>
      <c r="G99" s="242" t="s">
        <v>1558</v>
      </c>
      <c r="H99" s="242" t="s">
        <v>2026</v>
      </c>
      <c r="I99" s="242" t="s">
        <v>1901</v>
      </c>
      <c r="J99" s="243">
        <v>94.6</v>
      </c>
      <c r="K99" s="243">
        <v>6926.32</v>
      </c>
      <c r="L99" s="245">
        <f t="shared" ref="L99:L102" si="3">J99</f>
        <v>94.6</v>
      </c>
    </row>
    <row r="100" spans="2:13" outlineLevel="3" x14ac:dyDescent="0.25">
      <c r="B100" s="242" t="s">
        <v>2022</v>
      </c>
      <c r="C100" s="242" t="s">
        <v>1989</v>
      </c>
      <c r="D100" s="242" t="s">
        <v>676</v>
      </c>
      <c r="E100" s="242" t="s">
        <v>2056</v>
      </c>
      <c r="F100" s="242" t="s">
        <v>1901</v>
      </c>
      <c r="G100" s="242" t="s">
        <v>2039</v>
      </c>
      <c r="H100" s="242" t="s">
        <v>2026</v>
      </c>
      <c r="I100" s="242" t="s">
        <v>1901</v>
      </c>
      <c r="J100" s="243">
        <v>136.57</v>
      </c>
      <c r="K100" s="243">
        <v>7062.89</v>
      </c>
      <c r="L100" s="245">
        <f t="shared" si="3"/>
        <v>136.57</v>
      </c>
    </row>
    <row r="101" spans="2:13" outlineLevel="3" x14ac:dyDescent="0.25">
      <c r="B101" s="242" t="s">
        <v>2022</v>
      </c>
      <c r="C101" s="242" t="s">
        <v>1989</v>
      </c>
      <c r="D101" s="242" t="s">
        <v>676</v>
      </c>
      <c r="E101" s="242" t="s">
        <v>2056</v>
      </c>
      <c r="F101" s="242" t="s">
        <v>1901</v>
      </c>
      <c r="G101" s="242" t="s">
        <v>2040</v>
      </c>
      <c r="H101" s="242" t="s">
        <v>2026</v>
      </c>
      <c r="I101" s="242" t="s">
        <v>1901</v>
      </c>
      <c r="J101" s="243">
        <v>171.63</v>
      </c>
      <c r="K101" s="243">
        <v>7234.52</v>
      </c>
      <c r="L101" s="245">
        <f t="shared" si="3"/>
        <v>171.63</v>
      </c>
    </row>
    <row r="102" spans="2:13" outlineLevel="3" x14ac:dyDescent="0.25">
      <c r="B102" s="242" t="s">
        <v>2022</v>
      </c>
      <c r="C102" s="242" t="s">
        <v>1989</v>
      </c>
      <c r="D102" s="242" t="s">
        <v>676</v>
      </c>
      <c r="E102" s="242" t="s">
        <v>2056</v>
      </c>
      <c r="F102" s="242" t="s">
        <v>1901</v>
      </c>
      <c r="G102" s="242" t="s">
        <v>2041</v>
      </c>
      <c r="H102" s="242" t="s">
        <v>2026</v>
      </c>
      <c r="I102" s="242" t="s">
        <v>1901</v>
      </c>
      <c r="J102" s="243">
        <v>173.62</v>
      </c>
      <c r="K102" s="243">
        <v>7408.14</v>
      </c>
      <c r="L102" s="245">
        <f t="shared" si="3"/>
        <v>173.62</v>
      </c>
    </row>
    <row r="103" spans="2:13" outlineLevel="3" x14ac:dyDescent="0.25">
      <c r="B103" s="242" t="s">
        <v>2022</v>
      </c>
      <c r="C103" s="242" t="s">
        <v>2057</v>
      </c>
      <c r="D103" s="242" t="s">
        <v>573</v>
      </c>
      <c r="E103" s="242" t="s">
        <v>1901</v>
      </c>
      <c r="F103" s="242" t="s">
        <v>952</v>
      </c>
      <c r="G103" s="242" t="s">
        <v>2058</v>
      </c>
      <c r="H103" s="242" t="s">
        <v>2026</v>
      </c>
      <c r="I103" s="242" t="s">
        <v>577</v>
      </c>
      <c r="J103" s="243">
        <v>39</v>
      </c>
      <c r="K103" s="243">
        <v>7447.14</v>
      </c>
      <c r="M103" s="245">
        <f>J103</f>
        <v>39</v>
      </c>
    </row>
    <row r="104" spans="2:13" outlineLevel="3" x14ac:dyDescent="0.25">
      <c r="B104" s="242" t="s">
        <v>2022</v>
      </c>
      <c r="C104" s="242" t="s">
        <v>1995</v>
      </c>
      <c r="D104" s="242" t="s">
        <v>676</v>
      </c>
      <c r="E104" s="242" t="s">
        <v>2059</v>
      </c>
      <c r="F104" s="242" t="s">
        <v>1901</v>
      </c>
      <c r="G104" s="242" t="s">
        <v>2060</v>
      </c>
      <c r="H104" s="242" t="s">
        <v>2026</v>
      </c>
      <c r="I104" s="242" t="s">
        <v>1901</v>
      </c>
      <c r="J104" s="243">
        <v>313.62</v>
      </c>
      <c r="K104" s="243">
        <v>7760.76</v>
      </c>
      <c r="L104" s="245">
        <f>J104</f>
        <v>313.62</v>
      </c>
    </row>
    <row r="105" spans="2:13" outlineLevel="3" x14ac:dyDescent="0.25">
      <c r="B105" s="242" t="s">
        <v>2022</v>
      </c>
      <c r="C105" s="242" t="s">
        <v>1995</v>
      </c>
      <c r="D105" s="242" t="s">
        <v>676</v>
      </c>
      <c r="E105" s="242" t="s">
        <v>2061</v>
      </c>
      <c r="F105" s="242" t="s">
        <v>1901</v>
      </c>
      <c r="G105" s="242" t="s">
        <v>2062</v>
      </c>
      <c r="H105" s="242" t="s">
        <v>2026</v>
      </c>
      <c r="I105" s="242" t="s">
        <v>1901</v>
      </c>
      <c r="J105" s="243">
        <v>252.24</v>
      </c>
      <c r="K105" s="243">
        <v>8013</v>
      </c>
      <c r="L105" s="245">
        <f>J105</f>
        <v>252.24</v>
      </c>
    </row>
    <row r="106" spans="2:13" outlineLevel="3" x14ac:dyDescent="0.25">
      <c r="B106" s="242" t="s">
        <v>2022</v>
      </c>
      <c r="C106" s="242" t="s">
        <v>2063</v>
      </c>
      <c r="D106" s="242" t="s">
        <v>573</v>
      </c>
      <c r="E106" s="242" t="s">
        <v>1901</v>
      </c>
      <c r="F106" s="242" t="s">
        <v>952</v>
      </c>
      <c r="G106" s="242" t="s">
        <v>1560</v>
      </c>
      <c r="H106" s="242" t="s">
        <v>2026</v>
      </c>
      <c r="I106" s="242" t="s">
        <v>577</v>
      </c>
      <c r="J106" s="243">
        <v>1041.25</v>
      </c>
      <c r="K106" s="243">
        <v>9054.25</v>
      </c>
      <c r="M106" s="245">
        <f>J106</f>
        <v>1041.25</v>
      </c>
    </row>
    <row r="107" spans="2:13" outlineLevel="3" x14ac:dyDescent="0.25">
      <c r="B107" s="242" t="s">
        <v>2022</v>
      </c>
      <c r="C107" s="242" t="s">
        <v>2064</v>
      </c>
      <c r="D107" s="242" t="s">
        <v>676</v>
      </c>
      <c r="E107" s="242" t="s">
        <v>2065</v>
      </c>
      <c r="F107" s="242" t="s">
        <v>1901</v>
      </c>
      <c r="G107" s="242" t="s">
        <v>2066</v>
      </c>
      <c r="H107" s="242" t="s">
        <v>2026</v>
      </c>
      <c r="I107" s="242" t="s">
        <v>1901</v>
      </c>
      <c r="J107" s="243">
        <v>-313.62</v>
      </c>
      <c r="K107" s="243">
        <v>8740.6299999999992</v>
      </c>
      <c r="L107" s="245">
        <f>J107</f>
        <v>-313.62</v>
      </c>
    </row>
    <row r="108" spans="2:13" outlineLevel="3" x14ac:dyDescent="0.25">
      <c r="B108" s="242" t="s">
        <v>2022</v>
      </c>
      <c r="C108" s="242" t="s">
        <v>2067</v>
      </c>
      <c r="D108" s="242" t="s">
        <v>676</v>
      </c>
      <c r="E108" s="242" t="s">
        <v>2068</v>
      </c>
      <c r="F108" s="242" t="s">
        <v>1901</v>
      </c>
      <c r="G108" s="242" t="s">
        <v>2069</v>
      </c>
      <c r="H108" s="242" t="s">
        <v>2026</v>
      </c>
      <c r="I108" s="242" t="s">
        <v>1901</v>
      </c>
      <c r="J108" s="243">
        <v>45.16</v>
      </c>
      <c r="K108" s="243">
        <v>8785.7900000000009</v>
      </c>
      <c r="L108" s="245">
        <f>J108</f>
        <v>45.16</v>
      </c>
    </row>
    <row r="109" spans="2:13" outlineLevel="3" x14ac:dyDescent="0.25">
      <c r="B109" s="242" t="s">
        <v>2022</v>
      </c>
      <c r="C109" s="242" t="s">
        <v>2070</v>
      </c>
      <c r="D109" s="242" t="s">
        <v>573</v>
      </c>
      <c r="E109" s="242" t="s">
        <v>1901</v>
      </c>
      <c r="F109" s="242" t="s">
        <v>952</v>
      </c>
      <c r="G109" s="242" t="s">
        <v>2035</v>
      </c>
      <c r="H109" s="242" t="s">
        <v>2026</v>
      </c>
      <c r="I109" s="242" t="s">
        <v>739</v>
      </c>
      <c r="J109" s="243">
        <v>192.04</v>
      </c>
      <c r="K109" s="243">
        <v>8977.83</v>
      </c>
      <c r="M109" s="245">
        <f>J109</f>
        <v>192.04</v>
      </c>
    </row>
    <row r="110" spans="2:13" outlineLevel="3" x14ac:dyDescent="0.25">
      <c r="B110" s="242" t="s">
        <v>2022</v>
      </c>
      <c r="C110" s="242" t="s">
        <v>1915</v>
      </c>
      <c r="D110" s="242" t="s">
        <v>676</v>
      </c>
      <c r="E110" s="242" t="s">
        <v>2071</v>
      </c>
      <c r="F110" s="242" t="s">
        <v>1901</v>
      </c>
      <c r="G110" s="242" t="s">
        <v>2039</v>
      </c>
      <c r="H110" s="242" t="s">
        <v>2026</v>
      </c>
      <c r="I110" s="242" t="s">
        <v>1901</v>
      </c>
      <c r="J110" s="243">
        <v>103.42</v>
      </c>
      <c r="K110" s="243">
        <v>9081.25</v>
      </c>
      <c r="L110" s="245">
        <f>J110</f>
        <v>103.42</v>
      </c>
    </row>
    <row r="111" spans="2:13" outlineLevel="3" x14ac:dyDescent="0.25">
      <c r="B111" s="242" t="s">
        <v>2022</v>
      </c>
      <c r="C111" s="242" t="s">
        <v>1915</v>
      </c>
      <c r="D111" s="242" t="s">
        <v>676</v>
      </c>
      <c r="E111" s="242" t="s">
        <v>2071</v>
      </c>
      <c r="F111" s="242" t="s">
        <v>1901</v>
      </c>
      <c r="G111" s="242" t="s">
        <v>2040</v>
      </c>
      <c r="H111" s="242" t="s">
        <v>2026</v>
      </c>
      <c r="I111" s="242" t="s">
        <v>1901</v>
      </c>
      <c r="J111" s="243">
        <v>101.36</v>
      </c>
      <c r="K111" s="243">
        <v>9182.61</v>
      </c>
      <c r="L111" s="245">
        <f t="shared" ref="L111:L118" si="4">J111</f>
        <v>101.36</v>
      </c>
    </row>
    <row r="112" spans="2:13" outlineLevel="3" x14ac:dyDescent="0.25">
      <c r="B112" s="242" t="s">
        <v>2022</v>
      </c>
      <c r="C112" s="242" t="s">
        <v>1915</v>
      </c>
      <c r="D112" s="242" t="s">
        <v>676</v>
      </c>
      <c r="E112" s="242" t="s">
        <v>2071</v>
      </c>
      <c r="F112" s="242" t="s">
        <v>1901</v>
      </c>
      <c r="G112" s="242" t="s">
        <v>2041</v>
      </c>
      <c r="H112" s="242" t="s">
        <v>2026</v>
      </c>
      <c r="I112" s="242" t="s">
        <v>1901</v>
      </c>
      <c r="J112" s="243">
        <v>199.77</v>
      </c>
      <c r="K112" s="243">
        <v>9382.3799999999992</v>
      </c>
      <c r="L112" s="245">
        <f t="shared" si="4"/>
        <v>199.77</v>
      </c>
    </row>
    <row r="113" spans="1:13" outlineLevel="3" x14ac:dyDescent="0.25">
      <c r="B113" s="242" t="s">
        <v>2022</v>
      </c>
      <c r="C113" s="242" t="s">
        <v>1915</v>
      </c>
      <c r="D113" s="242" t="s">
        <v>676</v>
      </c>
      <c r="E113" s="242" t="s">
        <v>2072</v>
      </c>
      <c r="F113" s="242" t="s">
        <v>1901</v>
      </c>
      <c r="G113" s="242" t="s">
        <v>2073</v>
      </c>
      <c r="H113" s="242" t="s">
        <v>2026</v>
      </c>
      <c r="I113" s="242" t="s">
        <v>1901</v>
      </c>
      <c r="J113" s="243">
        <v>488.25</v>
      </c>
      <c r="K113" s="243">
        <v>9870.6299999999992</v>
      </c>
      <c r="L113" s="245">
        <f t="shared" si="4"/>
        <v>488.25</v>
      </c>
    </row>
    <row r="114" spans="1:13" outlineLevel="3" x14ac:dyDescent="0.25">
      <c r="B114" s="242" t="s">
        <v>2022</v>
      </c>
      <c r="C114" s="242" t="s">
        <v>2074</v>
      </c>
      <c r="D114" s="242" t="s">
        <v>676</v>
      </c>
      <c r="E114" s="242" t="s">
        <v>2075</v>
      </c>
      <c r="F114" s="242" t="s">
        <v>1901</v>
      </c>
      <c r="G114" s="242" t="s">
        <v>2062</v>
      </c>
      <c r="H114" s="242" t="s">
        <v>2026</v>
      </c>
      <c r="I114" s="242" t="s">
        <v>1901</v>
      </c>
      <c r="J114" s="243">
        <v>-252.24</v>
      </c>
      <c r="K114" s="243">
        <v>9618.39</v>
      </c>
      <c r="L114" s="245">
        <f t="shared" si="4"/>
        <v>-252.24</v>
      </c>
    </row>
    <row r="115" spans="1:13" outlineLevel="3" x14ac:dyDescent="0.25">
      <c r="B115" s="242" t="s">
        <v>2022</v>
      </c>
      <c r="C115" s="242" t="s">
        <v>2076</v>
      </c>
      <c r="D115" s="242" t="s">
        <v>676</v>
      </c>
      <c r="E115" s="242" t="s">
        <v>2077</v>
      </c>
      <c r="F115" s="242" t="s">
        <v>1901</v>
      </c>
      <c r="G115" s="242" t="s">
        <v>2078</v>
      </c>
      <c r="H115" s="242" t="s">
        <v>2026</v>
      </c>
      <c r="I115" s="242" t="s">
        <v>1901</v>
      </c>
      <c r="J115" s="243">
        <v>252.24</v>
      </c>
      <c r="K115" s="243">
        <v>9870.6299999999992</v>
      </c>
      <c r="L115" s="245">
        <f t="shared" si="4"/>
        <v>252.24</v>
      </c>
    </row>
    <row r="116" spans="1:13" outlineLevel="3" x14ac:dyDescent="0.25">
      <c r="B116" s="242" t="s">
        <v>2022</v>
      </c>
      <c r="C116" s="242" t="s">
        <v>2076</v>
      </c>
      <c r="D116" s="242" t="s">
        <v>676</v>
      </c>
      <c r="E116" s="242" t="s">
        <v>2079</v>
      </c>
      <c r="F116" s="242" t="s">
        <v>1901</v>
      </c>
      <c r="G116" s="242" t="s">
        <v>2080</v>
      </c>
      <c r="H116" s="242" t="s">
        <v>2026</v>
      </c>
      <c r="I116" s="242" t="s">
        <v>1901</v>
      </c>
      <c r="J116" s="243">
        <v>31.69</v>
      </c>
      <c r="K116" s="243">
        <v>9902.32</v>
      </c>
      <c r="L116" s="245">
        <f t="shared" si="4"/>
        <v>31.69</v>
      </c>
    </row>
    <row r="117" spans="1:13" outlineLevel="3" x14ac:dyDescent="0.25">
      <c r="B117" s="242" t="s">
        <v>2022</v>
      </c>
      <c r="C117" s="242" t="s">
        <v>2076</v>
      </c>
      <c r="D117" s="242" t="s">
        <v>676</v>
      </c>
      <c r="E117" s="242" t="s">
        <v>2081</v>
      </c>
      <c r="F117" s="242" t="s">
        <v>1901</v>
      </c>
      <c r="G117" s="242" t="s">
        <v>2080</v>
      </c>
      <c r="H117" s="242" t="s">
        <v>2026</v>
      </c>
      <c r="I117" s="242" t="s">
        <v>1901</v>
      </c>
      <c r="J117" s="243">
        <v>-31.69</v>
      </c>
      <c r="K117" s="243">
        <v>9870.6299999999992</v>
      </c>
      <c r="L117" s="245">
        <f t="shared" si="4"/>
        <v>-31.69</v>
      </c>
    </row>
    <row r="118" spans="1:13" outlineLevel="3" x14ac:dyDescent="0.25">
      <c r="B118" s="242" t="s">
        <v>2022</v>
      </c>
      <c r="C118" s="242" t="s">
        <v>2076</v>
      </c>
      <c r="D118" s="242" t="s">
        <v>676</v>
      </c>
      <c r="E118" s="242" t="s">
        <v>2082</v>
      </c>
      <c r="F118" s="242" t="s">
        <v>1901</v>
      </c>
      <c r="G118" s="242" t="s">
        <v>2083</v>
      </c>
      <c r="H118" s="242" t="s">
        <v>2026</v>
      </c>
      <c r="I118" s="242" t="s">
        <v>1901</v>
      </c>
      <c r="J118" s="243">
        <v>-183.85</v>
      </c>
      <c r="K118" s="243">
        <v>9686.7800000000007</v>
      </c>
      <c r="L118" s="245">
        <f t="shared" si="4"/>
        <v>-183.85</v>
      </c>
    </row>
    <row r="119" spans="1:13" outlineLevel="3" x14ac:dyDescent="0.25">
      <c r="B119" s="242" t="s">
        <v>2022</v>
      </c>
      <c r="C119" s="242" t="s">
        <v>2084</v>
      </c>
      <c r="D119" s="242" t="s">
        <v>573</v>
      </c>
      <c r="E119" s="242" t="s">
        <v>1901</v>
      </c>
      <c r="F119" s="242" t="s">
        <v>1456</v>
      </c>
      <c r="G119" s="242" t="s">
        <v>1901</v>
      </c>
      <c r="H119" s="242" t="s">
        <v>2026</v>
      </c>
      <c r="I119" s="242" t="s">
        <v>585</v>
      </c>
      <c r="J119" s="243">
        <v>647.79</v>
      </c>
      <c r="K119" s="243">
        <v>10334.57</v>
      </c>
      <c r="L119" s="245">
        <f>J119</f>
        <v>647.79</v>
      </c>
      <c r="M119" s="245"/>
    </row>
    <row r="120" spans="1:13" outlineLevel="3" x14ac:dyDescent="0.25">
      <c r="B120" s="242" t="s">
        <v>2022</v>
      </c>
      <c r="C120" s="242" t="s">
        <v>2085</v>
      </c>
      <c r="D120" s="242" t="s">
        <v>573</v>
      </c>
      <c r="E120" s="242" t="s">
        <v>1901</v>
      </c>
      <c r="F120" s="242" t="s">
        <v>952</v>
      </c>
      <c r="G120" s="242" t="s">
        <v>2035</v>
      </c>
      <c r="H120" s="242" t="s">
        <v>2026</v>
      </c>
      <c r="I120" s="242" t="s">
        <v>739</v>
      </c>
      <c r="J120" s="243">
        <v>192.49</v>
      </c>
      <c r="K120" s="243">
        <v>10527.06</v>
      </c>
      <c r="M120" s="245">
        <f>J120</f>
        <v>192.49</v>
      </c>
    </row>
    <row r="121" spans="1:13" outlineLevel="3" x14ac:dyDescent="0.25">
      <c r="B121" s="242" t="s">
        <v>2022</v>
      </c>
      <c r="C121" s="242" t="s">
        <v>2018</v>
      </c>
      <c r="D121" s="242" t="s">
        <v>676</v>
      </c>
      <c r="E121" s="242" t="s">
        <v>2086</v>
      </c>
      <c r="F121" s="242" t="s">
        <v>1901</v>
      </c>
      <c r="G121" s="242" t="s">
        <v>2039</v>
      </c>
      <c r="H121" s="242" t="s">
        <v>2026</v>
      </c>
      <c r="I121" s="242" t="s">
        <v>1901</v>
      </c>
      <c r="J121" s="243">
        <v>74.16</v>
      </c>
      <c r="K121" s="243">
        <v>10601.22</v>
      </c>
      <c r="L121" s="245">
        <f>J121</f>
        <v>74.16</v>
      </c>
    </row>
    <row r="122" spans="1:13" outlineLevel="3" x14ac:dyDescent="0.25">
      <c r="B122" s="242" t="s">
        <v>2022</v>
      </c>
      <c r="C122" s="242" t="s">
        <v>2018</v>
      </c>
      <c r="D122" s="242" t="s">
        <v>676</v>
      </c>
      <c r="E122" s="242" t="s">
        <v>2086</v>
      </c>
      <c r="F122" s="242" t="s">
        <v>1901</v>
      </c>
      <c r="G122" s="242" t="s">
        <v>2040</v>
      </c>
      <c r="H122" s="242" t="s">
        <v>2026</v>
      </c>
      <c r="I122" s="242" t="s">
        <v>1901</v>
      </c>
      <c r="J122" s="243">
        <v>66.3</v>
      </c>
      <c r="K122" s="243">
        <v>10667.52</v>
      </c>
      <c r="L122" s="245">
        <f t="shared" ref="L122:L124" si="5">J122</f>
        <v>66.3</v>
      </c>
    </row>
    <row r="123" spans="1:13" outlineLevel="3" x14ac:dyDescent="0.25">
      <c r="B123" s="242" t="s">
        <v>2022</v>
      </c>
      <c r="C123" s="242" t="s">
        <v>2018</v>
      </c>
      <c r="D123" s="242" t="s">
        <v>676</v>
      </c>
      <c r="E123" s="242" t="s">
        <v>2086</v>
      </c>
      <c r="F123" s="242" t="s">
        <v>1901</v>
      </c>
      <c r="G123" s="242" t="s">
        <v>2041</v>
      </c>
      <c r="H123" s="242" t="s">
        <v>2026</v>
      </c>
      <c r="I123" s="242" t="s">
        <v>1901</v>
      </c>
      <c r="J123" s="243">
        <v>123.95</v>
      </c>
      <c r="K123" s="243">
        <v>10791.47</v>
      </c>
      <c r="L123" s="245">
        <f t="shared" si="5"/>
        <v>123.95</v>
      </c>
    </row>
    <row r="124" spans="1:13" outlineLevel="3" x14ac:dyDescent="0.25">
      <c r="B124" s="242" t="s">
        <v>2022</v>
      </c>
      <c r="C124" s="242" t="s">
        <v>2018</v>
      </c>
      <c r="D124" s="242" t="s">
        <v>676</v>
      </c>
      <c r="E124" s="242" t="s">
        <v>2087</v>
      </c>
      <c r="F124" s="242" t="s">
        <v>1901</v>
      </c>
      <c r="G124" s="242" t="s">
        <v>2073</v>
      </c>
      <c r="H124" s="242" t="s">
        <v>2026</v>
      </c>
      <c r="I124" s="242" t="s">
        <v>1901</v>
      </c>
      <c r="J124" s="243">
        <v>2685.38</v>
      </c>
      <c r="K124" s="243">
        <v>13476.85</v>
      </c>
      <c r="L124" s="245">
        <f t="shared" si="5"/>
        <v>2685.38</v>
      </c>
    </row>
    <row r="125" spans="1:13" outlineLevel="2" x14ac:dyDescent="0.25">
      <c r="A125" s="241" t="s">
        <v>2088</v>
      </c>
      <c r="J125" s="244">
        <v>13476.85</v>
      </c>
      <c r="L125" s="245">
        <f>SUM(L78:L124)</f>
        <v>8712.2999999999993</v>
      </c>
      <c r="M125" s="245">
        <f>SUM(M78:M124)</f>
        <v>4764.55</v>
      </c>
    </row>
    <row r="126" spans="1:13" outlineLevel="2" x14ac:dyDescent="0.25"/>
    <row r="127" spans="1:13" outlineLevel="2" x14ac:dyDescent="0.25">
      <c r="A127" s="241" t="s">
        <v>2089</v>
      </c>
    </row>
    <row r="128" spans="1:13" outlineLevel="3" x14ac:dyDescent="0.25">
      <c r="B128" s="242" t="s">
        <v>2089</v>
      </c>
      <c r="C128" s="242" t="s">
        <v>2090</v>
      </c>
      <c r="D128" s="242" t="s">
        <v>573</v>
      </c>
      <c r="E128" s="242" t="s">
        <v>1901</v>
      </c>
      <c r="F128" s="242" t="s">
        <v>1901</v>
      </c>
      <c r="G128" s="242" t="s">
        <v>2091</v>
      </c>
      <c r="H128" s="242" t="s">
        <v>2092</v>
      </c>
      <c r="I128" s="242" t="s">
        <v>585</v>
      </c>
      <c r="J128" s="243">
        <v>26.17</v>
      </c>
      <c r="K128" s="243">
        <v>26.17</v>
      </c>
    </row>
    <row r="129" spans="1:11" outlineLevel="3" x14ac:dyDescent="0.25">
      <c r="B129" s="242" t="s">
        <v>2089</v>
      </c>
      <c r="C129" s="242" t="s">
        <v>1917</v>
      </c>
      <c r="D129" s="242" t="s">
        <v>573</v>
      </c>
      <c r="E129" s="242" t="s">
        <v>1901</v>
      </c>
      <c r="F129" s="242" t="s">
        <v>2093</v>
      </c>
      <c r="G129" s="242" t="s">
        <v>2094</v>
      </c>
      <c r="H129" s="242" t="s">
        <v>2092</v>
      </c>
      <c r="I129" s="242" t="s">
        <v>585</v>
      </c>
      <c r="J129" s="243">
        <v>26.25</v>
      </c>
      <c r="K129" s="243">
        <v>52.42</v>
      </c>
    </row>
    <row r="130" spans="1:11" outlineLevel="2" x14ac:dyDescent="0.25">
      <c r="A130" s="241" t="s">
        <v>2095</v>
      </c>
      <c r="J130" s="244">
        <v>52.42</v>
      </c>
    </row>
    <row r="131" spans="1:11" outlineLevel="2" x14ac:dyDescent="0.25"/>
    <row r="132" spans="1:11" outlineLevel="2" x14ac:dyDescent="0.25">
      <c r="A132" s="241" t="s">
        <v>2096</v>
      </c>
    </row>
    <row r="133" spans="1:11" outlineLevel="3" x14ac:dyDescent="0.25">
      <c r="B133" s="242" t="s">
        <v>2096</v>
      </c>
      <c r="C133" s="242" t="s">
        <v>2097</v>
      </c>
      <c r="D133" s="242" t="s">
        <v>638</v>
      </c>
      <c r="E133" s="242" t="s">
        <v>2098</v>
      </c>
      <c r="F133" s="242" t="s">
        <v>622</v>
      </c>
      <c r="G133" s="242" t="s">
        <v>2099</v>
      </c>
      <c r="H133" s="242" t="s">
        <v>2100</v>
      </c>
      <c r="I133" s="242" t="s">
        <v>2101</v>
      </c>
      <c r="J133" s="243">
        <v>300</v>
      </c>
      <c r="K133" s="243">
        <v>300</v>
      </c>
    </row>
    <row r="134" spans="1:11" outlineLevel="3" x14ac:dyDescent="0.25">
      <c r="B134" s="242" t="s">
        <v>2096</v>
      </c>
      <c r="C134" s="242" t="s">
        <v>2097</v>
      </c>
      <c r="D134" s="242" t="s">
        <v>638</v>
      </c>
      <c r="E134" s="242" t="s">
        <v>2102</v>
      </c>
      <c r="F134" s="242" t="s">
        <v>622</v>
      </c>
      <c r="G134" s="242" t="s">
        <v>2103</v>
      </c>
      <c r="H134" s="242" t="s">
        <v>2100</v>
      </c>
      <c r="I134" s="242" t="s">
        <v>2101</v>
      </c>
      <c r="J134" s="243">
        <v>150</v>
      </c>
      <c r="K134" s="243">
        <v>450</v>
      </c>
    </row>
    <row r="135" spans="1:11" outlineLevel="3" x14ac:dyDescent="0.25">
      <c r="B135" s="242" t="s">
        <v>2096</v>
      </c>
      <c r="C135" s="242" t="s">
        <v>2097</v>
      </c>
      <c r="D135" s="242" t="s">
        <v>638</v>
      </c>
      <c r="E135" s="242" t="s">
        <v>2104</v>
      </c>
      <c r="F135" s="242" t="s">
        <v>622</v>
      </c>
      <c r="G135" s="242" t="s">
        <v>2105</v>
      </c>
      <c r="H135" s="242" t="s">
        <v>2100</v>
      </c>
      <c r="I135" s="242" t="s">
        <v>2101</v>
      </c>
      <c r="J135" s="243">
        <v>150</v>
      </c>
      <c r="K135" s="243">
        <v>600</v>
      </c>
    </row>
    <row r="136" spans="1:11" outlineLevel="3" x14ac:dyDescent="0.25">
      <c r="B136" s="242" t="s">
        <v>2096</v>
      </c>
      <c r="C136" s="242" t="s">
        <v>1919</v>
      </c>
      <c r="D136" s="242" t="s">
        <v>638</v>
      </c>
      <c r="E136" s="242" t="s">
        <v>2106</v>
      </c>
      <c r="F136" s="242" t="s">
        <v>622</v>
      </c>
      <c r="G136" s="242" t="s">
        <v>2107</v>
      </c>
      <c r="H136" s="242" t="s">
        <v>2100</v>
      </c>
      <c r="I136" s="242" t="s">
        <v>2101</v>
      </c>
      <c r="J136" s="243">
        <v>27.46</v>
      </c>
      <c r="K136" s="243">
        <v>627.46</v>
      </c>
    </row>
    <row r="137" spans="1:11" outlineLevel="3" x14ac:dyDescent="0.25">
      <c r="B137" s="242" t="s">
        <v>2096</v>
      </c>
      <c r="C137" s="242" t="s">
        <v>2076</v>
      </c>
      <c r="D137" s="242" t="s">
        <v>638</v>
      </c>
      <c r="E137" s="242" t="s">
        <v>2108</v>
      </c>
      <c r="F137" s="242" t="s">
        <v>622</v>
      </c>
      <c r="G137" s="242" t="s">
        <v>2109</v>
      </c>
      <c r="H137" s="242" t="s">
        <v>2100</v>
      </c>
      <c r="I137" s="242" t="s">
        <v>2101</v>
      </c>
      <c r="J137" s="243">
        <v>169.56</v>
      </c>
      <c r="K137" s="243">
        <v>797.02</v>
      </c>
    </row>
    <row r="138" spans="1:11" outlineLevel="3" x14ac:dyDescent="0.25">
      <c r="B138" s="242" t="s">
        <v>2096</v>
      </c>
      <c r="C138" s="242" t="s">
        <v>2009</v>
      </c>
      <c r="D138" s="242" t="s">
        <v>638</v>
      </c>
      <c r="E138" s="242" t="s">
        <v>2110</v>
      </c>
      <c r="F138" s="242" t="s">
        <v>622</v>
      </c>
      <c r="G138" s="242" t="s">
        <v>2111</v>
      </c>
      <c r="H138" s="242" t="s">
        <v>2100</v>
      </c>
      <c r="I138" s="242" t="s">
        <v>2101</v>
      </c>
      <c r="J138" s="243">
        <v>765</v>
      </c>
      <c r="K138" s="243">
        <v>1562.02</v>
      </c>
    </row>
    <row r="139" spans="1:11" outlineLevel="3" x14ac:dyDescent="0.25">
      <c r="B139" s="242" t="s">
        <v>2096</v>
      </c>
      <c r="C139" s="242" t="s">
        <v>2112</v>
      </c>
      <c r="D139" s="242" t="s">
        <v>638</v>
      </c>
      <c r="E139" s="242" t="s">
        <v>2113</v>
      </c>
      <c r="F139" s="242" t="s">
        <v>622</v>
      </c>
      <c r="G139" s="242" t="s">
        <v>2114</v>
      </c>
      <c r="H139" s="242" t="s">
        <v>2100</v>
      </c>
      <c r="I139" s="242" t="s">
        <v>2101</v>
      </c>
      <c r="J139" s="243">
        <v>150</v>
      </c>
      <c r="K139" s="243">
        <v>1712.02</v>
      </c>
    </row>
    <row r="140" spans="1:11" outlineLevel="3" x14ac:dyDescent="0.25">
      <c r="B140" s="242" t="s">
        <v>2096</v>
      </c>
      <c r="C140" s="242" t="s">
        <v>2112</v>
      </c>
      <c r="D140" s="242" t="s">
        <v>638</v>
      </c>
      <c r="E140" s="242" t="s">
        <v>2115</v>
      </c>
      <c r="F140" s="242" t="s">
        <v>622</v>
      </c>
      <c r="G140" s="242" t="s">
        <v>2116</v>
      </c>
      <c r="H140" s="242" t="s">
        <v>2100</v>
      </c>
      <c r="I140" s="242" t="s">
        <v>2101</v>
      </c>
      <c r="J140" s="243">
        <v>150</v>
      </c>
      <c r="K140" s="243">
        <v>1862.02</v>
      </c>
    </row>
    <row r="141" spans="1:11" outlineLevel="3" x14ac:dyDescent="0.25">
      <c r="B141" s="242" t="s">
        <v>2096</v>
      </c>
      <c r="C141" s="242" t="s">
        <v>2084</v>
      </c>
      <c r="D141" s="242" t="s">
        <v>638</v>
      </c>
      <c r="E141" s="242" t="s">
        <v>2117</v>
      </c>
      <c r="F141" s="242" t="s">
        <v>622</v>
      </c>
      <c r="G141" s="242" t="s">
        <v>2118</v>
      </c>
      <c r="H141" s="242" t="s">
        <v>2100</v>
      </c>
      <c r="I141" s="242" t="s">
        <v>2101</v>
      </c>
      <c r="J141" s="243">
        <v>916.56</v>
      </c>
      <c r="K141" s="243">
        <v>2778.58</v>
      </c>
    </row>
    <row r="142" spans="1:11" outlineLevel="2" x14ac:dyDescent="0.25">
      <c r="A142" s="241" t="s">
        <v>2119</v>
      </c>
      <c r="J142" s="244">
        <v>2778.58</v>
      </c>
    </row>
    <row r="143" spans="1:11" outlineLevel="2" x14ac:dyDescent="0.25"/>
    <row r="144" spans="1:11" outlineLevel="1" x14ac:dyDescent="0.25">
      <c r="A144" s="240" t="s">
        <v>2120</v>
      </c>
      <c r="J144" s="244">
        <v>22519.55</v>
      </c>
    </row>
    <row r="145" spans="1:10" outlineLevel="1" x14ac:dyDescent="0.25"/>
    <row r="146" spans="1:10" x14ac:dyDescent="0.25">
      <c r="A146" s="239" t="s">
        <v>2121</v>
      </c>
      <c r="J146" s="244">
        <v>22519.55</v>
      </c>
    </row>
    <row r="148" spans="1:10" x14ac:dyDescent="0.25">
      <c r="A148" s="270" t="s">
        <v>2122</v>
      </c>
      <c r="B148" s="268"/>
      <c r="C148" s="268"/>
      <c r="D148" s="268"/>
      <c r="E148" s="268"/>
      <c r="F148" s="268"/>
      <c r="G148" s="268"/>
      <c r="H148" s="268"/>
      <c r="I148" s="268"/>
      <c r="J148" s="268"/>
    </row>
  </sheetData>
  <mergeCells count="4">
    <mergeCell ref="A1:J1"/>
    <mergeCell ref="A2:J2"/>
    <mergeCell ref="A3:J3"/>
    <mergeCell ref="A148:J14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34E9-013F-4CCC-91CB-89D54E63E57A}">
  <sheetPr>
    <pageSetUpPr fitToPage="1"/>
  </sheetPr>
  <dimension ref="A1:AI54"/>
  <sheetViews>
    <sheetView zoomScale="94" workbookViewId="0">
      <pane xSplit="10" ySplit="4" topLeftCell="O5" activePane="bottomRight" state="frozen"/>
      <selection pane="topRight" activeCell="K1" sqref="K1"/>
      <selection pane="bottomLeft" activeCell="A5" sqref="A5"/>
      <selection pane="bottomRight" activeCell="Z1" sqref="Z1:AD1048576"/>
    </sheetView>
  </sheetViews>
  <sheetFormatPr defaultColWidth="8.85546875" defaultRowHeight="15" x14ac:dyDescent="0.25"/>
  <cols>
    <col min="1" max="1" width="3.140625" customWidth="1"/>
    <col min="2" max="2" width="24.7109375" customWidth="1"/>
    <col min="3" max="3" width="10.7109375" hidden="1" customWidth="1"/>
    <col min="4" max="4" width="6" hidden="1" customWidth="1"/>
    <col min="5" max="5" width="10.7109375" hidden="1" customWidth="1"/>
    <col min="6" max="6" width="6.140625" hidden="1" customWidth="1"/>
    <col min="7" max="7" width="10.7109375" hidden="1" customWidth="1"/>
    <col min="8" max="8" width="6.140625" hidden="1" customWidth="1"/>
    <col min="9" max="11" width="10.7109375" hidden="1" customWidth="1"/>
    <col min="12" max="12" width="6.140625" hidden="1" customWidth="1"/>
    <col min="13" max="13" width="10.7109375" hidden="1" customWidth="1"/>
    <col min="14" max="14" width="6.140625" hidden="1" customWidth="1"/>
    <col min="15" max="20" width="10.7109375" customWidth="1"/>
    <col min="21" max="21" width="10.7109375" style="104" customWidth="1"/>
    <col min="22" max="24" width="10.7109375" style="108" customWidth="1"/>
    <col min="25" max="30" width="10.7109375" style="108" hidden="1" customWidth="1"/>
    <col min="31" max="31" width="9.140625" style="108" hidden="1" customWidth="1"/>
    <col min="32" max="32" width="2" style="147" hidden="1" customWidth="1"/>
    <col min="33" max="34" width="10.7109375" hidden="1" customWidth="1"/>
    <col min="35" max="35" width="10.85546875" hidden="1" customWidth="1"/>
  </cols>
  <sheetData>
    <row r="1" spans="1:35" x14ac:dyDescent="0.25">
      <c r="A1" t="s">
        <v>146</v>
      </c>
    </row>
    <row r="2" spans="1:35" x14ac:dyDescent="0.25">
      <c r="A2" t="s">
        <v>260</v>
      </c>
      <c r="O2" s="11"/>
      <c r="P2" s="12"/>
      <c r="Q2" s="12"/>
      <c r="R2" s="12"/>
      <c r="S2" s="54"/>
      <c r="Z2" s="153"/>
    </row>
    <row r="3" spans="1:35" x14ac:dyDescent="0.25">
      <c r="C3" s="253">
        <v>2022</v>
      </c>
      <c r="D3" s="253"/>
      <c r="E3" s="253"/>
      <c r="F3" s="253"/>
      <c r="G3" s="253"/>
      <c r="H3" s="253"/>
      <c r="I3" s="253"/>
      <c r="J3" s="253"/>
      <c r="K3" s="253"/>
      <c r="L3" s="253"/>
      <c r="M3" s="253"/>
      <c r="N3" s="253"/>
      <c r="O3" s="261" t="s">
        <v>477</v>
      </c>
      <c r="P3" s="253"/>
      <c r="Q3" s="253"/>
      <c r="R3" s="253"/>
      <c r="S3" s="262"/>
      <c r="T3" s="261" t="s">
        <v>489</v>
      </c>
      <c r="U3" s="253"/>
      <c r="V3" s="253"/>
      <c r="W3" s="253"/>
      <c r="X3" s="253"/>
      <c r="Z3" s="271" t="s">
        <v>488</v>
      </c>
      <c r="AA3" s="272"/>
      <c r="AB3" s="272"/>
      <c r="AC3" s="272"/>
      <c r="AD3" s="272"/>
    </row>
    <row r="4" spans="1:35" s="33" customFormat="1" ht="30" x14ac:dyDescent="0.25">
      <c r="C4" s="34" t="s">
        <v>187</v>
      </c>
      <c r="D4" s="34"/>
      <c r="E4" s="34" t="s">
        <v>188</v>
      </c>
      <c r="F4" s="34"/>
      <c r="G4" s="34" t="s">
        <v>189</v>
      </c>
      <c r="H4" s="34"/>
      <c r="I4" s="34" t="s">
        <v>289</v>
      </c>
      <c r="J4" s="34" t="s">
        <v>286</v>
      </c>
      <c r="K4" s="34" t="s">
        <v>287</v>
      </c>
      <c r="L4" s="34"/>
      <c r="M4" s="34" t="s">
        <v>15</v>
      </c>
      <c r="N4" s="34"/>
      <c r="O4" s="55" t="s">
        <v>187</v>
      </c>
      <c r="P4" s="34" t="s">
        <v>188</v>
      </c>
      <c r="Q4" s="34" t="s">
        <v>189</v>
      </c>
      <c r="R4" s="34" t="s">
        <v>190</v>
      </c>
      <c r="S4" s="56">
        <v>2023</v>
      </c>
      <c r="T4" s="33" t="s">
        <v>463</v>
      </c>
      <c r="U4" s="120" t="s">
        <v>479</v>
      </c>
      <c r="V4" s="120" t="s">
        <v>189</v>
      </c>
      <c r="W4" s="120" t="s">
        <v>190</v>
      </c>
      <c r="X4" s="131" t="s">
        <v>471</v>
      </c>
      <c r="Y4" s="132" t="s">
        <v>468</v>
      </c>
      <c r="Z4" s="133" t="s">
        <v>187</v>
      </c>
      <c r="AA4" s="133" t="s">
        <v>188</v>
      </c>
      <c r="AB4" s="133" t="s">
        <v>189</v>
      </c>
      <c r="AC4" s="133" t="s">
        <v>190</v>
      </c>
      <c r="AD4" s="133" t="s">
        <v>471</v>
      </c>
      <c r="AE4" s="133" t="s">
        <v>478</v>
      </c>
      <c r="AF4" s="148"/>
      <c r="AG4" s="33" t="s">
        <v>480</v>
      </c>
      <c r="AH4" s="33" t="s">
        <v>481</v>
      </c>
      <c r="AI4" s="33" t="s">
        <v>482</v>
      </c>
    </row>
    <row r="5" spans="1:35" ht="20.100000000000001" customHeight="1" x14ac:dyDescent="0.25">
      <c r="A5" t="s">
        <v>258</v>
      </c>
      <c r="C5" s="8"/>
      <c r="D5" s="8"/>
      <c r="E5" s="8"/>
      <c r="F5" s="8"/>
      <c r="G5" s="8"/>
      <c r="H5" s="8"/>
      <c r="I5" s="8"/>
      <c r="J5" s="8"/>
      <c r="K5" s="8"/>
      <c r="L5" s="8"/>
      <c r="M5" s="8"/>
      <c r="N5" s="8"/>
      <c r="O5" s="57"/>
      <c r="S5" s="58"/>
      <c r="U5" s="108"/>
      <c r="X5" s="134"/>
    </row>
    <row r="6" spans="1:35" ht="20.100000000000001" customHeight="1" x14ac:dyDescent="0.25">
      <c r="B6" t="s">
        <v>265</v>
      </c>
      <c r="C6" s="8">
        <v>48044</v>
      </c>
      <c r="D6" s="8"/>
      <c r="E6" s="8">
        <v>36502</v>
      </c>
      <c r="F6" s="8"/>
      <c r="G6" s="8">
        <v>16487</v>
      </c>
      <c r="H6" s="8"/>
      <c r="I6" s="8">
        <v>32732</v>
      </c>
      <c r="J6" s="8"/>
      <c r="K6" s="8">
        <f>SUM(I6:J6)</f>
        <v>32732</v>
      </c>
      <c r="L6" s="8"/>
      <c r="M6" s="8">
        <f>C6+E6+G6+K6</f>
        <v>133765</v>
      </c>
      <c r="N6" s="8"/>
      <c r="O6" s="57">
        <f>0.2*$S6</f>
        <v>29428.300000000003</v>
      </c>
      <c r="P6" s="8">
        <f>0.22*$S6</f>
        <v>32371.13</v>
      </c>
      <c r="Q6" s="8">
        <f>0.23*$S6</f>
        <v>33842.544999999998</v>
      </c>
      <c r="R6" s="8">
        <f>0.35*$S6</f>
        <v>51499.524999999994</v>
      </c>
      <c r="S6" s="59">
        <f>M6*1.1</f>
        <v>147141.5</v>
      </c>
      <c r="T6" s="8">
        <v>45561</v>
      </c>
      <c r="U6" s="121">
        <v>34704</v>
      </c>
      <c r="V6" s="121">
        <v>35000</v>
      </c>
      <c r="W6" s="121">
        <v>45000</v>
      </c>
      <c r="X6" s="135">
        <f>SUM(T6:W6)</f>
        <v>160265</v>
      </c>
      <c r="Y6" s="108" t="s">
        <v>454</v>
      </c>
      <c r="Z6" s="8"/>
      <c r="AA6" s="121"/>
      <c r="AB6" s="121"/>
      <c r="AC6" s="121"/>
      <c r="AD6" s="135">
        <f>SUM(Z6:AC6)</f>
        <v>0</v>
      </c>
      <c r="AE6" s="121">
        <v>30816</v>
      </c>
      <c r="AG6" s="8">
        <f t="shared" ref="AG6:AG21" si="0">C6+E6</f>
        <v>84546</v>
      </c>
      <c r="AH6" s="8">
        <f t="shared" ref="AH6:AH21" si="1">T6+U6</f>
        <v>80265</v>
      </c>
      <c r="AI6" s="8">
        <f t="shared" ref="AI6:AI21" si="2">O6+P6</f>
        <v>61799.430000000008</v>
      </c>
    </row>
    <row r="7" spans="1:35" ht="20.100000000000001" customHeight="1" x14ac:dyDescent="0.25">
      <c r="B7" t="s">
        <v>292</v>
      </c>
      <c r="C7" s="8"/>
      <c r="D7" s="8"/>
      <c r="E7" s="8"/>
      <c r="F7" s="8"/>
      <c r="G7" s="8"/>
      <c r="H7" s="8"/>
      <c r="I7" s="8"/>
      <c r="J7" s="8"/>
      <c r="K7" s="8"/>
      <c r="L7" s="8"/>
      <c r="M7" s="8"/>
      <c r="N7" s="8"/>
      <c r="O7" s="57">
        <v>5000</v>
      </c>
      <c r="P7" s="8">
        <v>7500</v>
      </c>
      <c r="Q7" s="8">
        <v>7500</v>
      </c>
      <c r="R7" s="8">
        <v>10000</v>
      </c>
      <c r="S7" s="59">
        <f t="shared" ref="S7" si="3">SUM(O7:R7)</f>
        <v>30000</v>
      </c>
      <c r="T7" s="8"/>
      <c r="U7" s="121"/>
      <c r="V7" s="121">
        <v>2500</v>
      </c>
      <c r="W7" s="121">
        <v>5000</v>
      </c>
      <c r="X7" s="135">
        <f t="shared" ref="X7:X21" si="4">SUM(T7:W7)</f>
        <v>7500</v>
      </c>
      <c r="Y7" s="108" t="s">
        <v>454</v>
      </c>
      <c r="Z7" s="8"/>
      <c r="AA7" s="121"/>
      <c r="AB7" s="121"/>
      <c r="AC7" s="121"/>
      <c r="AD7" s="135">
        <f t="shared" ref="AD7:AD21" si="5">SUM(Z7:AC7)</f>
        <v>0</v>
      </c>
      <c r="AE7" s="121">
        <v>2500</v>
      </c>
      <c r="AG7" s="8">
        <f t="shared" si="0"/>
        <v>0</v>
      </c>
      <c r="AH7" s="8">
        <f t="shared" si="1"/>
        <v>0</v>
      </c>
      <c r="AI7" s="8">
        <f t="shared" si="2"/>
        <v>12500</v>
      </c>
    </row>
    <row r="8" spans="1:35" ht="20.100000000000001" customHeight="1" x14ac:dyDescent="0.25">
      <c r="B8" t="s">
        <v>266</v>
      </c>
      <c r="C8" s="8">
        <v>54013</v>
      </c>
      <c r="D8" s="8"/>
      <c r="E8" s="8">
        <v>46386</v>
      </c>
      <c r="F8" s="8"/>
      <c r="G8" s="8">
        <v>29570</v>
      </c>
      <c r="H8" s="8"/>
      <c r="I8" s="8">
        <v>46297</v>
      </c>
      <c r="J8" s="8"/>
      <c r="K8" s="8">
        <f t="shared" ref="K8:K21" si="6">SUM(I8:J8)</f>
        <v>46297</v>
      </c>
      <c r="L8" s="8"/>
      <c r="M8" s="8">
        <f t="shared" ref="M8:M16" si="7">C8+E8+G8+K8</f>
        <v>176266</v>
      </c>
      <c r="N8" s="8"/>
      <c r="O8" s="57">
        <f>0.2*$S8</f>
        <v>38778.520000000004</v>
      </c>
      <c r="P8" s="8">
        <f>0.22*$S8</f>
        <v>42656.372000000003</v>
      </c>
      <c r="Q8" s="8">
        <f>0.23*$S8</f>
        <v>44595.298000000003</v>
      </c>
      <c r="R8" s="8">
        <f>0.35*$S8</f>
        <v>67862.41</v>
      </c>
      <c r="S8" s="59">
        <f>M8*1.1</f>
        <v>193892.6</v>
      </c>
      <c r="T8" s="8">
        <v>85717</v>
      </c>
      <c r="U8" s="121">
        <v>60107</v>
      </c>
      <c r="V8" s="121">
        <v>108000</v>
      </c>
      <c r="W8" s="121">
        <v>108000</v>
      </c>
      <c r="X8" s="135">
        <f t="shared" si="4"/>
        <v>361824</v>
      </c>
      <c r="Y8" s="108" t="s">
        <v>455</v>
      </c>
      <c r="Z8" s="8"/>
      <c r="AA8" s="121"/>
      <c r="AB8" s="121"/>
      <c r="AC8" s="121"/>
      <c r="AD8" s="135">
        <f t="shared" si="5"/>
        <v>0</v>
      </c>
      <c r="AE8" s="121">
        <v>62491</v>
      </c>
      <c r="AG8" s="8">
        <f t="shared" si="0"/>
        <v>100399</v>
      </c>
      <c r="AH8" s="8">
        <f t="shared" si="1"/>
        <v>145824</v>
      </c>
      <c r="AI8" s="8">
        <f t="shared" si="2"/>
        <v>81434.892000000007</v>
      </c>
    </row>
    <row r="9" spans="1:35" ht="20.100000000000001" customHeight="1" x14ac:dyDescent="0.25">
      <c r="B9" t="s">
        <v>486</v>
      </c>
      <c r="C9" s="8"/>
      <c r="D9" s="8"/>
      <c r="E9" s="8"/>
      <c r="F9" s="8"/>
      <c r="G9" s="8"/>
      <c r="H9" s="8"/>
      <c r="I9" s="8"/>
      <c r="J9" s="8"/>
      <c r="K9" s="8"/>
      <c r="L9" s="8"/>
      <c r="M9" s="8"/>
      <c r="N9" s="8"/>
      <c r="O9" s="57"/>
      <c r="P9" s="8">
        <v>20000</v>
      </c>
      <c r="Q9" s="8">
        <v>15000</v>
      </c>
      <c r="R9" s="8">
        <v>20000</v>
      </c>
      <c r="S9" s="59">
        <f>SUM(O9:R9)</f>
        <v>55000</v>
      </c>
      <c r="T9" s="8"/>
      <c r="U9" s="121"/>
      <c r="V9" s="121"/>
      <c r="W9" s="121"/>
      <c r="X9" s="135">
        <f t="shared" si="4"/>
        <v>0</v>
      </c>
      <c r="Y9" s="108" t="s">
        <v>455</v>
      </c>
      <c r="Z9" s="8"/>
      <c r="AA9" s="121"/>
      <c r="AB9" s="121"/>
      <c r="AC9" s="121"/>
      <c r="AD9" s="135">
        <f t="shared" si="5"/>
        <v>0</v>
      </c>
      <c r="AE9" s="121">
        <f>V9</f>
        <v>0</v>
      </c>
      <c r="AG9" s="8">
        <f t="shared" si="0"/>
        <v>0</v>
      </c>
      <c r="AH9" s="8">
        <f t="shared" si="1"/>
        <v>0</v>
      </c>
      <c r="AI9" s="8">
        <f t="shared" si="2"/>
        <v>20000</v>
      </c>
    </row>
    <row r="10" spans="1:35" ht="20.100000000000001" customHeight="1" x14ac:dyDescent="0.25">
      <c r="B10" t="s">
        <v>472</v>
      </c>
      <c r="C10" s="8"/>
      <c r="D10" s="8"/>
      <c r="E10" s="8"/>
      <c r="F10" s="8"/>
      <c r="G10" s="8"/>
      <c r="H10" s="8"/>
      <c r="I10" s="8"/>
      <c r="J10" s="8"/>
      <c r="K10" s="8"/>
      <c r="L10" s="8"/>
      <c r="M10" s="8"/>
      <c r="N10" s="8"/>
      <c r="O10" s="57"/>
      <c r="P10" s="8"/>
      <c r="Q10" s="8"/>
      <c r="R10" s="8"/>
      <c r="S10" s="59"/>
      <c r="T10" s="8"/>
      <c r="U10" s="121"/>
      <c r="V10" s="121"/>
      <c r="W10" s="121"/>
      <c r="X10" s="135">
        <f t="shared" si="4"/>
        <v>0</v>
      </c>
      <c r="Z10" s="8"/>
      <c r="AA10" s="121"/>
      <c r="AB10" s="121"/>
      <c r="AC10" s="121"/>
      <c r="AD10" s="135">
        <f t="shared" si="5"/>
        <v>0</v>
      </c>
      <c r="AE10" s="121"/>
      <c r="AG10" s="8">
        <f t="shared" si="0"/>
        <v>0</v>
      </c>
      <c r="AH10" s="8">
        <f t="shared" si="1"/>
        <v>0</v>
      </c>
      <c r="AI10" s="8">
        <f t="shared" si="2"/>
        <v>0</v>
      </c>
    </row>
    <row r="11" spans="1:35" ht="20.100000000000001" customHeight="1" x14ac:dyDescent="0.25">
      <c r="B11" t="s">
        <v>473</v>
      </c>
      <c r="C11" s="8"/>
      <c r="D11" s="8"/>
      <c r="E11" s="8"/>
      <c r="F11" s="8"/>
      <c r="G11" s="8"/>
      <c r="H11" s="8"/>
      <c r="I11" s="8"/>
      <c r="J11" s="8"/>
      <c r="K11" s="8"/>
      <c r="L11" s="8"/>
      <c r="M11" s="8"/>
      <c r="N11" s="8"/>
      <c r="O11" s="57"/>
      <c r="P11" s="8"/>
      <c r="Q11" s="8"/>
      <c r="R11" s="8"/>
      <c r="S11" s="59"/>
      <c r="T11" s="8"/>
      <c r="U11" s="121"/>
      <c r="V11" s="121"/>
      <c r="W11" s="121">
        <v>85000</v>
      </c>
      <c r="X11" s="135">
        <f t="shared" si="4"/>
        <v>85000</v>
      </c>
      <c r="Z11" s="8"/>
      <c r="AA11" s="121"/>
      <c r="AB11" s="121"/>
      <c r="AC11" s="121"/>
      <c r="AD11" s="135">
        <f t="shared" si="5"/>
        <v>0</v>
      </c>
      <c r="AE11" s="121"/>
      <c r="AG11" s="8">
        <f t="shared" si="0"/>
        <v>0</v>
      </c>
      <c r="AH11" s="8">
        <f t="shared" si="1"/>
        <v>0</v>
      </c>
      <c r="AI11" s="8">
        <f t="shared" si="2"/>
        <v>0</v>
      </c>
    </row>
    <row r="12" spans="1:35" ht="20.100000000000001" customHeight="1" x14ac:dyDescent="0.25">
      <c r="B12" t="s">
        <v>293</v>
      </c>
      <c r="C12" s="8"/>
      <c r="D12" s="8"/>
      <c r="E12" s="8"/>
      <c r="F12" s="8"/>
      <c r="G12" s="8"/>
      <c r="H12" s="8"/>
      <c r="I12" s="8"/>
      <c r="J12" s="8"/>
      <c r="K12" s="8"/>
      <c r="L12" s="8"/>
      <c r="M12" s="8"/>
      <c r="N12" s="8"/>
      <c r="O12" s="57"/>
      <c r="P12" s="8">
        <v>20000</v>
      </c>
      <c r="Q12" s="8">
        <v>15000</v>
      </c>
      <c r="R12" s="8">
        <v>20000</v>
      </c>
      <c r="S12" s="59">
        <f>SUM(O12:R12)</f>
        <v>55000</v>
      </c>
      <c r="T12" s="8"/>
      <c r="U12" s="121"/>
      <c r="V12" s="121"/>
      <c r="W12" s="121"/>
      <c r="X12" s="135">
        <f t="shared" si="4"/>
        <v>0</v>
      </c>
      <c r="Z12" s="8"/>
      <c r="AA12" s="121"/>
      <c r="AB12" s="121"/>
      <c r="AC12" s="121"/>
      <c r="AD12" s="135">
        <f t="shared" si="5"/>
        <v>0</v>
      </c>
      <c r="AE12" s="121"/>
      <c r="AG12" s="8">
        <f t="shared" si="0"/>
        <v>0</v>
      </c>
      <c r="AH12" s="8">
        <f t="shared" si="1"/>
        <v>0</v>
      </c>
      <c r="AI12" s="8">
        <f t="shared" si="2"/>
        <v>20000</v>
      </c>
    </row>
    <row r="13" spans="1:35" ht="20.100000000000001" customHeight="1" x14ac:dyDescent="0.25">
      <c r="B13" t="s">
        <v>487</v>
      </c>
      <c r="C13" s="8"/>
      <c r="D13" s="8"/>
      <c r="E13" s="8"/>
      <c r="F13" s="8"/>
      <c r="G13" s="8">
        <v>1315</v>
      </c>
      <c r="H13" s="8"/>
      <c r="I13" s="8">
        <v>5404</v>
      </c>
      <c r="J13" s="8"/>
      <c r="K13" s="8">
        <f t="shared" si="6"/>
        <v>5404</v>
      </c>
      <c r="L13" s="8"/>
      <c r="M13" s="8">
        <f t="shared" si="7"/>
        <v>6719</v>
      </c>
      <c r="N13" s="8"/>
      <c r="O13" s="57">
        <f>0.2*$S13</f>
        <v>1478.1800000000003</v>
      </c>
      <c r="P13" s="8">
        <f>0.22*$S13</f>
        <v>1625.998</v>
      </c>
      <c r="Q13" s="8">
        <f>0.23*$S13</f>
        <v>1699.9070000000002</v>
      </c>
      <c r="R13" s="8">
        <f>0.35*$S13</f>
        <v>2586.8150000000001</v>
      </c>
      <c r="S13" s="59">
        <f>M13*1.1</f>
        <v>7390.9000000000005</v>
      </c>
      <c r="T13" s="8">
        <v>15798</v>
      </c>
      <c r="U13" s="121">
        <v>0</v>
      </c>
      <c r="V13" s="121">
        <v>2500</v>
      </c>
      <c r="W13" s="121">
        <v>2500</v>
      </c>
      <c r="X13" s="135">
        <f t="shared" si="4"/>
        <v>20798</v>
      </c>
      <c r="Z13" s="8"/>
      <c r="AA13" s="121"/>
      <c r="AB13" s="121"/>
      <c r="AC13" s="121"/>
      <c r="AD13" s="135">
        <f t="shared" si="5"/>
        <v>0</v>
      </c>
      <c r="AE13" s="121">
        <v>7500</v>
      </c>
      <c r="AG13" s="8">
        <f t="shared" si="0"/>
        <v>0</v>
      </c>
      <c r="AH13" s="8">
        <f t="shared" si="1"/>
        <v>15798</v>
      </c>
      <c r="AI13" s="8">
        <f t="shared" si="2"/>
        <v>3104.1780000000003</v>
      </c>
    </row>
    <row r="14" spans="1:35" ht="20.100000000000001" customHeight="1" x14ac:dyDescent="0.25">
      <c r="B14" t="s">
        <v>294</v>
      </c>
      <c r="C14" s="8"/>
      <c r="D14" s="8"/>
      <c r="E14" s="8"/>
      <c r="F14" s="8"/>
      <c r="G14" s="8"/>
      <c r="H14" s="8"/>
      <c r="I14" s="8"/>
      <c r="J14" s="8"/>
      <c r="K14" s="8"/>
      <c r="L14" s="8"/>
      <c r="M14" s="8"/>
      <c r="N14" s="8"/>
      <c r="O14" s="57"/>
      <c r="P14" s="8">
        <v>20000</v>
      </c>
      <c r="Q14" s="8">
        <v>25000</v>
      </c>
      <c r="R14" s="8">
        <v>40000</v>
      </c>
      <c r="S14" s="59">
        <f>SUM(O14:R14)</f>
        <v>85000</v>
      </c>
      <c r="T14" s="8"/>
      <c r="U14" s="121">
        <v>0</v>
      </c>
      <c r="V14" s="121"/>
      <c r="W14" s="121"/>
      <c r="X14" s="135">
        <f t="shared" si="4"/>
        <v>0</v>
      </c>
      <c r="Y14" s="108" t="s">
        <v>456</v>
      </c>
      <c r="Z14" s="8"/>
      <c r="AA14" s="121"/>
      <c r="AB14" s="121"/>
      <c r="AC14" s="121"/>
      <c r="AD14" s="135">
        <f t="shared" si="5"/>
        <v>0</v>
      </c>
      <c r="AE14" s="121">
        <f>V14</f>
        <v>0</v>
      </c>
      <c r="AG14" s="8">
        <f t="shared" si="0"/>
        <v>0</v>
      </c>
      <c r="AH14" s="8">
        <f t="shared" si="1"/>
        <v>0</v>
      </c>
      <c r="AI14" s="8">
        <f t="shared" si="2"/>
        <v>20000</v>
      </c>
    </row>
    <row r="15" spans="1:35" ht="20.100000000000001" customHeight="1" x14ac:dyDescent="0.25">
      <c r="B15" t="s">
        <v>267</v>
      </c>
      <c r="C15" s="8">
        <v>13584</v>
      </c>
      <c r="D15" s="8"/>
      <c r="E15" s="8">
        <v>26729</v>
      </c>
      <c r="F15" s="8"/>
      <c r="G15" s="8">
        <v>13489</v>
      </c>
      <c r="H15" s="8"/>
      <c r="I15" s="8">
        <v>36080</v>
      </c>
      <c r="J15" s="8"/>
      <c r="K15" s="8">
        <f t="shared" si="6"/>
        <v>36080</v>
      </c>
      <c r="L15" s="8"/>
      <c r="M15" s="8">
        <f t="shared" si="7"/>
        <v>89882</v>
      </c>
      <c r="N15" s="8"/>
      <c r="O15" s="57">
        <f>0.2*$S15</f>
        <v>21571.68</v>
      </c>
      <c r="P15" s="8">
        <f>0.22*$S15</f>
        <v>23728.847999999998</v>
      </c>
      <c r="Q15" s="8">
        <f>0.23*$S15</f>
        <v>24807.432000000001</v>
      </c>
      <c r="R15" s="8">
        <f>0.35*$S15</f>
        <v>37750.439999999995</v>
      </c>
      <c r="S15" s="59">
        <f>M15*1.2</f>
        <v>107858.4</v>
      </c>
      <c r="T15" s="8">
        <v>12261</v>
      </c>
      <c r="U15" s="121">
        <v>0</v>
      </c>
      <c r="V15" s="121">
        <v>25000</v>
      </c>
      <c r="W15" s="121">
        <v>30000</v>
      </c>
      <c r="X15" s="135">
        <f t="shared" si="4"/>
        <v>67261</v>
      </c>
      <c r="Y15" s="108" t="s">
        <v>454</v>
      </c>
      <c r="Z15" s="8"/>
      <c r="AA15" s="121"/>
      <c r="AB15" s="121"/>
      <c r="AC15" s="121"/>
      <c r="AD15" s="135">
        <f t="shared" si="5"/>
        <v>0</v>
      </c>
      <c r="AE15" s="121">
        <v>10000</v>
      </c>
      <c r="AG15" s="8">
        <f t="shared" si="0"/>
        <v>40313</v>
      </c>
      <c r="AH15" s="8">
        <f t="shared" si="1"/>
        <v>12261</v>
      </c>
      <c r="AI15" s="8">
        <f t="shared" si="2"/>
        <v>45300.527999999998</v>
      </c>
    </row>
    <row r="16" spans="1:35" ht="20.100000000000001" customHeight="1" x14ac:dyDescent="0.25">
      <c r="B16" t="s">
        <v>277</v>
      </c>
      <c r="C16" s="8"/>
      <c r="D16" s="8"/>
      <c r="E16" s="8"/>
      <c r="F16" s="8"/>
      <c r="G16" s="8">
        <v>15288</v>
      </c>
      <c r="H16" s="8"/>
      <c r="I16" s="8">
        <v>15852</v>
      </c>
      <c r="J16" s="8"/>
      <c r="K16" s="8">
        <f t="shared" si="6"/>
        <v>15852</v>
      </c>
      <c r="L16" s="8"/>
      <c r="M16" s="8">
        <f t="shared" si="7"/>
        <v>31140</v>
      </c>
      <c r="N16" s="8"/>
      <c r="O16" s="57">
        <v>10000</v>
      </c>
      <c r="P16" s="8">
        <v>15000</v>
      </c>
      <c r="Q16" s="8">
        <v>15000</v>
      </c>
      <c r="R16" s="8">
        <v>20000</v>
      </c>
      <c r="S16" s="59">
        <f>SUM(O16:R16)</f>
        <v>60000</v>
      </c>
      <c r="T16" s="8">
        <v>0</v>
      </c>
      <c r="U16" s="121"/>
      <c r="V16" s="121">
        <v>15000</v>
      </c>
      <c r="W16" s="121">
        <v>20000</v>
      </c>
      <c r="X16" s="135">
        <f t="shared" si="4"/>
        <v>35000</v>
      </c>
      <c r="Y16" s="108" t="s">
        <v>454</v>
      </c>
      <c r="Z16" s="8"/>
      <c r="AA16" s="121"/>
      <c r="AB16" s="121"/>
      <c r="AC16" s="121"/>
      <c r="AD16" s="135">
        <f t="shared" si="5"/>
        <v>0</v>
      </c>
      <c r="AE16" s="121"/>
      <c r="AG16" s="8">
        <f t="shared" si="0"/>
        <v>0</v>
      </c>
      <c r="AH16" s="8">
        <f t="shared" si="1"/>
        <v>0</v>
      </c>
      <c r="AI16" s="8">
        <f t="shared" si="2"/>
        <v>25000</v>
      </c>
    </row>
    <row r="17" spans="1:35" ht="20.100000000000001" customHeight="1" x14ac:dyDescent="0.25">
      <c r="B17" t="s">
        <v>469</v>
      </c>
      <c r="C17" s="8"/>
      <c r="D17" s="8"/>
      <c r="E17" s="8"/>
      <c r="F17" s="8"/>
      <c r="G17" s="8"/>
      <c r="H17" s="8"/>
      <c r="I17" s="8"/>
      <c r="J17" s="8"/>
      <c r="K17" s="8"/>
      <c r="L17" s="8"/>
      <c r="M17" s="8"/>
      <c r="N17" s="8"/>
      <c r="O17" s="57"/>
      <c r="P17" s="8"/>
      <c r="Q17" s="8"/>
      <c r="R17" s="8"/>
      <c r="S17" s="59"/>
      <c r="T17" s="8">
        <v>5460</v>
      </c>
      <c r="U17" s="121">
        <v>6510</v>
      </c>
      <c r="V17" s="121">
        <v>3000</v>
      </c>
      <c r="W17" s="121">
        <v>5000</v>
      </c>
      <c r="X17" s="135">
        <f t="shared" si="4"/>
        <v>19970</v>
      </c>
      <c r="Z17" s="8"/>
      <c r="AA17" s="121"/>
      <c r="AB17" s="121"/>
      <c r="AC17" s="121"/>
      <c r="AD17" s="135">
        <f t="shared" si="5"/>
        <v>0</v>
      </c>
      <c r="AE17" s="121">
        <v>5585</v>
      </c>
      <c r="AG17" s="8">
        <f t="shared" si="0"/>
        <v>0</v>
      </c>
      <c r="AH17" s="8">
        <f t="shared" si="1"/>
        <v>11970</v>
      </c>
      <c r="AI17" s="8">
        <f t="shared" si="2"/>
        <v>0</v>
      </c>
    </row>
    <row r="18" spans="1:35" ht="20.100000000000001" customHeight="1" x14ac:dyDescent="0.25">
      <c r="B18" t="s">
        <v>474</v>
      </c>
      <c r="C18" s="8"/>
      <c r="D18" s="8"/>
      <c r="E18" s="8"/>
      <c r="F18" s="8"/>
      <c r="G18" s="8"/>
      <c r="H18" s="8"/>
      <c r="I18" s="8"/>
      <c r="J18" s="8"/>
      <c r="K18" s="8"/>
      <c r="L18" s="8"/>
      <c r="M18" s="8"/>
      <c r="N18" s="8"/>
      <c r="O18" s="57"/>
      <c r="P18" s="8"/>
      <c r="Q18" s="8"/>
      <c r="R18" s="8"/>
      <c r="S18" s="59"/>
      <c r="T18" s="8"/>
      <c r="U18" s="121">
        <v>3517</v>
      </c>
      <c r="V18" s="121"/>
      <c r="W18" s="121">
        <v>7000</v>
      </c>
      <c r="X18" s="135">
        <f t="shared" si="4"/>
        <v>10517</v>
      </c>
      <c r="Z18" s="8"/>
      <c r="AA18" s="121"/>
      <c r="AB18" s="121"/>
      <c r="AC18" s="121"/>
      <c r="AD18" s="135">
        <f t="shared" si="5"/>
        <v>0</v>
      </c>
      <c r="AE18" s="121"/>
      <c r="AG18" s="8">
        <f t="shared" si="0"/>
        <v>0</v>
      </c>
      <c r="AH18" s="8">
        <f t="shared" si="1"/>
        <v>3517</v>
      </c>
      <c r="AI18" s="8">
        <f t="shared" si="2"/>
        <v>0</v>
      </c>
    </row>
    <row r="19" spans="1:35" ht="20.100000000000001" customHeight="1" x14ac:dyDescent="0.25">
      <c r="B19" t="s">
        <v>475</v>
      </c>
      <c r="C19" s="8"/>
      <c r="D19" s="8"/>
      <c r="E19" s="8"/>
      <c r="F19" s="8"/>
      <c r="G19" s="8"/>
      <c r="H19" s="8"/>
      <c r="I19" s="8"/>
      <c r="J19" s="8"/>
      <c r="K19" s="8"/>
      <c r="L19" s="8"/>
      <c r="M19" s="8"/>
      <c r="N19" s="8"/>
      <c r="O19" s="57"/>
      <c r="P19" s="8"/>
      <c r="Q19" s="8"/>
      <c r="R19" s="8"/>
      <c r="S19" s="59"/>
      <c r="T19" s="8"/>
      <c r="U19" s="121">
        <v>16730</v>
      </c>
      <c r="V19" s="121">
        <v>17000</v>
      </c>
      <c r="W19" s="121">
        <v>25000</v>
      </c>
      <c r="X19" s="135">
        <f t="shared" si="4"/>
        <v>58730</v>
      </c>
      <c r="Z19" s="8"/>
      <c r="AA19" s="121"/>
      <c r="AB19" s="121"/>
      <c r="AC19" s="121"/>
      <c r="AD19" s="135">
        <f t="shared" si="5"/>
        <v>0</v>
      </c>
      <c r="AE19" s="121"/>
      <c r="AG19" s="8">
        <f t="shared" si="0"/>
        <v>0</v>
      </c>
      <c r="AH19" s="8">
        <f t="shared" si="1"/>
        <v>16730</v>
      </c>
      <c r="AI19" s="8">
        <f t="shared" si="2"/>
        <v>0</v>
      </c>
    </row>
    <row r="20" spans="1:35" ht="20.100000000000001" customHeight="1" x14ac:dyDescent="0.25">
      <c r="B20" t="s">
        <v>476</v>
      </c>
      <c r="C20" s="8"/>
      <c r="D20" s="8"/>
      <c r="E20" s="8"/>
      <c r="F20" s="8"/>
      <c r="G20" s="8"/>
      <c r="H20" s="8"/>
      <c r="I20" s="8"/>
      <c r="J20" s="8"/>
      <c r="K20" s="8"/>
      <c r="L20" s="8"/>
      <c r="M20" s="8"/>
      <c r="N20" s="8"/>
      <c r="O20" s="57"/>
      <c r="P20" s="8"/>
      <c r="Q20" s="8"/>
      <c r="R20" s="8"/>
      <c r="S20" s="59"/>
      <c r="T20" s="8"/>
      <c r="U20" s="121">
        <v>3126</v>
      </c>
      <c r="V20" s="121"/>
      <c r="W20" s="121"/>
      <c r="X20" s="135">
        <f t="shared" si="4"/>
        <v>3126</v>
      </c>
      <c r="Z20" s="8"/>
      <c r="AA20" s="121"/>
      <c r="AB20" s="121"/>
      <c r="AC20" s="121"/>
      <c r="AD20" s="135">
        <f t="shared" si="5"/>
        <v>0</v>
      </c>
      <c r="AE20" s="121">
        <v>2700</v>
      </c>
      <c r="AG20" s="8">
        <f t="shared" si="0"/>
        <v>0</v>
      </c>
      <c r="AH20" s="8">
        <f t="shared" si="1"/>
        <v>3126</v>
      </c>
      <c r="AI20" s="8">
        <f t="shared" si="2"/>
        <v>0</v>
      </c>
    </row>
    <row r="21" spans="1:35" ht="20.100000000000001" customHeight="1" x14ac:dyDescent="0.25">
      <c r="B21" t="s">
        <v>268</v>
      </c>
      <c r="C21" s="9"/>
      <c r="D21" s="9"/>
      <c r="E21" s="9"/>
      <c r="F21" s="9"/>
      <c r="G21" s="9"/>
      <c r="H21" s="9"/>
      <c r="I21" s="9"/>
      <c r="J21" s="9"/>
      <c r="K21" s="8">
        <f t="shared" si="6"/>
        <v>0</v>
      </c>
      <c r="L21" s="9"/>
      <c r="M21" s="9"/>
      <c r="N21" s="9"/>
      <c r="O21" s="60"/>
      <c r="P21" s="9"/>
      <c r="Q21" s="9"/>
      <c r="R21" s="9"/>
      <c r="S21" s="61"/>
      <c r="T21" s="8">
        <v>0</v>
      </c>
      <c r="U21" s="122"/>
      <c r="V21" s="122"/>
      <c r="W21" s="122"/>
      <c r="X21" s="135">
        <f t="shared" si="4"/>
        <v>0</v>
      </c>
      <c r="Z21" s="8"/>
      <c r="AA21" s="122"/>
      <c r="AB21" s="122"/>
      <c r="AC21" s="122"/>
      <c r="AD21" s="135">
        <f t="shared" si="5"/>
        <v>0</v>
      </c>
      <c r="AE21" s="122"/>
      <c r="AG21" s="9">
        <f t="shared" si="0"/>
        <v>0</v>
      </c>
      <c r="AH21" s="9">
        <f t="shared" si="1"/>
        <v>0</v>
      </c>
      <c r="AI21" s="9">
        <f t="shared" si="2"/>
        <v>0</v>
      </c>
    </row>
    <row r="22" spans="1:35" ht="20.100000000000001" customHeight="1" x14ac:dyDescent="0.25">
      <c r="B22" t="s">
        <v>273</v>
      </c>
      <c r="C22" s="10">
        <f>SUM(C6:C21)</f>
        <v>115641</v>
      </c>
      <c r="D22" s="35">
        <f>C22/C41</f>
        <v>0.19260541186880445</v>
      </c>
      <c r="E22" s="10">
        <f>SUM(E6:E21)</f>
        <v>109617</v>
      </c>
      <c r="F22" s="35">
        <f>E22/E41</f>
        <v>0.25660251038189452</v>
      </c>
      <c r="G22" s="10">
        <f>SUM(G6:G21)</f>
        <v>76149</v>
      </c>
      <c r="H22" s="35">
        <f>G22/G41</f>
        <v>0.14169101092235267</v>
      </c>
      <c r="I22" s="10">
        <f>SUM(I6:I21)</f>
        <v>136365</v>
      </c>
      <c r="J22" s="10">
        <f>SUM(J6:J21)</f>
        <v>0</v>
      </c>
      <c r="K22" s="10">
        <f>SUM(K6:K21)</f>
        <v>136365</v>
      </c>
      <c r="L22" s="35">
        <f>I22/I41</f>
        <v>0.17919805293657531</v>
      </c>
      <c r="M22" s="10">
        <f>SUM(M6:M21)</f>
        <v>437772</v>
      </c>
      <c r="N22" s="35">
        <f>K22/K41</f>
        <v>0.17919805293657531</v>
      </c>
      <c r="O22" s="62">
        <f t="shared" ref="O22:T22" si="8">SUM(O6:O21)</f>
        <v>106256.68</v>
      </c>
      <c r="P22" s="10">
        <f t="shared" si="8"/>
        <v>182882.348</v>
      </c>
      <c r="Q22" s="10">
        <f t="shared" si="8"/>
        <v>182445.182</v>
      </c>
      <c r="R22" s="10">
        <f t="shared" si="8"/>
        <v>269699.19</v>
      </c>
      <c r="S22" s="63">
        <f t="shared" si="8"/>
        <v>741283.4</v>
      </c>
      <c r="T22" s="10">
        <f t="shared" si="8"/>
        <v>164797</v>
      </c>
      <c r="U22" s="123">
        <f t="shared" ref="U22:X22" si="9">SUM(U6:U21)</f>
        <v>124694</v>
      </c>
      <c r="V22" s="123">
        <f t="shared" si="9"/>
        <v>208000</v>
      </c>
      <c r="W22" s="123">
        <f t="shared" si="9"/>
        <v>332500</v>
      </c>
      <c r="X22" s="136">
        <f t="shared" si="9"/>
        <v>829991</v>
      </c>
      <c r="Z22" s="10">
        <f t="shared" ref="Z22:AD22" si="10">SUM(Z6:Z21)</f>
        <v>0</v>
      </c>
      <c r="AA22" s="123">
        <f t="shared" si="10"/>
        <v>0</v>
      </c>
      <c r="AB22" s="123">
        <f t="shared" si="10"/>
        <v>0</v>
      </c>
      <c r="AC22" s="123">
        <f t="shared" si="10"/>
        <v>0</v>
      </c>
      <c r="AD22" s="136">
        <f t="shared" si="10"/>
        <v>0</v>
      </c>
      <c r="AE22" s="123">
        <f t="shared" ref="AE22" si="11">SUM(AE6:AE21)</f>
        <v>121592</v>
      </c>
      <c r="AG22" s="10">
        <f>SUM(AG6:AG21)</f>
        <v>225258</v>
      </c>
      <c r="AH22" s="10">
        <f t="shared" ref="AH22:AI22" si="12">SUM(AH6:AH21)</f>
        <v>289491</v>
      </c>
      <c r="AI22" s="10">
        <f t="shared" si="12"/>
        <v>289139.02800000005</v>
      </c>
    </row>
    <row r="23" spans="1:35" ht="20.100000000000001" customHeight="1" x14ac:dyDescent="0.25">
      <c r="A23" t="s">
        <v>259</v>
      </c>
      <c r="C23" s="8"/>
      <c r="D23" s="8"/>
      <c r="E23" s="8"/>
      <c r="F23" s="8"/>
      <c r="G23" s="8"/>
      <c r="H23" s="8"/>
      <c r="I23" s="8"/>
      <c r="J23" s="8"/>
      <c r="K23" s="8"/>
      <c r="L23" s="8"/>
      <c r="M23" s="8"/>
      <c r="N23" s="8"/>
      <c r="O23" s="57"/>
      <c r="P23" s="8"/>
      <c r="Q23" s="8"/>
      <c r="R23" s="8"/>
      <c r="S23" s="59"/>
      <c r="T23" s="8"/>
      <c r="U23" s="121"/>
      <c r="V23" s="121"/>
      <c r="W23" s="121"/>
      <c r="X23" s="135"/>
      <c r="Z23" s="8"/>
      <c r="AA23" s="121"/>
      <c r="AB23" s="121"/>
      <c r="AC23" s="121"/>
      <c r="AD23" s="135"/>
      <c r="AE23" s="121"/>
      <c r="AG23" s="8"/>
      <c r="AH23" s="8"/>
      <c r="AI23" s="8"/>
    </row>
    <row r="24" spans="1:35" ht="20.100000000000001" customHeight="1" x14ac:dyDescent="0.25">
      <c r="B24" t="s">
        <v>269</v>
      </c>
      <c r="C24" s="8">
        <v>55130</v>
      </c>
      <c r="D24" s="8"/>
      <c r="E24" s="8">
        <v>82372</v>
      </c>
      <c r="F24" s="8"/>
      <c r="G24" s="8">
        <v>61402</v>
      </c>
      <c r="H24" s="8"/>
      <c r="I24" s="8">
        <v>73071</v>
      </c>
      <c r="J24" s="8"/>
      <c r="K24" s="8">
        <f t="shared" ref="K24:K34" si="13">SUM(I24:J24)</f>
        <v>73071</v>
      </c>
      <c r="L24" s="8"/>
      <c r="M24" s="8">
        <f t="shared" ref="M24:M34" si="14">C24+E24+G24+K24</f>
        <v>271975</v>
      </c>
      <c r="N24" s="8"/>
      <c r="O24" s="57">
        <f>0.2*$S24</f>
        <v>65274</v>
      </c>
      <c r="P24" s="8">
        <f>0.22*$S24</f>
        <v>71801.399999999994</v>
      </c>
      <c r="Q24" s="8">
        <f>0.23*$S24</f>
        <v>75065.100000000006</v>
      </c>
      <c r="R24" s="8">
        <f>0.35*$S24</f>
        <v>114229.5</v>
      </c>
      <c r="S24" s="59">
        <f>M24*1.2</f>
        <v>326370</v>
      </c>
      <c r="T24" s="8">
        <v>32461</v>
      </c>
      <c r="U24" s="121">
        <v>23971</v>
      </c>
      <c r="V24" s="121">
        <v>35000</v>
      </c>
      <c r="W24" s="121">
        <v>45000</v>
      </c>
      <c r="X24" s="135">
        <f t="shared" ref="X24:X34" si="15">SUM(T24:W24)</f>
        <v>136432</v>
      </c>
      <c r="Y24" s="108" t="s">
        <v>457</v>
      </c>
      <c r="Z24" s="8"/>
      <c r="AA24" s="121"/>
      <c r="AB24" s="121"/>
      <c r="AC24" s="121"/>
      <c r="AD24" s="135">
        <f t="shared" ref="AD24:AD34" si="16">SUM(Z24:AC24)</f>
        <v>0</v>
      </c>
      <c r="AE24" s="121">
        <v>20201</v>
      </c>
      <c r="AG24" s="8">
        <f t="shared" ref="AG24:AG34" si="17">C24+E24</f>
        <v>137502</v>
      </c>
      <c r="AH24" s="8">
        <f t="shared" ref="AH24:AH34" si="18">T24+U24</f>
        <v>56432</v>
      </c>
      <c r="AI24" s="8">
        <f t="shared" ref="AI24:AI34" si="19">O24+P24</f>
        <v>137075.4</v>
      </c>
    </row>
    <row r="25" spans="1:35" ht="20.100000000000001" customHeight="1" x14ac:dyDescent="0.25">
      <c r="B25" t="s">
        <v>261</v>
      </c>
      <c r="C25" s="8">
        <v>132950</v>
      </c>
      <c r="D25" s="8"/>
      <c r="E25" s="8">
        <v>17883</v>
      </c>
      <c r="F25" s="8"/>
      <c r="G25" s="8">
        <v>48502</v>
      </c>
      <c r="H25" s="8"/>
      <c r="I25" s="8">
        <v>98797</v>
      </c>
      <c r="J25" s="8"/>
      <c r="K25" s="8">
        <f t="shared" si="13"/>
        <v>98797</v>
      </c>
      <c r="L25" s="8"/>
      <c r="M25" s="8">
        <f t="shared" si="14"/>
        <v>298132</v>
      </c>
      <c r="N25" s="8"/>
      <c r="O25" s="57">
        <f t="shared" ref="O25:O27" si="20">0.2*$S25</f>
        <v>59626.400000000001</v>
      </c>
      <c r="P25" s="8">
        <f t="shared" ref="P25:P27" si="21">0.22*$S25</f>
        <v>65589.039999999994</v>
      </c>
      <c r="Q25" s="8">
        <f t="shared" ref="Q25:Q27" si="22">0.23*$S25</f>
        <v>68570.36</v>
      </c>
      <c r="R25" s="8">
        <f t="shared" ref="R25:R27" si="23">0.35*$S25</f>
        <v>104346.2</v>
      </c>
      <c r="S25" s="59">
        <f>M25</f>
        <v>298132</v>
      </c>
      <c r="T25" s="8">
        <v>23173</v>
      </c>
      <c r="U25" s="121">
        <v>2250</v>
      </c>
      <c r="V25" s="121">
        <v>5000</v>
      </c>
      <c r="W25" s="121">
        <v>15000</v>
      </c>
      <c r="X25" s="135">
        <f t="shared" si="15"/>
        <v>45423</v>
      </c>
      <c r="Y25" s="108" t="s">
        <v>458</v>
      </c>
      <c r="Z25" s="8"/>
      <c r="AA25" s="121"/>
      <c r="AB25" s="121"/>
      <c r="AC25" s="121"/>
      <c r="AD25" s="135">
        <f t="shared" si="16"/>
        <v>0</v>
      </c>
      <c r="AE25" s="121">
        <v>22250</v>
      </c>
      <c r="AG25" s="8">
        <f t="shared" si="17"/>
        <v>150833</v>
      </c>
      <c r="AH25" s="8">
        <f t="shared" si="18"/>
        <v>25423</v>
      </c>
      <c r="AI25" s="8">
        <f t="shared" si="19"/>
        <v>125215.44</v>
      </c>
    </row>
    <row r="26" spans="1:35" ht="20.100000000000001" customHeight="1" x14ac:dyDescent="0.25">
      <c r="B26" t="s">
        <v>270</v>
      </c>
      <c r="C26" s="8">
        <v>92563</v>
      </c>
      <c r="D26" s="8"/>
      <c r="E26" s="8">
        <v>41760</v>
      </c>
      <c r="F26" s="8"/>
      <c r="G26" s="8">
        <v>80636</v>
      </c>
      <c r="H26" s="8"/>
      <c r="I26" s="8">
        <v>36420</v>
      </c>
      <c r="J26" s="8"/>
      <c r="K26" s="8">
        <f t="shared" si="13"/>
        <v>36420</v>
      </c>
      <c r="L26" s="8"/>
      <c r="M26" s="8">
        <f t="shared" si="14"/>
        <v>251379</v>
      </c>
      <c r="N26" s="8"/>
      <c r="O26" s="57">
        <f t="shared" si="20"/>
        <v>65358.540000000008</v>
      </c>
      <c r="P26" s="8">
        <f t="shared" si="21"/>
        <v>71894.394</v>
      </c>
      <c r="Q26" s="8">
        <f t="shared" si="22"/>
        <v>75162.321000000011</v>
      </c>
      <c r="R26" s="8">
        <f t="shared" si="23"/>
        <v>114377.44499999999</v>
      </c>
      <c r="S26" s="59">
        <f>M26*1.3</f>
        <v>326792.7</v>
      </c>
      <c r="T26" s="8">
        <v>15174</v>
      </c>
      <c r="U26" s="121">
        <v>25453</v>
      </c>
      <c r="V26" s="121">
        <v>10000</v>
      </c>
      <c r="W26" s="121">
        <v>40000</v>
      </c>
      <c r="X26" s="135">
        <f t="shared" si="15"/>
        <v>90627</v>
      </c>
      <c r="Y26" s="108" t="s">
        <v>459</v>
      </c>
      <c r="Z26" s="8"/>
      <c r="AA26" s="121"/>
      <c r="AB26" s="121"/>
      <c r="AC26" s="121"/>
      <c r="AD26" s="135">
        <f t="shared" si="16"/>
        <v>0</v>
      </c>
      <c r="AE26" s="121">
        <v>16530</v>
      </c>
      <c r="AG26" s="8">
        <f t="shared" si="17"/>
        <v>134323</v>
      </c>
      <c r="AH26" s="8">
        <f t="shared" si="18"/>
        <v>40627</v>
      </c>
      <c r="AI26" s="8">
        <f t="shared" si="19"/>
        <v>137252.93400000001</v>
      </c>
    </row>
    <row r="27" spans="1:35" ht="20.100000000000001" customHeight="1" x14ac:dyDescent="0.25">
      <c r="B27" t="s">
        <v>272</v>
      </c>
      <c r="C27" s="8">
        <v>8568</v>
      </c>
      <c r="D27" s="8"/>
      <c r="E27" s="8"/>
      <c r="F27" s="8"/>
      <c r="G27" s="8">
        <v>21449</v>
      </c>
      <c r="H27" s="8"/>
      <c r="I27" s="8">
        <v>21609</v>
      </c>
      <c r="J27" s="8"/>
      <c r="K27" s="8">
        <f t="shared" si="13"/>
        <v>21609</v>
      </c>
      <c r="L27" s="8"/>
      <c r="M27" s="8">
        <f t="shared" si="14"/>
        <v>51626</v>
      </c>
      <c r="N27" s="8"/>
      <c r="O27" s="57">
        <f t="shared" si="20"/>
        <v>10325.200000000001</v>
      </c>
      <c r="P27" s="8">
        <f t="shared" si="21"/>
        <v>11357.72</v>
      </c>
      <c r="Q27" s="8">
        <f t="shared" si="22"/>
        <v>11873.980000000001</v>
      </c>
      <c r="R27" s="8">
        <f t="shared" si="23"/>
        <v>18069.099999999999</v>
      </c>
      <c r="S27" s="59">
        <f>M27</f>
        <v>51626</v>
      </c>
      <c r="T27" s="8">
        <v>21627</v>
      </c>
      <c r="U27" s="121">
        <v>6772</v>
      </c>
      <c r="V27" s="121">
        <v>3000</v>
      </c>
      <c r="W27" s="121">
        <v>0</v>
      </c>
      <c r="X27" s="135">
        <f t="shared" si="15"/>
        <v>31399</v>
      </c>
      <c r="Y27" s="108" t="s">
        <v>460</v>
      </c>
      <c r="Z27" s="8"/>
      <c r="AA27" s="121"/>
      <c r="AB27" s="121"/>
      <c r="AC27" s="121"/>
      <c r="AD27" s="135">
        <f t="shared" si="16"/>
        <v>0</v>
      </c>
      <c r="AE27" s="121">
        <v>6772</v>
      </c>
      <c r="AG27" s="8">
        <f t="shared" si="17"/>
        <v>8568</v>
      </c>
      <c r="AH27" s="8">
        <f t="shared" si="18"/>
        <v>28399</v>
      </c>
      <c r="AI27" s="8">
        <f t="shared" si="19"/>
        <v>21682.92</v>
      </c>
    </row>
    <row r="28" spans="1:35" ht="20.100000000000001" customHeight="1" x14ac:dyDescent="0.25">
      <c r="B28" t="s">
        <v>262</v>
      </c>
      <c r="C28" s="8"/>
      <c r="D28" s="8"/>
      <c r="E28" s="8"/>
      <c r="F28" s="8"/>
      <c r="G28" s="8">
        <v>61975</v>
      </c>
      <c r="H28" s="8"/>
      <c r="I28" s="8">
        <v>201600</v>
      </c>
      <c r="J28" s="8"/>
      <c r="K28" s="8">
        <f t="shared" si="13"/>
        <v>201600</v>
      </c>
      <c r="L28" s="8"/>
      <c r="M28" s="8">
        <f t="shared" si="14"/>
        <v>263575</v>
      </c>
      <c r="N28" s="8"/>
      <c r="O28" s="57">
        <v>110000</v>
      </c>
      <c r="P28" s="8">
        <v>50000</v>
      </c>
      <c r="Q28" s="8">
        <v>120000</v>
      </c>
      <c r="R28" s="8">
        <v>120000</v>
      </c>
      <c r="S28" s="59">
        <f>SUM(O28:R28)</f>
        <v>400000</v>
      </c>
      <c r="T28" s="8">
        <v>117029</v>
      </c>
      <c r="U28" s="121">
        <v>63806</v>
      </c>
      <c r="V28" s="121">
        <v>47000</v>
      </c>
      <c r="W28" s="121">
        <v>60000</v>
      </c>
      <c r="X28" s="135">
        <f t="shared" si="15"/>
        <v>287835</v>
      </c>
      <c r="Y28" s="108" t="s">
        <v>461</v>
      </c>
      <c r="Z28" s="8"/>
      <c r="AA28" s="121"/>
      <c r="AB28" s="121"/>
      <c r="AC28" s="121"/>
      <c r="AD28" s="135">
        <f t="shared" si="16"/>
        <v>0</v>
      </c>
      <c r="AE28" s="121">
        <v>42538</v>
      </c>
      <c r="AG28" s="8">
        <f t="shared" si="17"/>
        <v>0</v>
      </c>
      <c r="AH28" s="8">
        <f t="shared" si="18"/>
        <v>180835</v>
      </c>
      <c r="AI28" s="8">
        <f t="shared" si="19"/>
        <v>160000</v>
      </c>
    </row>
    <row r="29" spans="1:35" ht="20.100000000000001" customHeight="1" x14ac:dyDescent="0.25">
      <c r="B29" t="s">
        <v>276</v>
      </c>
      <c r="C29" s="8">
        <v>7140</v>
      </c>
      <c r="D29" s="8"/>
      <c r="E29" s="8"/>
      <c r="F29" s="8"/>
      <c r="G29" s="8">
        <v>15365</v>
      </c>
      <c r="H29" s="8"/>
      <c r="I29" s="8">
        <v>8640</v>
      </c>
      <c r="J29" s="8"/>
      <c r="K29" s="8">
        <f t="shared" si="13"/>
        <v>8640</v>
      </c>
      <c r="L29" s="8"/>
      <c r="M29" s="8">
        <f t="shared" si="14"/>
        <v>31145</v>
      </c>
      <c r="N29" s="8"/>
      <c r="O29" s="57">
        <v>7000</v>
      </c>
      <c r="P29" s="8">
        <v>5000</v>
      </c>
      <c r="Q29" s="8">
        <v>5000</v>
      </c>
      <c r="R29" s="8">
        <v>10000</v>
      </c>
      <c r="S29" s="59">
        <f>SUM(O29:R29)</f>
        <v>27000</v>
      </c>
      <c r="T29" s="8">
        <v>14985</v>
      </c>
      <c r="U29" s="121">
        <v>4879</v>
      </c>
      <c r="V29" s="121">
        <v>2000</v>
      </c>
      <c r="W29" s="121">
        <v>0</v>
      </c>
      <c r="X29" s="135">
        <f t="shared" si="15"/>
        <v>21864</v>
      </c>
      <c r="Y29" s="108" t="s">
        <v>460</v>
      </c>
      <c r="Z29" s="8"/>
      <c r="AA29" s="121"/>
      <c r="AB29" s="121"/>
      <c r="AC29" s="121"/>
      <c r="AD29" s="135">
        <f t="shared" si="16"/>
        <v>0</v>
      </c>
      <c r="AE29" s="121">
        <v>4879</v>
      </c>
      <c r="AG29" s="8">
        <f t="shared" si="17"/>
        <v>7140</v>
      </c>
      <c r="AH29" s="8">
        <f t="shared" si="18"/>
        <v>19864</v>
      </c>
      <c r="AI29" s="8">
        <f t="shared" si="19"/>
        <v>12000</v>
      </c>
    </row>
    <row r="30" spans="1:35" ht="20.100000000000001" customHeight="1" x14ac:dyDescent="0.25">
      <c r="B30" t="s">
        <v>263</v>
      </c>
      <c r="C30" s="8">
        <v>4161</v>
      </c>
      <c r="D30" s="8"/>
      <c r="E30" s="8">
        <v>2540</v>
      </c>
      <c r="F30" s="8"/>
      <c r="G30" s="8">
        <v>3046</v>
      </c>
      <c r="H30" s="8"/>
      <c r="I30" s="8">
        <v>2506</v>
      </c>
      <c r="J30" s="8"/>
      <c r="K30" s="8">
        <f t="shared" si="13"/>
        <v>2506</v>
      </c>
      <c r="L30" s="8"/>
      <c r="M30" s="8">
        <f t="shared" si="14"/>
        <v>12253</v>
      </c>
      <c r="N30" s="8"/>
      <c r="O30" s="57">
        <v>2500</v>
      </c>
      <c r="P30" s="8">
        <f>O30</f>
        <v>2500</v>
      </c>
      <c r="Q30" s="8">
        <f t="shared" ref="Q30:R30" si="24">P30</f>
        <v>2500</v>
      </c>
      <c r="R30" s="8">
        <f t="shared" si="24"/>
        <v>2500</v>
      </c>
      <c r="S30" s="59">
        <f>SUM(O30:R30)</f>
        <v>10000</v>
      </c>
      <c r="T30" s="8">
        <v>1257</v>
      </c>
      <c r="U30" s="121">
        <v>2718</v>
      </c>
      <c r="V30" s="121">
        <v>5000</v>
      </c>
      <c r="W30" s="121">
        <v>7000</v>
      </c>
      <c r="X30" s="135">
        <f t="shared" si="15"/>
        <v>15975</v>
      </c>
      <c r="Y30" s="108" t="s">
        <v>454</v>
      </c>
      <c r="Z30" s="8"/>
      <c r="AA30" s="121"/>
      <c r="AB30" s="121"/>
      <c r="AC30" s="121"/>
      <c r="AD30" s="135">
        <f t="shared" si="16"/>
        <v>0</v>
      </c>
      <c r="AE30" s="121">
        <v>2718</v>
      </c>
      <c r="AG30" s="8">
        <f t="shared" si="17"/>
        <v>6701</v>
      </c>
      <c r="AH30" s="8">
        <f t="shared" si="18"/>
        <v>3975</v>
      </c>
      <c r="AI30" s="8">
        <f t="shared" si="19"/>
        <v>5000</v>
      </c>
    </row>
    <row r="31" spans="1:35" ht="20.100000000000001" customHeight="1" x14ac:dyDescent="0.25">
      <c r="B31" t="s">
        <v>295</v>
      </c>
      <c r="C31" s="8"/>
      <c r="D31" s="8"/>
      <c r="E31" s="8"/>
      <c r="F31" s="8"/>
      <c r="G31" s="8"/>
      <c r="H31" s="8"/>
      <c r="I31" s="8">
        <v>2236</v>
      </c>
      <c r="J31" s="8"/>
      <c r="K31" s="8">
        <f t="shared" si="13"/>
        <v>2236</v>
      </c>
      <c r="L31" s="8"/>
      <c r="M31" s="8"/>
      <c r="N31" s="8"/>
      <c r="O31" s="57">
        <v>5000</v>
      </c>
      <c r="P31" s="8">
        <v>5000</v>
      </c>
      <c r="Q31" s="8">
        <v>10000</v>
      </c>
      <c r="R31" s="8">
        <v>20000</v>
      </c>
      <c r="S31" s="59">
        <f>SUM(O31:R31)</f>
        <v>40000</v>
      </c>
      <c r="T31" s="8"/>
      <c r="U31" s="121">
        <v>0</v>
      </c>
      <c r="V31" s="121">
        <v>0</v>
      </c>
      <c r="W31" s="121">
        <v>0</v>
      </c>
      <c r="X31" s="135">
        <f t="shared" si="15"/>
        <v>0</v>
      </c>
      <c r="Y31" s="108" t="s">
        <v>460</v>
      </c>
      <c r="Z31" s="8"/>
      <c r="AA31" s="121"/>
      <c r="AB31" s="121"/>
      <c r="AC31" s="121"/>
      <c r="AD31" s="135">
        <f t="shared" si="16"/>
        <v>0</v>
      </c>
      <c r="AE31" s="121">
        <v>0</v>
      </c>
      <c r="AG31" s="8">
        <f t="shared" si="17"/>
        <v>0</v>
      </c>
      <c r="AH31" s="8">
        <f t="shared" si="18"/>
        <v>0</v>
      </c>
      <c r="AI31" s="8">
        <f t="shared" si="19"/>
        <v>10000</v>
      </c>
    </row>
    <row r="32" spans="1:35" ht="20.100000000000001" customHeight="1" x14ac:dyDescent="0.25">
      <c r="B32" t="s">
        <v>452</v>
      </c>
      <c r="C32" s="8"/>
      <c r="D32" s="8"/>
      <c r="E32" s="8"/>
      <c r="F32" s="8"/>
      <c r="G32" s="8"/>
      <c r="H32" s="8"/>
      <c r="I32" s="8"/>
      <c r="J32" s="8"/>
      <c r="K32" s="8"/>
      <c r="L32" s="8"/>
      <c r="M32" s="8"/>
      <c r="N32" s="8"/>
      <c r="O32" s="57"/>
      <c r="P32" s="8"/>
      <c r="Q32" s="8"/>
      <c r="R32" s="8"/>
      <c r="S32" s="59"/>
      <c r="T32" s="8">
        <v>23233</v>
      </c>
      <c r="U32" s="121">
        <f t="shared" ref="U32:U33" si="25">P32</f>
        <v>0</v>
      </c>
      <c r="V32" s="121">
        <f>Q32</f>
        <v>0</v>
      </c>
      <c r="W32" s="121">
        <f>R32</f>
        <v>0</v>
      </c>
      <c r="X32" s="135">
        <f t="shared" si="15"/>
        <v>23233</v>
      </c>
      <c r="Y32" s="108" t="s">
        <v>460</v>
      </c>
      <c r="Z32" s="8"/>
      <c r="AA32" s="121"/>
      <c r="AB32" s="121"/>
      <c r="AC32" s="121"/>
      <c r="AD32" s="135">
        <f t="shared" si="16"/>
        <v>0</v>
      </c>
      <c r="AE32" s="121">
        <f>V32</f>
        <v>0</v>
      </c>
      <c r="AG32" s="8">
        <f t="shared" si="17"/>
        <v>0</v>
      </c>
      <c r="AH32" s="8">
        <f t="shared" si="18"/>
        <v>23233</v>
      </c>
      <c r="AI32" s="8">
        <f t="shared" si="19"/>
        <v>0</v>
      </c>
    </row>
    <row r="33" spans="1:35" ht="20.100000000000001" customHeight="1" x14ac:dyDescent="0.25">
      <c r="B33" t="s">
        <v>453</v>
      </c>
      <c r="C33" s="8"/>
      <c r="D33" s="8"/>
      <c r="E33" s="8"/>
      <c r="F33" s="8"/>
      <c r="G33" s="8"/>
      <c r="H33" s="8"/>
      <c r="I33" s="8"/>
      <c r="J33" s="8"/>
      <c r="K33" s="8"/>
      <c r="L33" s="8"/>
      <c r="M33" s="8"/>
      <c r="N33" s="8"/>
      <c r="O33" s="57"/>
      <c r="P33" s="8"/>
      <c r="Q33" s="8"/>
      <c r="R33" s="8"/>
      <c r="S33" s="59"/>
      <c r="T33" s="8">
        <v>11464</v>
      </c>
      <c r="U33" s="121">
        <f t="shared" si="25"/>
        <v>0</v>
      </c>
      <c r="V33" s="121">
        <f>Q33</f>
        <v>0</v>
      </c>
      <c r="W33" s="121">
        <f>R33</f>
        <v>0</v>
      </c>
      <c r="X33" s="135">
        <f t="shared" si="15"/>
        <v>11464</v>
      </c>
      <c r="Z33" s="8"/>
      <c r="AA33" s="121"/>
      <c r="AB33" s="121"/>
      <c r="AC33" s="121"/>
      <c r="AD33" s="135">
        <f t="shared" si="16"/>
        <v>0</v>
      </c>
      <c r="AE33" s="121">
        <f>V33</f>
        <v>0</v>
      </c>
      <c r="AG33" s="8">
        <f t="shared" si="17"/>
        <v>0</v>
      </c>
      <c r="AH33" s="8">
        <f t="shared" si="18"/>
        <v>11464</v>
      </c>
      <c r="AI33" s="8">
        <f t="shared" si="19"/>
        <v>0</v>
      </c>
    </row>
    <row r="34" spans="1:35" ht="20.100000000000001" customHeight="1" x14ac:dyDescent="0.25">
      <c r="B34" t="s">
        <v>264</v>
      </c>
      <c r="C34" s="9">
        <v>7504</v>
      </c>
      <c r="D34" s="9"/>
      <c r="E34" s="9">
        <v>12158</v>
      </c>
      <c r="F34" s="9"/>
      <c r="G34" s="9">
        <v>12017</v>
      </c>
      <c r="H34" s="9"/>
      <c r="I34" s="9">
        <v>6312</v>
      </c>
      <c r="J34" s="9"/>
      <c r="K34" s="8">
        <f t="shared" si="13"/>
        <v>6312</v>
      </c>
      <c r="L34" s="9"/>
      <c r="M34" s="8">
        <f t="shared" si="14"/>
        <v>37991</v>
      </c>
      <c r="N34" s="9"/>
      <c r="O34" s="60">
        <v>7500</v>
      </c>
      <c r="P34" s="9">
        <v>10000</v>
      </c>
      <c r="Q34" s="9">
        <v>20000</v>
      </c>
      <c r="R34" s="9">
        <v>30000</v>
      </c>
      <c r="S34" s="61">
        <f>SUM(O34:R34)</f>
        <v>67500</v>
      </c>
      <c r="T34" s="8">
        <v>16740</v>
      </c>
      <c r="U34" s="121">
        <v>16839</v>
      </c>
      <c r="V34" s="121">
        <v>5000</v>
      </c>
      <c r="W34" s="121">
        <v>10000</v>
      </c>
      <c r="X34" s="135">
        <f t="shared" si="15"/>
        <v>48579</v>
      </c>
      <c r="Y34" s="108" t="s">
        <v>462</v>
      </c>
      <c r="Z34" s="8"/>
      <c r="AA34" s="121"/>
      <c r="AB34" s="121"/>
      <c r="AC34" s="121"/>
      <c r="AD34" s="135">
        <f t="shared" si="16"/>
        <v>0</v>
      </c>
      <c r="AE34" s="121">
        <v>15318</v>
      </c>
      <c r="AG34" s="9">
        <f t="shared" si="17"/>
        <v>19662</v>
      </c>
      <c r="AH34" s="9">
        <f t="shared" si="18"/>
        <v>33579</v>
      </c>
      <c r="AI34" s="9">
        <f t="shared" si="19"/>
        <v>17500</v>
      </c>
    </row>
    <row r="35" spans="1:35" ht="20.100000000000001" customHeight="1" x14ac:dyDescent="0.25">
      <c r="B35" t="s">
        <v>274</v>
      </c>
      <c r="C35" s="10">
        <f>SUM(C24:C34)</f>
        <v>308016</v>
      </c>
      <c r="D35" s="35">
        <f>C35/C41</f>
        <v>0.51301483506871848</v>
      </c>
      <c r="E35" s="10">
        <f t="shared" ref="E35:M35" si="26">SUM(E24:E34)</f>
        <v>156713</v>
      </c>
      <c r="F35" s="35">
        <f>E35/E41</f>
        <v>0.3668495690401839</v>
      </c>
      <c r="G35" s="10">
        <f t="shared" si="26"/>
        <v>304392</v>
      </c>
      <c r="H35" s="35">
        <f>G35/G41</f>
        <v>0.56638445937145299</v>
      </c>
      <c r="I35" s="10">
        <f t="shared" si="26"/>
        <v>451191</v>
      </c>
      <c r="J35" s="10">
        <f>SUM(J24:J34)</f>
        <v>0</v>
      </c>
      <c r="K35" s="10">
        <f>SUM(K24:K34)</f>
        <v>451191</v>
      </c>
      <c r="L35" s="35">
        <f>I35/I41</f>
        <v>0.59291276135743298</v>
      </c>
      <c r="M35" s="10">
        <f t="shared" si="26"/>
        <v>1218076</v>
      </c>
      <c r="N35" s="35">
        <f>K35/K41</f>
        <v>0.59291276135743298</v>
      </c>
      <c r="O35" s="62">
        <f>SUM(O24:O34)</f>
        <v>332584.14</v>
      </c>
      <c r="P35" s="10">
        <f t="shared" ref="P35:T35" si="27">SUM(P24:P34)</f>
        <v>293142.554</v>
      </c>
      <c r="Q35" s="10">
        <f t="shared" si="27"/>
        <v>388171.76100000006</v>
      </c>
      <c r="R35" s="10">
        <f t="shared" si="27"/>
        <v>533522.245</v>
      </c>
      <c r="S35" s="63">
        <f t="shared" si="27"/>
        <v>1547420.7</v>
      </c>
      <c r="T35" s="10">
        <f t="shared" si="27"/>
        <v>277143</v>
      </c>
      <c r="U35" s="123">
        <f t="shared" ref="U35:X35" si="28">SUM(U24:U34)</f>
        <v>146688</v>
      </c>
      <c r="V35" s="123">
        <f t="shared" si="28"/>
        <v>112000</v>
      </c>
      <c r="W35" s="123">
        <f t="shared" si="28"/>
        <v>177000</v>
      </c>
      <c r="X35" s="136">
        <f t="shared" si="28"/>
        <v>712831</v>
      </c>
      <c r="Z35" s="10">
        <f t="shared" ref="Z35:AD35" si="29">SUM(Z24:Z34)</f>
        <v>0</v>
      </c>
      <c r="AA35" s="123">
        <f t="shared" si="29"/>
        <v>0</v>
      </c>
      <c r="AB35" s="123">
        <f t="shared" si="29"/>
        <v>0</v>
      </c>
      <c r="AC35" s="123">
        <f t="shared" si="29"/>
        <v>0</v>
      </c>
      <c r="AD35" s="136">
        <f t="shared" si="29"/>
        <v>0</v>
      </c>
      <c r="AE35" s="123">
        <f t="shared" ref="AE35" si="30">SUM(AE24:AE34)</f>
        <v>131206</v>
      </c>
      <c r="AG35" s="10">
        <f>SUM(AG24:AG34)</f>
        <v>464729</v>
      </c>
      <c r="AH35" s="10">
        <f t="shared" ref="AH35:AI35" si="31">SUM(AH24:AH34)</f>
        <v>423831</v>
      </c>
      <c r="AI35" s="10">
        <f t="shared" si="31"/>
        <v>625726.6939999999</v>
      </c>
    </row>
    <row r="36" spans="1:35" ht="20.100000000000001" customHeight="1" x14ac:dyDescent="0.25">
      <c r="C36" s="8"/>
      <c r="D36" s="8"/>
      <c r="E36" s="8"/>
      <c r="F36" s="8"/>
      <c r="G36" s="8"/>
      <c r="H36" s="8"/>
      <c r="I36" s="8"/>
      <c r="J36" s="8"/>
      <c r="K36" s="8"/>
      <c r="L36" s="8"/>
      <c r="M36" s="8"/>
      <c r="N36" s="8"/>
      <c r="O36" s="57"/>
      <c r="P36" s="8"/>
      <c r="Q36" s="8"/>
      <c r="R36" s="8"/>
      <c r="S36" s="59"/>
      <c r="T36" s="8"/>
      <c r="U36" s="121"/>
      <c r="V36" s="121"/>
      <c r="W36" s="121"/>
      <c r="X36" s="135"/>
      <c r="Z36" s="8"/>
      <c r="AA36" s="121"/>
      <c r="AB36" s="121"/>
      <c r="AC36" s="121"/>
      <c r="AD36" s="135"/>
      <c r="AE36" s="121"/>
      <c r="AG36" s="8"/>
      <c r="AH36" s="8"/>
      <c r="AI36" s="8"/>
    </row>
    <row r="37" spans="1:35" ht="20.100000000000001" customHeight="1" x14ac:dyDescent="0.25">
      <c r="O37" s="57"/>
      <c r="P37" s="8"/>
      <c r="Q37" s="8"/>
      <c r="R37" s="8"/>
      <c r="S37" s="59"/>
      <c r="T37" s="8"/>
      <c r="U37" s="121"/>
      <c r="V37" s="121"/>
      <c r="W37" s="121"/>
      <c r="X37" s="135"/>
      <c r="Z37" s="8"/>
      <c r="AA37" s="121"/>
      <c r="AB37" s="121"/>
      <c r="AC37" s="121"/>
      <c r="AD37" s="135"/>
      <c r="AE37" s="121"/>
      <c r="AG37" s="8"/>
      <c r="AH37" s="8"/>
      <c r="AI37" s="8"/>
    </row>
    <row r="38" spans="1:35" ht="20.100000000000001" customHeight="1" x14ac:dyDescent="0.25">
      <c r="A38" t="s">
        <v>280</v>
      </c>
      <c r="C38" s="8">
        <f>C41-C22-C35-C40</f>
        <v>67876.690000000061</v>
      </c>
      <c r="D38" s="31">
        <f>C38/C41</f>
        <v>0.1130517535626739</v>
      </c>
      <c r="E38" s="8">
        <f>E41-E22-E35-E40</f>
        <v>65982</v>
      </c>
      <c r="F38" s="31">
        <f>E38/E41</f>
        <v>0.15445730899420862</v>
      </c>
      <c r="G38" s="8">
        <f>G41-G22-G35-G40</f>
        <v>55994</v>
      </c>
      <c r="H38" s="31">
        <f>G38/G41</f>
        <v>0.10418845244962134</v>
      </c>
      <c r="I38" s="8">
        <f>I41-I22-I35-I40</f>
        <v>40887.670000000042</v>
      </c>
      <c r="J38" s="8"/>
      <c r="K38" s="8">
        <f t="shared" ref="K38:K40" si="32">SUM(I38:J38)</f>
        <v>40887.670000000042</v>
      </c>
      <c r="L38" s="31">
        <f>I38/I41</f>
        <v>5.37307289488742E-2</v>
      </c>
      <c r="M38" s="8">
        <f t="shared" ref="M38:M40" si="33">C38+E38+G38+K38</f>
        <v>230740.3600000001</v>
      </c>
      <c r="N38" s="31">
        <f>K38/K41</f>
        <v>5.37307289488742E-2</v>
      </c>
      <c r="O38" s="57">
        <f>0.2*$S38</f>
        <v>48455.475600000027</v>
      </c>
      <c r="P38" s="8">
        <f>0.22*$S38</f>
        <v>53301.023160000026</v>
      </c>
      <c r="Q38" s="8">
        <f>0.23*$S38</f>
        <v>55723.796940000029</v>
      </c>
      <c r="R38" s="8">
        <f>0.35*$S38</f>
        <v>84797.082300000038</v>
      </c>
      <c r="S38" s="59">
        <f>M38*1.05</f>
        <v>242277.37800000011</v>
      </c>
      <c r="T38" s="8">
        <v>38264</v>
      </c>
      <c r="U38" s="121">
        <v>56618</v>
      </c>
      <c r="V38" s="121">
        <v>50000</v>
      </c>
      <c r="W38" s="121">
        <v>95000</v>
      </c>
      <c r="X38" s="135">
        <f t="shared" ref="X38:X40" si="34">SUM(T38:W38)</f>
        <v>239882</v>
      </c>
      <c r="Y38" s="108" t="s">
        <v>470</v>
      </c>
      <c r="Z38" s="8"/>
      <c r="AA38" s="121"/>
      <c r="AB38" s="121"/>
      <c r="AC38" s="121"/>
      <c r="AD38" s="135">
        <f t="shared" ref="AD38" si="35">SUM(Z38:AC38)</f>
        <v>0</v>
      </c>
      <c r="AE38" s="121">
        <v>82023</v>
      </c>
      <c r="AG38" s="8">
        <f>C38+E38</f>
        <v>133858.69000000006</v>
      </c>
      <c r="AH38" s="8">
        <f>T38+U38</f>
        <v>94882</v>
      </c>
      <c r="AI38" s="8">
        <f>O38+P38</f>
        <v>101756.49876000005</v>
      </c>
    </row>
    <row r="39" spans="1:35" ht="20.100000000000001" customHeight="1" x14ac:dyDescent="0.25">
      <c r="C39" s="8"/>
      <c r="D39" s="31"/>
      <c r="E39" s="8"/>
      <c r="F39" s="31"/>
      <c r="G39" s="8"/>
      <c r="H39" s="31"/>
      <c r="I39" s="8"/>
      <c r="J39" s="8"/>
      <c r="K39" s="8"/>
      <c r="L39" s="31"/>
      <c r="M39" s="8"/>
      <c r="N39" s="31"/>
      <c r="O39" s="57"/>
      <c r="P39" s="8"/>
      <c r="Q39" s="8"/>
      <c r="R39" s="8"/>
      <c r="S39" s="59"/>
      <c r="T39" s="8"/>
      <c r="U39" s="121"/>
      <c r="V39" s="121"/>
      <c r="W39" s="121"/>
      <c r="X39" s="135"/>
      <c r="Z39" s="8"/>
      <c r="AA39" s="121"/>
      <c r="AB39" s="121"/>
      <c r="AC39" s="121"/>
      <c r="AD39" s="135"/>
      <c r="AE39" s="121"/>
      <c r="AG39" s="8"/>
      <c r="AH39" s="8"/>
      <c r="AI39" s="8"/>
    </row>
    <row r="40" spans="1:35" ht="20.100000000000001" customHeight="1" x14ac:dyDescent="0.25">
      <c r="A40" t="s">
        <v>278</v>
      </c>
      <c r="C40" s="9">
        <f>44514+64356</f>
        <v>108870</v>
      </c>
      <c r="D40" s="38">
        <f>C40/C41</f>
        <v>0.18132799949980319</v>
      </c>
      <c r="E40" s="9">
        <f>58581+36293</f>
        <v>94874</v>
      </c>
      <c r="F40" s="38">
        <f>E40/E41</f>
        <v>0.22209061158371296</v>
      </c>
      <c r="G40" s="9">
        <f>54860+46035</f>
        <v>100895</v>
      </c>
      <c r="H40" s="38">
        <f>G40/G41</f>
        <v>0.18773607725657296</v>
      </c>
      <c r="I40" s="9">
        <v>132530</v>
      </c>
      <c r="J40" s="9"/>
      <c r="K40" s="9">
        <f t="shared" si="32"/>
        <v>132530</v>
      </c>
      <c r="L40" s="38">
        <f>I40/I41</f>
        <v>0.1741584567571175</v>
      </c>
      <c r="M40" s="9">
        <f t="shared" si="33"/>
        <v>437169</v>
      </c>
      <c r="N40" s="38">
        <f>K40/K41</f>
        <v>0.1741584567571175</v>
      </c>
      <c r="O40" s="60">
        <f>0.2*$S40</f>
        <v>120000</v>
      </c>
      <c r="P40" s="9">
        <v>100000</v>
      </c>
      <c r="Q40" s="9">
        <v>154000</v>
      </c>
      <c r="R40" s="9">
        <v>242000</v>
      </c>
      <c r="S40" s="61">
        <v>600000</v>
      </c>
      <c r="T40" s="60">
        <v>89837</v>
      </c>
      <c r="U40" s="122">
        <v>78100</v>
      </c>
      <c r="V40" s="122">
        <v>150000</v>
      </c>
      <c r="W40" s="122">
        <v>200000</v>
      </c>
      <c r="X40" s="137">
        <f t="shared" si="34"/>
        <v>517937</v>
      </c>
      <c r="Y40" s="108" t="s">
        <v>454</v>
      </c>
      <c r="Z40" s="60"/>
      <c r="AA40" s="122"/>
      <c r="AB40" s="122"/>
      <c r="AC40" s="122"/>
      <c r="AD40" s="137">
        <f t="shared" ref="AD40" si="36">SUM(Z40:AC40)</f>
        <v>0</v>
      </c>
      <c r="AE40" s="122">
        <v>81613</v>
      </c>
      <c r="AG40" s="9">
        <f>C40+E40</f>
        <v>203744</v>
      </c>
      <c r="AH40" s="9">
        <f>T40+U40</f>
        <v>167937</v>
      </c>
      <c r="AI40" s="9">
        <f>O40+P40</f>
        <v>220000</v>
      </c>
    </row>
    <row r="41" spans="1:35" s="45" customFormat="1" ht="20.100000000000001" customHeight="1" x14ac:dyDescent="0.25">
      <c r="B41" s="45" t="s">
        <v>275</v>
      </c>
      <c r="C41" s="49">
        <f>QB!Q45</f>
        <v>600403.69000000006</v>
      </c>
      <c r="D41" s="49"/>
      <c r="E41" s="49">
        <v>427186</v>
      </c>
      <c r="F41" s="49"/>
      <c r="G41" s="49">
        <v>537430</v>
      </c>
      <c r="H41" s="49"/>
      <c r="I41" s="49">
        <f>QB!T45</f>
        <v>760973.67</v>
      </c>
      <c r="J41" s="49">
        <f>J22+J35+J38+J40</f>
        <v>0</v>
      </c>
      <c r="K41" s="49">
        <f>K22+K35+K38+K40</f>
        <v>760973.67</v>
      </c>
      <c r="L41" s="53">
        <f>I41/I41</f>
        <v>1</v>
      </c>
      <c r="M41" s="49">
        <f>M22+M35+M38+M40</f>
        <v>2323757.3600000003</v>
      </c>
      <c r="N41" s="53">
        <f>K41/K41</f>
        <v>1</v>
      </c>
      <c r="O41" s="64">
        <f t="shared" ref="O41:T41" si="37">O22+O35+O38+O40</f>
        <v>607296.29560000007</v>
      </c>
      <c r="P41" s="49">
        <f t="shared" si="37"/>
        <v>629325.92515999998</v>
      </c>
      <c r="Q41" s="49">
        <f t="shared" si="37"/>
        <v>780340.73994000012</v>
      </c>
      <c r="R41" s="49">
        <f t="shared" si="37"/>
        <v>1130018.5172999999</v>
      </c>
      <c r="S41" s="65">
        <f t="shared" si="37"/>
        <v>3130981.4780000001</v>
      </c>
      <c r="T41" s="49">
        <f t="shared" si="37"/>
        <v>570041</v>
      </c>
      <c r="U41" s="124">
        <f t="shared" ref="U41:X41" si="38">U22+U35+U38+U40</f>
        <v>406100</v>
      </c>
      <c r="V41" s="124">
        <f t="shared" si="38"/>
        <v>520000</v>
      </c>
      <c r="W41" s="124">
        <f t="shared" si="38"/>
        <v>804500</v>
      </c>
      <c r="X41" s="138">
        <f t="shared" si="38"/>
        <v>2300641</v>
      </c>
      <c r="Y41" s="139"/>
      <c r="Z41" s="49">
        <f t="shared" ref="Z41:AD41" si="39">Z22+Z35+Z38+Z40</f>
        <v>0</v>
      </c>
      <c r="AA41" s="124">
        <f t="shared" si="39"/>
        <v>0</v>
      </c>
      <c r="AB41" s="124">
        <f t="shared" si="39"/>
        <v>0</v>
      </c>
      <c r="AC41" s="124">
        <f t="shared" si="39"/>
        <v>0</v>
      </c>
      <c r="AD41" s="138">
        <f t="shared" si="39"/>
        <v>0</v>
      </c>
      <c r="AE41" s="124">
        <f t="shared" ref="AE41" si="40">AE22+AE35+AE38+AE40</f>
        <v>416434</v>
      </c>
      <c r="AF41" s="149"/>
      <c r="AG41" s="10">
        <f>AG22+AG35+AG38+AG40</f>
        <v>1027589.6900000001</v>
      </c>
      <c r="AH41" s="10">
        <f t="shared" ref="AH41:AI41" si="41">AH22+AH35+AH38+AH40</f>
        <v>976141</v>
      </c>
      <c r="AI41" s="10">
        <f t="shared" si="41"/>
        <v>1236622.2207599999</v>
      </c>
    </row>
    <row r="42" spans="1:35" ht="20.100000000000001" customHeight="1" x14ac:dyDescent="0.25">
      <c r="C42" s="8">
        <f>C22+C35+C38+C40</f>
        <v>600403.69000000006</v>
      </c>
      <c r="D42" s="8"/>
      <c r="E42" s="8">
        <f>QB!R45</f>
        <v>427185.57000000007</v>
      </c>
      <c r="F42" s="8"/>
      <c r="G42" s="8">
        <f>QB!S45</f>
        <v>537430.42999999993</v>
      </c>
      <c r="H42" s="8"/>
      <c r="I42" s="8">
        <f>QB!T45</f>
        <v>760973.67</v>
      </c>
      <c r="J42" s="8"/>
      <c r="K42" s="8"/>
      <c r="L42" s="31"/>
      <c r="M42" s="8"/>
      <c r="N42" s="31"/>
      <c r="O42" s="66">
        <f>O41/$S41</f>
        <v>0.19396355419768474</v>
      </c>
      <c r="P42" s="31">
        <f t="shared" ref="P42:S42" si="42">P41/$S41</f>
        <v>0.20099956821271237</v>
      </c>
      <c r="Q42" s="31">
        <f t="shared" si="42"/>
        <v>0.2492319885707098</v>
      </c>
      <c r="R42" s="31">
        <f t="shared" si="42"/>
        <v>0.36091510768751978</v>
      </c>
      <c r="S42" s="31">
        <f t="shared" si="42"/>
        <v>1</v>
      </c>
      <c r="T42" s="125">
        <f>T41/$X41</f>
        <v>0.24777485926748241</v>
      </c>
      <c r="U42" s="125">
        <f t="shared" ref="U42:X42" si="43">U41/$X41</f>
        <v>0.17651602314311532</v>
      </c>
      <c r="V42" s="125">
        <f t="shared" si="43"/>
        <v>0.22602396462551089</v>
      </c>
      <c r="W42" s="125">
        <f t="shared" si="43"/>
        <v>0.34968515296389135</v>
      </c>
      <c r="X42" s="125">
        <f t="shared" si="43"/>
        <v>1</v>
      </c>
      <c r="Z42" s="125">
        <f>Z41/$X41</f>
        <v>0</v>
      </c>
      <c r="AA42" s="125">
        <f t="shared" ref="AA42:AD42" si="44">AA41/$X41</f>
        <v>0</v>
      </c>
      <c r="AB42" s="125">
        <f t="shared" si="44"/>
        <v>0</v>
      </c>
      <c r="AC42" s="125">
        <f t="shared" si="44"/>
        <v>0</v>
      </c>
      <c r="AD42" s="125">
        <f t="shared" si="44"/>
        <v>0</v>
      </c>
      <c r="AE42" s="125">
        <f t="shared" ref="AE42" si="45">AE41/$X41</f>
        <v>0.18100781477857691</v>
      </c>
    </row>
    <row r="43" spans="1:35" ht="20.100000000000001" customHeight="1" x14ac:dyDescent="0.25">
      <c r="C43" s="8"/>
      <c r="D43" s="8"/>
      <c r="E43" s="8"/>
      <c r="F43" s="8"/>
      <c r="G43" s="8"/>
      <c r="H43" s="8"/>
      <c r="I43" s="8"/>
      <c r="J43" s="8"/>
      <c r="K43" s="8"/>
      <c r="L43" s="31"/>
      <c r="M43" s="8"/>
      <c r="N43" s="31"/>
      <c r="O43" s="66"/>
      <c r="P43" s="31"/>
      <c r="Q43" s="31"/>
      <c r="R43" s="31"/>
      <c r="S43" s="67"/>
      <c r="T43" s="8"/>
      <c r="U43" s="108"/>
      <c r="V43" s="140"/>
    </row>
    <row r="44" spans="1:35" hidden="1" x14ac:dyDescent="0.25">
      <c r="C44" s="8"/>
      <c r="D44" s="8"/>
      <c r="E44" s="8"/>
      <c r="F44" s="8"/>
      <c r="G44" s="8"/>
      <c r="H44" s="8"/>
      <c r="I44" s="8"/>
      <c r="J44" s="8"/>
      <c r="K44" s="8"/>
      <c r="L44" s="31"/>
      <c r="M44" s="8"/>
      <c r="N44" s="31"/>
      <c r="O44" s="66"/>
      <c r="P44" s="31"/>
      <c r="Q44" s="31"/>
      <c r="R44" s="31"/>
      <c r="S44" s="67"/>
      <c r="T44" s="8"/>
    </row>
    <row r="45" spans="1:35" hidden="1" x14ac:dyDescent="0.25">
      <c r="C45" s="8"/>
      <c r="D45" s="8"/>
      <c r="E45" s="8"/>
      <c r="F45" s="8"/>
      <c r="G45" s="8"/>
      <c r="H45" s="8"/>
      <c r="I45" s="8"/>
      <c r="J45" s="8"/>
      <c r="K45" s="8"/>
      <c r="L45" s="31"/>
      <c r="M45" s="8"/>
      <c r="N45" s="31"/>
      <c r="O45" s="66"/>
      <c r="P45" s="31"/>
      <c r="Q45" s="31"/>
      <c r="R45" s="31"/>
      <c r="S45" s="67"/>
      <c r="T45" s="8">
        <v>5611</v>
      </c>
    </row>
    <row r="46" spans="1:35" hidden="1" x14ac:dyDescent="0.25">
      <c r="C46" s="8"/>
      <c r="D46" s="8"/>
      <c r="E46" s="8"/>
      <c r="F46" s="8"/>
      <c r="G46" s="8"/>
      <c r="H46" s="8"/>
      <c r="I46" s="8"/>
      <c r="J46" s="8"/>
      <c r="K46" s="8"/>
      <c r="L46" s="8"/>
      <c r="M46" s="8"/>
      <c r="N46" s="8"/>
      <c r="O46" s="60"/>
      <c r="P46" s="9"/>
      <c r="Q46" s="9"/>
      <c r="R46" s="9"/>
      <c r="S46" s="61"/>
    </row>
    <row r="47" spans="1:35" s="39" customFormat="1" hidden="1" x14ac:dyDescent="0.25">
      <c r="B47" s="39" t="s">
        <v>271</v>
      </c>
      <c r="C47" s="40">
        <v>476612</v>
      </c>
      <c r="D47" s="40"/>
      <c r="E47" s="40">
        <v>310960</v>
      </c>
      <c r="F47" s="40"/>
      <c r="G47" s="40">
        <v>426300</v>
      </c>
      <c r="H47" s="40"/>
      <c r="I47" s="40">
        <v>623345</v>
      </c>
      <c r="J47" s="40"/>
      <c r="K47" s="40"/>
      <c r="L47" s="40"/>
      <c r="M47" s="40"/>
      <c r="N47" s="40"/>
      <c r="O47" s="8"/>
      <c r="P47" s="8"/>
      <c r="Q47" s="8"/>
      <c r="R47" s="8"/>
      <c r="S47" s="8"/>
      <c r="U47" s="105"/>
      <c r="V47" s="140"/>
      <c r="W47" s="140"/>
      <c r="X47" s="140"/>
      <c r="Y47" s="140"/>
      <c r="Z47" s="140"/>
      <c r="AA47" s="140"/>
      <c r="AB47" s="140"/>
      <c r="AC47" s="140"/>
      <c r="AD47" s="140"/>
      <c r="AE47" s="140"/>
      <c r="AF47" s="150"/>
    </row>
    <row r="48" spans="1:35" s="39" customFormat="1" hidden="1" x14ac:dyDescent="0.25">
      <c r="B48" s="39" t="s">
        <v>279</v>
      </c>
      <c r="C48" s="40">
        <f>C47-C22-C35</f>
        <v>52955</v>
      </c>
      <c r="D48" s="40"/>
      <c r="E48" s="40">
        <f>E47-E22-E35</f>
        <v>44630</v>
      </c>
      <c r="F48" s="40"/>
      <c r="G48" s="40">
        <f>G47-G22-G35</f>
        <v>45759</v>
      </c>
      <c r="H48" s="40"/>
      <c r="I48" s="40">
        <f>I47-I22-I35</f>
        <v>35789</v>
      </c>
      <c r="J48" s="40"/>
      <c r="K48" s="40"/>
      <c r="L48" s="40"/>
      <c r="M48" s="40"/>
      <c r="N48" s="40"/>
      <c r="O48" s="8"/>
      <c r="P48" s="8"/>
      <c r="Q48" s="8"/>
      <c r="R48" s="8"/>
      <c r="S48" s="8"/>
      <c r="V48" s="140"/>
      <c r="W48" s="140"/>
      <c r="X48" s="140"/>
      <c r="Y48" s="140"/>
      <c r="Z48" s="140"/>
      <c r="AA48" s="140"/>
      <c r="AB48" s="140"/>
      <c r="AC48" s="140"/>
      <c r="AD48" s="140"/>
      <c r="AE48" s="140"/>
      <c r="AF48" s="150"/>
    </row>
    <row r="49" spans="3:21" hidden="1" x14ac:dyDescent="0.25">
      <c r="C49" s="8"/>
      <c r="D49" s="8"/>
      <c r="E49" s="8"/>
      <c r="F49" s="8"/>
      <c r="G49" s="8"/>
      <c r="H49" s="8"/>
      <c r="I49" s="8"/>
      <c r="J49" s="8"/>
      <c r="K49" s="8"/>
      <c r="L49" s="8"/>
      <c r="M49" s="8"/>
      <c r="N49" s="8"/>
      <c r="O49" s="8"/>
      <c r="P49" s="8"/>
      <c r="Q49" s="8"/>
      <c r="R49" s="8"/>
      <c r="S49" s="8"/>
      <c r="U49" s="108"/>
    </row>
    <row r="50" spans="3:21" hidden="1" x14ac:dyDescent="0.25">
      <c r="C50" s="8"/>
      <c r="D50" s="8"/>
      <c r="E50" s="8"/>
      <c r="F50" s="8"/>
      <c r="G50" s="8"/>
      <c r="H50" s="8"/>
      <c r="I50" s="8"/>
      <c r="J50" s="8"/>
      <c r="K50" s="8"/>
      <c r="L50" s="8"/>
      <c r="M50" s="8"/>
      <c r="N50" s="8"/>
      <c r="O50" s="8"/>
      <c r="P50" s="8"/>
      <c r="Q50" s="8"/>
      <c r="R50" s="8"/>
      <c r="S50" s="8"/>
    </row>
    <row r="51" spans="3:21" hidden="1" x14ac:dyDescent="0.25">
      <c r="O51" s="8"/>
      <c r="P51" s="8"/>
      <c r="Q51" s="8"/>
      <c r="R51" s="8"/>
      <c r="S51" s="8"/>
    </row>
    <row r="52" spans="3:21" hidden="1" x14ac:dyDescent="0.25">
      <c r="O52" s="8"/>
      <c r="P52" s="8"/>
      <c r="Q52" s="8"/>
      <c r="R52" s="8"/>
      <c r="S52" s="8"/>
    </row>
    <row r="53" spans="3:21" hidden="1" x14ac:dyDescent="0.25">
      <c r="O53" s="8"/>
      <c r="P53" s="8"/>
      <c r="Q53" s="8"/>
      <c r="R53" s="8"/>
      <c r="S53" s="8"/>
    </row>
    <row r="54" spans="3:21" hidden="1" x14ac:dyDescent="0.25">
      <c r="O54" s="8"/>
      <c r="P54" s="8"/>
      <c r="Q54" s="8"/>
      <c r="R54" s="8"/>
      <c r="S54" s="8"/>
      <c r="T54">
        <v>570041</v>
      </c>
    </row>
  </sheetData>
  <mergeCells count="4">
    <mergeCell ref="C3:N3"/>
    <mergeCell ref="O3:S3"/>
    <mergeCell ref="Z3:AD3"/>
    <mergeCell ref="T3:X3"/>
  </mergeCells>
  <pageMargins left="0.7" right="0.7" top="0.75" bottom="0.75" header="0.3" footer="0.3"/>
  <pageSetup scale="6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9E3B-7A53-48A7-868A-E87B6D11808C}">
  <dimension ref="A1:S45"/>
  <sheetViews>
    <sheetView workbookViewId="0">
      <pane xSplit="2" ySplit="3" topLeftCell="C4" activePane="bottomRight" state="frozen"/>
      <selection pane="topRight" activeCell="C1" sqref="C1"/>
      <selection pane="bottomLeft" activeCell="A4" sqref="A4"/>
      <selection pane="bottomRight" activeCell="P18" sqref="P18"/>
    </sheetView>
  </sheetViews>
  <sheetFormatPr defaultColWidth="9.140625" defaultRowHeight="15" x14ac:dyDescent="0.25"/>
  <cols>
    <col min="1" max="1" width="27.85546875" style="26" customWidth="1"/>
    <col min="2" max="2" width="28.85546875" style="26" customWidth="1"/>
    <col min="3" max="13" width="10.7109375" style="26" customWidth="1"/>
    <col min="14" max="14" width="9.140625" style="26"/>
    <col min="15" max="15" width="1.42578125" style="26" customWidth="1"/>
    <col min="16" max="16384" width="9.140625" style="26"/>
  </cols>
  <sheetData>
    <row r="1" spans="1:19" s="23" customFormat="1" x14ac:dyDescent="0.25"/>
    <row r="2" spans="1:19" s="24" customFormat="1" x14ac:dyDescent="0.25">
      <c r="C2" s="93" t="s">
        <v>316</v>
      </c>
      <c r="D2" s="93" t="s">
        <v>316</v>
      </c>
      <c r="E2" s="93" t="s">
        <v>314</v>
      </c>
      <c r="F2" s="24" t="s">
        <v>204</v>
      </c>
      <c r="G2" s="24" t="s">
        <v>205</v>
      </c>
      <c r="H2" s="24" t="s">
        <v>206</v>
      </c>
      <c r="I2" s="24" t="s">
        <v>207</v>
      </c>
      <c r="J2" s="24" t="s">
        <v>208</v>
      </c>
      <c r="K2" s="24" t="s">
        <v>209</v>
      </c>
      <c r="L2" s="24" t="s">
        <v>210</v>
      </c>
      <c r="M2" s="24" t="s">
        <v>211</v>
      </c>
      <c r="N2" s="24" t="s">
        <v>212</v>
      </c>
      <c r="P2" s="273" t="s">
        <v>298</v>
      </c>
      <c r="Q2" s="273"/>
      <c r="R2" s="273"/>
      <c r="S2" s="273"/>
    </row>
    <row r="3" spans="1:19" s="24" customFormat="1" ht="15" customHeight="1" x14ac:dyDescent="0.25">
      <c r="C3" s="93" t="s">
        <v>318</v>
      </c>
      <c r="D3" s="93" t="s">
        <v>317</v>
      </c>
      <c r="E3" s="93" t="s">
        <v>315</v>
      </c>
      <c r="F3" s="24" t="s">
        <v>213</v>
      </c>
      <c r="G3" s="24" t="s">
        <v>214</v>
      </c>
      <c r="H3" s="24" t="s">
        <v>215</v>
      </c>
      <c r="I3" s="24" t="s">
        <v>216</v>
      </c>
      <c r="J3" s="24" t="s">
        <v>217</v>
      </c>
      <c r="K3" s="24" t="s">
        <v>218</v>
      </c>
      <c r="L3" s="24" t="s">
        <v>219</v>
      </c>
      <c r="M3" s="24" t="s">
        <v>220</v>
      </c>
      <c r="N3" s="24" t="s">
        <v>221</v>
      </c>
      <c r="P3" s="68" t="s">
        <v>187</v>
      </c>
      <c r="Q3" s="68" t="s">
        <v>188</v>
      </c>
      <c r="R3" s="68" t="s">
        <v>189</v>
      </c>
      <c r="S3" s="68" t="s">
        <v>190</v>
      </c>
    </row>
    <row r="4" spans="1:19" s="24" customFormat="1" ht="15" customHeight="1" x14ac:dyDescent="0.25">
      <c r="A4" s="25" t="s">
        <v>222</v>
      </c>
      <c r="B4" s="25"/>
      <c r="C4" s="25"/>
      <c r="D4" s="25"/>
      <c r="E4" s="25"/>
    </row>
    <row r="5" spans="1:19" ht="15" customHeight="1" x14ac:dyDescent="0.25">
      <c r="A5" s="26" t="s">
        <v>223</v>
      </c>
      <c r="B5" s="32" t="s">
        <v>247</v>
      </c>
      <c r="C5" s="27">
        <v>2354</v>
      </c>
      <c r="D5" s="27">
        <v>2354</v>
      </c>
      <c r="E5" s="27">
        <v>2354</v>
      </c>
      <c r="F5" s="27">
        <v>2354</v>
      </c>
      <c r="G5" s="27">
        <v>2354</v>
      </c>
      <c r="H5" s="27">
        <v>2180</v>
      </c>
      <c r="I5" s="27">
        <v>2180</v>
      </c>
      <c r="J5" s="27">
        <v>2180</v>
      </c>
      <c r="K5" s="27">
        <v>2180</v>
      </c>
      <c r="L5" s="27">
        <v>2180</v>
      </c>
      <c r="M5" s="27">
        <v>2180</v>
      </c>
      <c r="N5" s="27">
        <v>2180</v>
      </c>
      <c r="O5" s="27"/>
      <c r="P5" s="27">
        <f>F5*6</f>
        <v>14124</v>
      </c>
      <c r="Q5" s="27">
        <f>P5</f>
        <v>14124</v>
      </c>
      <c r="R5" s="27">
        <f t="shared" ref="R5:S5" si="0">Q5</f>
        <v>14124</v>
      </c>
      <c r="S5" s="27">
        <f t="shared" si="0"/>
        <v>14124</v>
      </c>
    </row>
    <row r="6" spans="1:19" x14ac:dyDescent="0.25">
      <c r="A6" s="26" t="s">
        <v>224</v>
      </c>
      <c r="B6" s="32" t="s">
        <v>248</v>
      </c>
      <c r="C6" s="27">
        <v>2372</v>
      </c>
      <c r="D6" s="27">
        <v>2372</v>
      </c>
      <c r="E6" s="27">
        <v>2372</v>
      </c>
      <c r="F6" s="27">
        <v>2372</v>
      </c>
      <c r="G6" s="27">
        <v>2372</v>
      </c>
      <c r="H6" s="27">
        <v>2156</v>
      </c>
      <c r="I6" s="27">
        <v>2156</v>
      </c>
      <c r="J6" s="27">
        <v>2156</v>
      </c>
      <c r="K6" s="27">
        <v>2156</v>
      </c>
      <c r="L6" s="27">
        <v>2156</v>
      </c>
      <c r="M6" s="27">
        <v>2156</v>
      </c>
      <c r="N6" s="27">
        <v>2156</v>
      </c>
      <c r="O6" s="27"/>
      <c r="P6" s="27">
        <f t="shared" ref="P6:P13" si="1">F6*6</f>
        <v>14232</v>
      </c>
      <c r="Q6" s="27">
        <f t="shared" ref="Q6:S14" si="2">P6</f>
        <v>14232</v>
      </c>
      <c r="R6" s="27">
        <f t="shared" si="2"/>
        <v>14232</v>
      </c>
      <c r="S6" s="27">
        <f t="shared" si="2"/>
        <v>14232</v>
      </c>
    </row>
    <row r="7" spans="1:19" x14ac:dyDescent="0.25">
      <c r="A7" s="26" t="s">
        <v>225</v>
      </c>
      <c r="B7" s="32" t="s">
        <v>249</v>
      </c>
      <c r="C7" s="27">
        <v>3195</v>
      </c>
      <c r="D7" s="27">
        <v>2925</v>
      </c>
      <c r="E7" s="27">
        <v>2925</v>
      </c>
      <c r="F7" s="27">
        <v>2925</v>
      </c>
      <c r="G7" s="27">
        <v>2925</v>
      </c>
      <c r="H7" s="27">
        <v>2708</v>
      </c>
      <c r="I7" s="27">
        <v>2708</v>
      </c>
      <c r="J7" s="27">
        <v>2708</v>
      </c>
      <c r="K7" s="27">
        <v>2708</v>
      </c>
      <c r="L7" s="27">
        <v>2708</v>
      </c>
      <c r="M7" s="27">
        <v>2708</v>
      </c>
      <c r="N7" s="27">
        <v>2708</v>
      </c>
      <c r="O7" s="27"/>
      <c r="P7" s="27">
        <f t="shared" si="1"/>
        <v>17550</v>
      </c>
      <c r="Q7" s="27">
        <f t="shared" si="2"/>
        <v>17550</v>
      </c>
      <c r="R7" s="27">
        <f t="shared" si="2"/>
        <v>17550</v>
      </c>
      <c r="S7" s="27">
        <f t="shared" si="2"/>
        <v>17550</v>
      </c>
    </row>
    <row r="8" spans="1:19" x14ac:dyDescent="0.25">
      <c r="A8" s="26" t="s">
        <v>226</v>
      </c>
      <c r="B8" s="32" t="s">
        <v>250</v>
      </c>
      <c r="C8" s="27">
        <v>2287</v>
      </c>
      <c r="D8" s="27">
        <v>2287</v>
      </c>
      <c r="E8" s="27">
        <v>2287</v>
      </c>
      <c r="F8" s="27">
        <v>2287</v>
      </c>
      <c r="G8" s="27">
        <v>2287</v>
      </c>
      <c r="H8" s="27">
        <v>2079</v>
      </c>
      <c r="I8" s="27">
        <v>2079</v>
      </c>
      <c r="J8" s="27">
        <v>2079</v>
      </c>
      <c r="K8" s="27">
        <v>2079</v>
      </c>
      <c r="L8" s="27">
        <v>2079</v>
      </c>
      <c r="M8" s="27">
        <v>2079</v>
      </c>
      <c r="N8" s="27">
        <v>2079</v>
      </c>
      <c r="O8" s="27"/>
      <c r="P8" s="27">
        <f t="shared" si="1"/>
        <v>13722</v>
      </c>
      <c r="Q8" s="27">
        <f t="shared" si="2"/>
        <v>13722</v>
      </c>
      <c r="R8" s="27">
        <f t="shared" si="2"/>
        <v>13722</v>
      </c>
      <c r="S8" s="27">
        <f t="shared" si="2"/>
        <v>13722</v>
      </c>
    </row>
    <row r="9" spans="1:19" x14ac:dyDescent="0.25">
      <c r="A9" s="26" t="s">
        <v>227</v>
      </c>
      <c r="B9" s="32" t="s">
        <v>251</v>
      </c>
      <c r="C9" s="27">
        <v>3125</v>
      </c>
      <c r="D9" s="27">
        <v>3125</v>
      </c>
      <c r="E9" s="27">
        <v>3125</v>
      </c>
      <c r="F9" s="27">
        <v>3125</v>
      </c>
      <c r="G9" s="27"/>
      <c r="H9" s="27">
        <v>3125</v>
      </c>
      <c r="I9" s="27">
        <v>3125</v>
      </c>
      <c r="J9" s="27">
        <v>3125</v>
      </c>
      <c r="K9" s="27">
        <v>3125</v>
      </c>
      <c r="L9" s="27">
        <v>3125</v>
      </c>
      <c r="M9" s="27">
        <v>3125</v>
      </c>
      <c r="N9" s="27">
        <v>3125</v>
      </c>
      <c r="O9" s="27"/>
      <c r="P9" s="27">
        <f t="shared" si="1"/>
        <v>18750</v>
      </c>
      <c r="Q9" s="27">
        <f t="shared" si="2"/>
        <v>18750</v>
      </c>
      <c r="R9" s="27">
        <f t="shared" si="2"/>
        <v>18750</v>
      </c>
      <c r="S9" s="27">
        <f t="shared" si="2"/>
        <v>18750</v>
      </c>
    </row>
    <row r="10" spans="1:19" x14ac:dyDescent="0.25">
      <c r="A10" s="26" t="s">
        <v>228</v>
      </c>
      <c r="B10" s="32" t="s">
        <v>252</v>
      </c>
      <c r="C10" s="27">
        <v>3125</v>
      </c>
      <c r="D10" s="27">
        <v>3125</v>
      </c>
      <c r="E10" s="27">
        <v>3125</v>
      </c>
      <c r="F10" s="27">
        <v>3125</v>
      </c>
      <c r="G10" s="27"/>
      <c r="H10" s="27">
        <v>3125</v>
      </c>
      <c r="I10" s="27">
        <v>3125</v>
      </c>
      <c r="J10" s="27">
        <v>3125</v>
      </c>
      <c r="K10" s="27">
        <v>3125</v>
      </c>
      <c r="L10" s="27">
        <v>3125</v>
      </c>
      <c r="M10" s="27">
        <v>3125</v>
      </c>
      <c r="N10" s="27">
        <v>3125</v>
      </c>
      <c r="O10" s="27"/>
      <c r="P10" s="27">
        <f t="shared" si="1"/>
        <v>18750</v>
      </c>
      <c r="Q10" s="27">
        <f t="shared" si="2"/>
        <v>18750</v>
      </c>
      <c r="R10" s="27">
        <f t="shared" si="2"/>
        <v>18750</v>
      </c>
      <c r="S10" s="27">
        <f t="shared" si="2"/>
        <v>18750</v>
      </c>
    </row>
    <row r="11" spans="1:19" x14ac:dyDescent="0.25">
      <c r="A11" s="26" t="s">
        <v>229</v>
      </c>
      <c r="B11" s="32" t="s">
        <v>253</v>
      </c>
      <c r="C11" s="27">
        <v>1625</v>
      </c>
      <c r="D11" s="27">
        <v>1664</v>
      </c>
      <c r="E11" s="27">
        <v>1664</v>
      </c>
      <c r="F11" s="27">
        <v>1664</v>
      </c>
      <c r="G11" s="27">
        <v>1664</v>
      </c>
      <c r="H11" s="27">
        <v>1540</v>
      </c>
      <c r="I11" s="27">
        <v>1540</v>
      </c>
      <c r="J11" s="27">
        <v>1540</v>
      </c>
      <c r="K11" s="27">
        <v>1540</v>
      </c>
      <c r="L11" s="27">
        <v>1540</v>
      </c>
      <c r="M11" s="27">
        <v>1540</v>
      </c>
      <c r="N11" s="27">
        <v>1540</v>
      </c>
      <c r="O11" s="27"/>
      <c r="P11" s="27">
        <f t="shared" si="1"/>
        <v>9984</v>
      </c>
      <c r="Q11" s="27">
        <f t="shared" si="2"/>
        <v>9984</v>
      </c>
      <c r="R11" s="27">
        <f t="shared" si="2"/>
        <v>9984</v>
      </c>
      <c r="S11" s="27">
        <f t="shared" si="2"/>
        <v>9984</v>
      </c>
    </row>
    <row r="12" spans="1:19" x14ac:dyDescent="0.25">
      <c r="A12" s="26" t="s">
        <v>230</v>
      </c>
      <c r="B12" s="32" t="s">
        <v>254</v>
      </c>
      <c r="C12" s="27">
        <v>1750</v>
      </c>
      <c r="D12" s="27">
        <v>1750</v>
      </c>
      <c r="E12" s="27">
        <v>1750</v>
      </c>
      <c r="F12" s="27">
        <v>1750</v>
      </c>
      <c r="G12" s="27">
        <v>1750</v>
      </c>
      <c r="H12" s="27">
        <v>1750</v>
      </c>
      <c r="I12" s="27">
        <v>1750</v>
      </c>
      <c r="J12" s="27">
        <v>1750</v>
      </c>
      <c r="K12" s="27">
        <v>1292</v>
      </c>
      <c r="L12" s="27"/>
      <c r="M12" s="27"/>
      <c r="N12" s="27"/>
      <c r="O12" s="27"/>
      <c r="P12" s="27">
        <f t="shared" si="1"/>
        <v>10500</v>
      </c>
      <c r="Q12" s="27">
        <f t="shared" si="2"/>
        <v>10500</v>
      </c>
      <c r="R12" s="27">
        <f t="shared" si="2"/>
        <v>10500</v>
      </c>
      <c r="S12" s="27">
        <f t="shared" si="2"/>
        <v>10500</v>
      </c>
    </row>
    <row r="13" spans="1:19" x14ac:dyDescent="0.25">
      <c r="A13" s="26" t="s">
        <v>231</v>
      </c>
      <c r="B13" s="32" t="s">
        <v>253</v>
      </c>
      <c r="C13" s="28">
        <v>1501</v>
      </c>
      <c r="D13" s="28">
        <v>1501</v>
      </c>
      <c r="E13" s="28">
        <v>1501</v>
      </c>
      <c r="F13" s="28">
        <v>1501</v>
      </c>
      <c r="G13" s="28">
        <v>1501</v>
      </c>
      <c r="H13" s="28">
        <v>1390</v>
      </c>
      <c r="I13" s="28">
        <v>1390</v>
      </c>
      <c r="J13" s="28">
        <v>1390</v>
      </c>
      <c r="K13" s="28">
        <v>1390</v>
      </c>
      <c r="L13" s="28">
        <v>1390</v>
      </c>
      <c r="M13" s="28">
        <v>1390</v>
      </c>
      <c r="N13" s="28">
        <v>1390</v>
      </c>
      <c r="O13" s="27"/>
      <c r="P13" s="27">
        <f t="shared" si="1"/>
        <v>9006</v>
      </c>
      <c r="Q13" s="27">
        <f t="shared" si="2"/>
        <v>9006</v>
      </c>
      <c r="R13" s="27">
        <f t="shared" si="2"/>
        <v>9006</v>
      </c>
      <c r="S13" s="27">
        <f t="shared" si="2"/>
        <v>9006</v>
      </c>
    </row>
    <row r="14" spans="1:19" x14ac:dyDescent="0.25">
      <c r="A14" s="26" t="s">
        <v>242</v>
      </c>
      <c r="B14" s="32"/>
      <c r="C14" s="27"/>
      <c r="D14" s="27"/>
      <c r="E14" s="27"/>
      <c r="F14" s="27"/>
      <c r="G14" s="27"/>
      <c r="H14" s="27"/>
      <c r="I14" s="27"/>
      <c r="J14" s="27"/>
      <c r="K14" s="27"/>
      <c r="L14" s="27"/>
      <c r="M14" s="27"/>
      <c r="N14" s="27"/>
      <c r="O14" s="27"/>
      <c r="P14" s="27"/>
      <c r="Q14" s="27"/>
      <c r="R14" s="27">
        <f>F27*2080/4</f>
        <v>9100</v>
      </c>
      <c r="S14" s="27">
        <f t="shared" si="2"/>
        <v>9100</v>
      </c>
    </row>
    <row r="15" spans="1:19" x14ac:dyDescent="0.25">
      <c r="B15" s="32"/>
      <c r="C15" s="27"/>
      <c r="D15" s="27"/>
      <c r="E15" s="27"/>
      <c r="F15" s="27"/>
      <c r="G15" s="27"/>
      <c r="H15" s="27"/>
      <c r="I15" s="27"/>
      <c r="J15" s="27"/>
      <c r="K15" s="27"/>
      <c r="L15" s="27"/>
      <c r="M15" s="27"/>
      <c r="N15" s="27"/>
      <c r="O15" s="27"/>
      <c r="P15" s="27"/>
      <c r="Q15" s="27"/>
      <c r="R15" s="27"/>
      <c r="S15" s="27"/>
    </row>
    <row r="16" spans="1:19" x14ac:dyDescent="0.25">
      <c r="B16" s="32"/>
      <c r="C16" s="27"/>
      <c r="D16" s="27"/>
      <c r="E16" s="27"/>
      <c r="F16" s="27"/>
      <c r="G16" s="27"/>
      <c r="H16" s="27"/>
      <c r="I16" s="27"/>
      <c r="J16" s="27"/>
      <c r="K16" s="27"/>
      <c r="L16" s="27"/>
      <c r="M16" s="27"/>
      <c r="N16" s="27"/>
      <c r="O16" s="27"/>
      <c r="P16" s="27"/>
      <c r="Q16" s="27"/>
      <c r="R16" s="27"/>
      <c r="S16" s="27"/>
    </row>
    <row r="17" spans="1:19" x14ac:dyDescent="0.25">
      <c r="A17" s="26" t="s">
        <v>232</v>
      </c>
      <c r="C17" s="27">
        <f t="shared" ref="C17:D17" si="3">SUM(C5:C13)</f>
        <v>21334</v>
      </c>
      <c r="D17" s="27">
        <f t="shared" si="3"/>
        <v>21103</v>
      </c>
      <c r="E17" s="27">
        <f t="shared" ref="E17:N17" si="4">SUM(E5:E13)</f>
        <v>21103</v>
      </c>
      <c r="F17" s="27">
        <f t="shared" si="4"/>
        <v>21103</v>
      </c>
      <c r="G17" s="27">
        <f t="shared" si="4"/>
        <v>14853</v>
      </c>
      <c r="H17" s="27">
        <f t="shared" si="4"/>
        <v>20053</v>
      </c>
      <c r="I17" s="27">
        <f t="shared" si="4"/>
        <v>20053</v>
      </c>
      <c r="J17" s="27">
        <f t="shared" si="4"/>
        <v>20053</v>
      </c>
      <c r="K17" s="27">
        <f t="shared" si="4"/>
        <v>19595</v>
      </c>
      <c r="L17" s="27">
        <f t="shared" si="4"/>
        <v>18303</v>
      </c>
      <c r="M17" s="27">
        <f t="shared" si="4"/>
        <v>18303</v>
      </c>
      <c r="N17" s="27">
        <f t="shared" si="4"/>
        <v>18303</v>
      </c>
      <c r="O17" s="27"/>
      <c r="P17" s="27">
        <f>SUM(P5:P16)</f>
        <v>126618</v>
      </c>
      <c r="Q17" s="27">
        <f t="shared" ref="Q17:S17" si="5">SUM(Q5:Q16)</f>
        <v>126618</v>
      </c>
      <c r="R17" s="27">
        <f t="shared" si="5"/>
        <v>135718</v>
      </c>
      <c r="S17" s="27">
        <f t="shared" si="5"/>
        <v>135718</v>
      </c>
    </row>
    <row r="18" spans="1:19" x14ac:dyDescent="0.25">
      <c r="A18" s="26" t="s">
        <v>233</v>
      </c>
      <c r="C18" s="27">
        <v>1591</v>
      </c>
      <c r="D18" s="27">
        <v>1573</v>
      </c>
      <c r="E18" s="27">
        <v>1573</v>
      </c>
      <c r="F18" s="27">
        <v>1575</v>
      </c>
      <c r="G18" s="27">
        <v>1103</v>
      </c>
      <c r="H18" s="27">
        <v>1509</v>
      </c>
      <c r="I18" s="27">
        <v>1509</v>
      </c>
      <c r="J18" s="27">
        <v>1509</v>
      </c>
      <c r="K18" s="27">
        <v>1470</v>
      </c>
      <c r="L18" s="27">
        <v>1359</v>
      </c>
      <c r="M18" s="27">
        <v>1359</v>
      </c>
      <c r="N18" s="27">
        <v>1359</v>
      </c>
      <c r="O18" s="27"/>
      <c r="P18" s="27">
        <f>P17*0.08</f>
        <v>10129.44</v>
      </c>
      <c r="Q18" s="27">
        <f t="shared" ref="Q18:S18" si="6">Q17*0.08</f>
        <v>10129.44</v>
      </c>
      <c r="R18" s="27">
        <f t="shared" si="6"/>
        <v>10857.44</v>
      </c>
      <c r="S18" s="27">
        <f t="shared" si="6"/>
        <v>10857.44</v>
      </c>
    </row>
    <row r="19" spans="1:19" x14ac:dyDescent="0.25">
      <c r="A19" s="26" t="s">
        <v>234</v>
      </c>
      <c r="C19" s="27">
        <v>771</v>
      </c>
      <c r="D19" s="27">
        <v>771</v>
      </c>
      <c r="E19" s="27">
        <v>771</v>
      </c>
      <c r="F19" s="27">
        <v>771</v>
      </c>
      <c r="G19" s="27">
        <v>771</v>
      </c>
      <c r="H19" s="27">
        <v>771</v>
      </c>
      <c r="I19" s="27">
        <v>771</v>
      </c>
      <c r="J19" s="27">
        <v>771</v>
      </c>
      <c r="K19" s="27">
        <v>771</v>
      </c>
      <c r="L19" s="27">
        <v>771</v>
      </c>
      <c r="M19" s="27">
        <v>771</v>
      </c>
      <c r="N19" s="27">
        <v>771</v>
      </c>
      <c r="O19" s="27"/>
      <c r="P19" s="27">
        <f>F19*6</f>
        <v>4626</v>
      </c>
      <c r="Q19" s="27">
        <f t="shared" ref="Q19:S19" si="7">G19*6</f>
        <v>4626</v>
      </c>
      <c r="R19" s="27">
        <f>(H19*6)+600</f>
        <v>5226</v>
      </c>
      <c r="S19" s="27">
        <f t="shared" si="7"/>
        <v>4626</v>
      </c>
    </row>
    <row r="20" spans="1:19" x14ac:dyDescent="0.25">
      <c r="A20" s="26" t="s">
        <v>154</v>
      </c>
      <c r="C20" s="28">
        <v>200</v>
      </c>
      <c r="D20" s="28">
        <v>200</v>
      </c>
      <c r="E20" s="28">
        <v>168</v>
      </c>
      <c r="F20" s="28"/>
      <c r="G20" s="28"/>
      <c r="H20" s="28"/>
      <c r="I20" s="28">
        <v>285</v>
      </c>
      <c r="J20" s="28">
        <v>274</v>
      </c>
      <c r="K20" s="28">
        <v>310</v>
      </c>
      <c r="L20" s="28"/>
      <c r="M20" s="28">
        <v>38</v>
      </c>
      <c r="N20" s="28"/>
      <c r="O20" s="27"/>
      <c r="P20" s="28"/>
      <c r="Q20" s="28"/>
      <c r="R20" s="28"/>
      <c r="S20" s="28"/>
    </row>
    <row r="21" spans="1:19" x14ac:dyDescent="0.25">
      <c r="A21" s="26" t="s">
        <v>235</v>
      </c>
      <c r="C21" s="27">
        <f t="shared" ref="C21:R21" si="8">SUM(C17:C20)</f>
        <v>23896</v>
      </c>
      <c r="D21" s="27">
        <f t="shared" si="8"/>
        <v>23647</v>
      </c>
      <c r="E21" s="27">
        <f t="shared" si="8"/>
        <v>23615</v>
      </c>
      <c r="F21" s="27">
        <f t="shared" si="8"/>
        <v>23449</v>
      </c>
      <c r="G21" s="27">
        <f t="shared" si="8"/>
        <v>16727</v>
      </c>
      <c r="H21" s="27">
        <f t="shared" si="8"/>
        <v>22333</v>
      </c>
      <c r="I21" s="27">
        <f t="shared" si="8"/>
        <v>22618</v>
      </c>
      <c r="J21" s="27">
        <f t="shared" si="8"/>
        <v>22607</v>
      </c>
      <c r="K21" s="27">
        <f t="shared" si="8"/>
        <v>22146</v>
      </c>
      <c r="L21" s="27">
        <f t="shared" si="8"/>
        <v>20433</v>
      </c>
      <c r="M21" s="27">
        <f t="shared" si="8"/>
        <v>20471</v>
      </c>
      <c r="N21" s="27">
        <f t="shared" si="8"/>
        <v>20433</v>
      </c>
      <c r="O21" s="27">
        <f t="shared" si="8"/>
        <v>0</v>
      </c>
      <c r="P21" s="27">
        <f t="shared" si="8"/>
        <v>141373.44</v>
      </c>
      <c r="Q21" s="27">
        <f t="shared" si="8"/>
        <v>141373.44</v>
      </c>
      <c r="R21" s="27">
        <f t="shared" si="8"/>
        <v>151801.44</v>
      </c>
      <c r="S21" s="27">
        <f t="shared" ref="S21" si="9">SUM(S17:S20)</f>
        <v>151201.44</v>
      </c>
    </row>
    <row r="22" spans="1:19" x14ac:dyDescent="0.25">
      <c r="F22" s="27"/>
      <c r="G22" s="27"/>
      <c r="H22" s="27"/>
      <c r="I22" s="27"/>
      <c r="J22" s="27"/>
      <c r="K22" s="27"/>
      <c r="L22" s="27"/>
      <c r="M22" s="27"/>
      <c r="N22" s="27"/>
      <c r="O22" s="27"/>
      <c r="P22" s="27"/>
      <c r="Q22" s="27"/>
      <c r="R22" s="27"/>
      <c r="S22" s="27"/>
    </row>
    <row r="23" spans="1:19" x14ac:dyDescent="0.25">
      <c r="F23" s="27"/>
      <c r="G23" s="27"/>
      <c r="H23" s="27"/>
      <c r="I23" s="27"/>
      <c r="J23" s="27"/>
      <c r="K23" s="27"/>
      <c r="L23" s="27"/>
      <c r="M23" s="27"/>
      <c r="N23" s="27"/>
      <c r="O23" s="27"/>
      <c r="P23" s="27"/>
      <c r="Q23" s="27"/>
      <c r="R23" s="27"/>
      <c r="S23" s="27"/>
    </row>
    <row r="24" spans="1:19" x14ac:dyDescent="0.25">
      <c r="F24" s="27"/>
      <c r="G24" s="27"/>
      <c r="H24" s="27"/>
      <c r="I24" s="27"/>
      <c r="J24" s="27"/>
      <c r="K24" s="27"/>
      <c r="L24" s="27"/>
      <c r="M24" s="27"/>
      <c r="N24" s="27"/>
      <c r="O24" s="27"/>
      <c r="P24" s="27"/>
      <c r="Q24" s="27"/>
      <c r="R24" s="27"/>
      <c r="S24" s="27"/>
    </row>
    <row r="25" spans="1:19" s="25" customFormat="1" x14ac:dyDescent="0.25">
      <c r="A25" s="25" t="s">
        <v>236</v>
      </c>
      <c r="G25" s="29" t="s">
        <v>237</v>
      </c>
      <c r="H25" s="29" t="s">
        <v>238</v>
      </c>
      <c r="I25" s="29" t="s">
        <v>239</v>
      </c>
      <c r="J25" s="29" t="s">
        <v>240</v>
      </c>
      <c r="K25" s="94" t="s">
        <v>319</v>
      </c>
      <c r="L25" s="94" t="s">
        <v>320</v>
      </c>
      <c r="M25" s="29"/>
      <c r="N25" s="29"/>
      <c r="O25" s="29"/>
      <c r="P25" s="29"/>
      <c r="Q25" s="29"/>
      <c r="R25" s="29"/>
      <c r="S25" s="29"/>
    </row>
    <row r="26" spans="1:19" x14ac:dyDescent="0.25">
      <c r="A26" s="26" t="s">
        <v>241</v>
      </c>
      <c r="B26" s="32" t="s">
        <v>255</v>
      </c>
      <c r="C26" s="32"/>
      <c r="D26" s="32"/>
      <c r="E26" s="32"/>
      <c r="F26" s="30">
        <v>37.5</v>
      </c>
      <c r="G26" s="27">
        <v>1500</v>
      </c>
      <c r="H26" s="27">
        <v>3000</v>
      </c>
      <c r="I26" s="27">
        <v>4500</v>
      </c>
      <c r="J26" s="27">
        <v>1500</v>
      </c>
      <c r="K26" s="27">
        <f>1500+1500+1500</f>
        <v>4500</v>
      </c>
      <c r="L26" s="27">
        <f>1500</f>
        <v>1500</v>
      </c>
      <c r="M26" s="27"/>
      <c r="N26" s="27"/>
      <c r="O26" s="27"/>
      <c r="P26" s="27">
        <f>G26*3</f>
        <v>4500</v>
      </c>
      <c r="Q26" s="27">
        <f t="shared" ref="Q26:S30" si="10">P26</f>
        <v>4500</v>
      </c>
      <c r="R26" s="27">
        <f t="shared" si="10"/>
        <v>4500</v>
      </c>
      <c r="S26" s="27">
        <f t="shared" si="10"/>
        <v>4500</v>
      </c>
    </row>
    <row r="27" spans="1:19" x14ac:dyDescent="0.25">
      <c r="A27" s="26" t="s">
        <v>242</v>
      </c>
      <c r="B27" s="32" t="s">
        <v>256</v>
      </c>
      <c r="C27" s="32"/>
      <c r="D27" s="32"/>
      <c r="E27" s="32"/>
      <c r="F27" s="30">
        <v>17.5</v>
      </c>
      <c r="G27" s="27">
        <v>2089</v>
      </c>
      <c r="H27" s="27">
        <v>540</v>
      </c>
      <c r="I27" s="27"/>
      <c r="J27" s="27"/>
      <c r="K27" s="27">
        <f>516+564+515+401</f>
        <v>1996</v>
      </c>
      <c r="L27" s="27">
        <f>570+574+574</f>
        <v>1718</v>
      </c>
      <c r="M27" s="27"/>
      <c r="N27" s="27"/>
      <c r="O27" s="27"/>
      <c r="P27" s="27">
        <f t="shared" ref="P27:P30" si="11">G27*3</f>
        <v>6267</v>
      </c>
      <c r="Q27" s="27">
        <f t="shared" si="10"/>
        <v>6267</v>
      </c>
      <c r="R27" s="27"/>
      <c r="S27" s="27"/>
    </row>
    <row r="28" spans="1:19" x14ac:dyDescent="0.25">
      <c r="A28" s="26" t="s">
        <v>243</v>
      </c>
      <c r="B28" s="32" t="s">
        <v>257</v>
      </c>
      <c r="C28" s="32"/>
      <c r="D28" s="32"/>
      <c r="E28" s="32"/>
      <c r="F28" s="30"/>
      <c r="G28" s="27">
        <v>750</v>
      </c>
      <c r="H28" s="27">
        <v>1500</v>
      </c>
      <c r="I28" s="27">
        <v>500</v>
      </c>
      <c r="J28" s="27"/>
      <c r="K28" s="27">
        <f>750+750+750</f>
        <v>2250</v>
      </c>
      <c r="L28" s="27">
        <f>750</f>
        <v>750</v>
      </c>
      <c r="M28" s="27"/>
      <c r="N28" s="27"/>
      <c r="O28" s="27"/>
      <c r="P28" s="27">
        <v>1500</v>
      </c>
      <c r="Q28" s="27">
        <v>2000</v>
      </c>
      <c r="R28" s="27">
        <v>2000</v>
      </c>
      <c r="S28" s="27">
        <v>2000</v>
      </c>
    </row>
    <row r="29" spans="1:19" x14ac:dyDescent="0.25">
      <c r="A29" s="26" t="s">
        <v>230</v>
      </c>
      <c r="F29" s="30"/>
      <c r="G29" s="27"/>
      <c r="H29" s="27">
        <v>613</v>
      </c>
      <c r="I29" s="27">
        <v>390</v>
      </c>
      <c r="J29" s="27">
        <v>1800</v>
      </c>
      <c r="K29" s="27"/>
      <c r="L29" s="27"/>
      <c r="M29" s="27"/>
      <c r="N29" s="27"/>
      <c r="O29" s="27"/>
      <c r="P29" s="27"/>
      <c r="Q29" s="27"/>
      <c r="R29" s="27"/>
      <c r="S29" s="27"/>
    </row>
    <row r="30" spans="1:19" x14ac:dyDescent="0.25">
      <c r="A30" s="26" t="s">
        <v>244</v>
      </c>
      <c r="B30" s="32" t="s">
        <v>256</v>
      </c>
      <c r="C30" s="32"/>
      <c r="D30" s="32"/>
      <c r="E30" s="32"/>
      <c r="F30" s="30">
        <v>17.5</v>
      </c>
      <c r="G30" s="28">
        <v>2038</v>
      </c>
      <c r="H30" s="28">
        <v>1783</v>
      </c>
      <c r="I30" s="28">
        <v>1435</v>
      </c>
      <c r="J30" s="28">
        <v>1576</v>
      </c>
      <c r="K30" s="28">
        <f>554+576+567+574+416</f>
        <v>2687</v>
      </c>
      <c r="L30" s="28">
        <f>570+576+584</f>
        <v>1730</v>
      </c>
      <c r="M30" s="27"/>
      <c r="N30" s="27"/>
      <c r="O30" s="27"/>
      <c r="P30" s="27">
        <f t="shared" si="11"/>
        <v>6114</v>
      </c>
      <c r="Q30" s="27">
        <f t="shared" si="10"/>
        <v>6114</v>
      </c>
      <c r="R30" s="27">
        <f t="shared" si="10"/>
        <v>6114</v>
      </c>
      <c r="S30" s="27">
        <f t="shared" si="10"/>
        <v>6114</v>
      </c>
    </row>
    <row r="31" spans="1:19" x14ac:dyDescent="0.25">
      <c r="A31" s="71" t="s">
        <v>299</v>
      </c>
      <c r="F31" s="30">
        <v>17.5</v>
      </c>
      <c r="G31" s="27">
        <f>SUM(G26:G30)</f>
        <v>6377</v>
      </c>
      <c r="H31" s="27">
        <f t="shared" ref="H31:L31" si="12">SUM(H26:H30)</f>
        <v>7436</v>
      </c>
      <c r="I31" s="27">
        <f t="shared" si="12"/>
        <v>6825</v>
      </c>
      <c r="J31" s="27">
        <f t="shared" si="12"/>
        <v>4876</v>
      </c>
      <c r="K31" s="27">
        <f t="shared" si="12"/>
        <v>11433</v>
      </c>
      <c r="L31" s="27">
        <f t="shared" si="12"/>
        <v>5698</v>
      </c>
      <c r="M31" s="27"/>
      <c r="N31" s="27"/>
      <c r="O31" s="27"/>
      <c r="P31" s="27"/>
      <c r="Q31" s="27"/>
      <c r="R31" s="27"/>
      <c r="S31" s="27">
        <f>F31*300</f>
        <v>5250</v>
      </c>
    </row>
    <row r="32" spans="1:19" x14ac:dyDescent="0.25">
      <c r="F32" s="27"/>
      <c r="G32" s="27"/>
      <c r="H32" s="27"/>
      <c r="I32" s="27"/>
      <c r="J32" s="27"/>
      <c r="K32" s="27"/>
      <c r="L32" s="27"/>
      <c r="M32" s="27"/>
      <c r="N32" s="27"/>
      <c r="O32" s="27"/>
      <c r="P32" s="27"/>
      <c r="Q32" s="27"/>
      <c r="R32" s="27"/>
      <c r="S32" s="27"/>
    </row>
    <row r="33" spans="6:19" x14ac:dyDescent="0.25">
      <c r="F33" s="27"/>
      <c r="G33" s="27"/>
      <c r="H33" s="27"/>
      <c r="I33" s="27"/>
      <c r="J33" s="27"/>
      <c r="K33" s="27"/>
      <c r="L33" s="27"/>
      <c r="M33" s="27"/>
      <c r="N33" s="27"/>
      <c r="O33" s="27"/>
      <c r="P33" s="28"/>
      <c r="Q33" s="28"/>
      <c r="R33" s="28"/>
      <c r="S33" s="28"/>
    </row>
    <row r="34" spans="6:19" x14ac:dyDescent="0.25">
      <c r="F34" s="27"/>
      <c r="G34" s="27"/>
      <c r="H34" s="27"/>
      <c r="I34" s="27"/>
      <c r="J34" s="27"/>
      <c r="K34" s="27"/>
      <c r="L34" s="27"/>
      <c r="M34" s="27"/>
      <c r="N34" s="27"/>
      <c r="O34" s="27"/>
      <c r="P34" s="27">
        <f>SUM(P26:P33)</f>
        <v>18381</v>
      </c>
      <c r="Q34" s="27">
        <f t="shared" ref="Q34:S34" si="13">SUM(Q26:Q33)</f>
        <v>18881</v>
      </c>
      <c r="R34" s="27">
        <f t="shared" si="13"/>
        <v>12614</v>
      </c>
      <c r="S34" s="27">
        <f t="shared" si="13"/>
        <v>17864</v>
      </c>
    </row>
    <row r="35" spans="6:19" x14ac:dyDescent="0.25">
      <c r="F35" s="27"/>
      <c r="G35" s="27"/>
      <c r="H35" s="27"/>
      <c r="I35" s="27"/>
      <c r="J35" s="27"/>
      <c r="K35" s="27"/>
      <c r="L35" s="27"/>
      <c r="M35" s="27"/>
      <c r="N35" s="27"/>
      <c r="O35" s="27"/>
      <c r="P35" s="27">
        <f>P21+P34</f>
        <v>159754.44</v>
      </c>
      <c r="Q35" s="27">
        <f t="shared" ref="Q35:S35" si="14">Q21+Q34</f>
        <v>160254.44</v>
      </c>
      <c r="R35" s="27">
        <f t="shared" si="14"/>
        <v>164415.44</v>
      </c>
      <c r="S35" s="27">
        <f t="shared" si="14"/>
        <v>169065.44</v>
      </c>
    </row>
    <row r="36" spans="6:19" x14ac:dyDescent="0.25">
      <c r="F36" s="27"/>
      <c r="G36" s="27"/>
      <c r="H36" s="27"/>
      <c r="I36" s="27"/>
      <c r="J36" s="27"/>
      <c r="K36" s="27"/>
      <c r="L36" s="27"/>
      <c r="M36" s="27"/>
      <c r="N36" s="27"/>
      <c r="O36" s="27"/>
      <c r="P36" s="27"/>
      <c r="Q36" s="27"/>
      <c r="R36" s="27"/>
      <c r="S36" s="27"/>
    </row>
    <row r="37" spans="6:19" x14ac:dyDescent="0.25">
      <c r="F37" s="27"/>
      <c r="G37" s="27"/>
      <c r="H37" s="27"/>
      <c r="I37" s="27"/>
      <c r="J37" s="27"/>
      <c r="K37" s="27"/>
      <c r="L37" s="27"/>
      <c r="M37" s="27"/>
      <c r="N37" s="27"/>
      <c r="O37" s="27"/>
      <c r="P37" s="27"/>
      <c r="Q37" s="27"/>
      <c r="R37" s="27"/>
      <c r="S37" s="27"/>
    </row>
    <row r="38" spans="6:19" x14ac:dyDescent="0.25">
      <c r="F38" s="27"/>
      <c r="G38" s="27"/>
      <c r="H38" s="27"/>
      <c r="I38" s="27"/>
      <c r="J38" s="27"/>
      <c r="K38" s="27"/>
      <c r="L38" s="27"/>
      <c r="M38" s="27"/>
      <c r="N38" s="27"/>
      <c r="O38" s="27"/>
      <c r="P38" s="27"/>
      <c r="Q38" s="27"/>
      <c r="R38" s="27"/>
      <c r="S38" s="27"/>
    </row>
    <row r="39" spans="6:19" x14ac:dyDescent="0.25">
      <c r="F39" s="27"/>
      <c r="G39" s="27"/>
      <c r="H39" s="27"/>
      <c r="I39" s="27"/>
      <c r="J39" s="27"/>
      <c r="K39" s="27"/>
      <c r="L39" s="27"/>
      <c r="M39" s="27"/>
      <c r="N39" s="27"/>
      <c r="O39" s="27"/>
      <c r="P39" s="27"/>
      <c r="Q39" s="27"/>
      <c r="R39" s="27"/>
      <c r="S39" s="27"/>
    </row>
    <row r="40" spans="6:19" x14ac:dyDescent="0.25">
      <c r="F40" s="27"/>
      <c r="G40" s="27"/>
      <c r="H40" s="27"/>
      <c r="I40" s="27"/>
      <c r="J40" s="27"/>
      <c r="K40" s="27"/>
      <c r="L40" s="27"/>
      <c r="M40" s="27"/>
      <c r="N40" s="27"/>
      <c r="O40" s="27"/>
      <c r="P40" s="27"/>
      <c r="Q40" s="27"/>
      <c r="R40" s="27"/>
      <c r="S40" s="27"/>
    </row>
    <row r="41" spans="6:19" x14ac:dyDescent="0.25">
      <c r="F41" s="27"/>
      <c r="G41" s="27"/>
      <c r="H41" s="27"/>
      <c r="I41" s="27"/>
      <c r="J41" s="27"/>
      <c r="K41" s="27"/>
      <c r="L41" s="27"/>
      <c r="M41" s="27"/>
      <c r="N41" s="27"/>
      <c r="O41" s="27"/>
      <c r="P41" s="27"/>
      <c r="Q41" s="27"/>
      <c r="R41" s="27"/>
      <c r="S41" s="27"/>
    </row>
    <row r="42" spans="6:19" x14ac:dyDescent="0.25">
      <c r="F42" s="27"/>
      <c r="G42" s="27"/>
      <c r="H42" s="27"/>
      <c r="I42" s="27"/>
      <c r="J42" s="27"/>
      <c r="K42" s="27"/>
      <c r="L42" s="27"/>
      <c r="M42" s="27"/>
      <c r="N42" s="27"/>
      <c r="O42" s="27"/>
      <c r="P42" s="27"/>
      <c r="Q42" s="27"/>
      <c r="R42" s="27"/>
      <c r="S42" s="27"/>
    </row>
    <row r="43" spans="6:19" x14ac:dyDescent="0.25">
      <c r="F43" s="27"/>
      <c r="G43" s="27"/>
      <c r="H43" s="27"/>
      <c r="I43" s="27"/>
      <c r="J43" s="27"/>
      <c r="K43" s="27"/>
      <c r="L43" s="27"/>
      <c r="M43" s="27"/>
      <c r="N43" s="27"/>
      <c r="O43" s="27"/>
      <c r="P43" s="27"/>
      <c r="Q43" s="27"/>
      <c r="R43" s="27"/>
      <c r="S43" s="27"/>
    </row>
    <row r="44" spans="6:19" x14ac:dyDescent="0.25">
      <c r="F44" s="27"/>
      <c r="G44" s="27"/>
      <c r="H44" s="27"/>
      <c r="I44" s="27"/>
      <c r="J44" s="27"/>
      <c r="K44" s="27"/>
      <c r="L44" s="27"/>
      <c r="M44" s="27"/>
      <c r="N44" s="27"/>
      <c r="O44" s="27"/>
      <c r="P44" s="27"/>
      <c r="Q44" s="27"/>
      <c r="R44" s="27"/>
      <c r="S44" s="27"/>
    </row>
    <row r="45" spans="6:19" x14ac:dyDescent="0.25">
      <c r="F45" s="27"/>
      <c r="G45" s="27"/>
      <c r="H45" s="27"/>
      <c r="I45" s="27"/>
      <c r="J45" s="27"/>
      <c r="K45" s="27"/>
      <c r="L45" s="27"/>
      <c r="M45" s="27"/>
      <c r="N45" s="27"/>
      <c r="O45" s="27"/>
      <c r="P45" s="27"/>
      <c r="Q45" s="27"/>
      <c r="R45" s="27"/>
      <c r="S45" s="27"/>
    </row>
  </sheetData>
  <mergeCells count="1">
    <mergeCell ref="P2:S2"/>
  </mergeCells>
  <phoneticPr fontId="18"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9"/>
  <sheetViews>
    <sheetView workbookViewId="0">
      <pane xSplit="1" ySplit="5" topLeftCell="K114" activePane="bottomRight" state="frozen"/>
      <selection pane="topRight" activeCell="B1" sqref="B1"/>
      <selection pane="bottomLeft" activeCell="A6" sqref="A6"/>
      <selection pane="bottomRight" activeCell="Z145" sqref="Z145"/>
    </sheetView>
  </sheetViews>
  <sheetFormatPr defaultColWidth="8.85546875" defaultRowHeight="15" x14ac:dyDescent="0.25"/>
  <cols>
    <col min="1" max="1" width="48.140625" customWidth="1"/>
    <col min="2" max="5" width="10.28515625" hidden="1" customWidth="1"/>
    <col min="6" max="6" width="12.7109375" customWidth="1"/>
    <col min="7" max="9" width="10.28515625" hidden="1" customWidth="1"/>
    <col min="10" max="10" width="11.140625" hidden="1" customWidth="1"/>
    <col min="11" max="11" width="11.7109375" customWidth="1"/>
    <col min="12" max="13" width="10.28515625" customWidth="1"/>
    <col min="14" max="15" width="11.140625" customWidth="1"/>
    <col min="16" max="16" width="12.42578125" customWidth="1"/>
    <col min="17" max="17" width="10.28515625" customWidth="1"/>
    <col min="18" max="20" width="11.140625" customWidth="1"/>
    <col min="21" max="21" width="12" customWidth="1"/>
    <col min="22" max="22" width="8" style="42" customWidth="1"/>
    <col min="23" max="23" width="9.85546875" customWidth="1"/>
    <col min="24" max="24" width="10.140625" customWidth="1"/>
    <col min="25" max="25" width="10.28515625" customWidth="1"/>
    <col min="26" max="26" width="11.42578125" bestFit="1" customWidth="1"/>
    <col min="27" max="27" width="25.85546875" style="39" customWidth="1"/>
  </cols>
  <sheetData>
    <row r="1" spans="1:26" ht="18" x14ac:dyDescent="0.25">
      <c r="A1" s="275" t="s">
        <v>146</v>
      </c>
      <c r="B1" s="264"/>
      <c r="C1" s="264"/>
      <c r="D1" s="264"/>
      <c r="E1" s="264"/>
      <c r="F1" s="264"/>
      <c r="G1" s="264"/>
      <c r="H1" s="264"/>
      <c r="I1" s="264"/>
      <c r="J1" s="264"/>
      <c r="K1" s="264"/>
      <c r="L1" s="264"/>
      <c r="M1" s="264"/>
      <c r="N1" s="264"/>
      <c r="O1" s="264"/>
      <c r="P1" s="264"/>
      <c r="Q1" s="264"/>
      <c r="R1" s="264"/>
      <c r="S1" s="264"/>
      <c r="T1" s="264"/>
      <c r="U1" s="264"/>
    </row>
    <row r="2" spans="1:26" ht="18" x14ac:dyDescent="0.25">
      <c r="A2" s="275" t="s">
        <v>147</v>
      </c>
      <c r="B2" s="264"/>
      <c r="C2" s="264"/>
      <c r="D2" s="264"/>
      <c r="E2" s="264"/>
      <c r="F2" s="264"/>
      <c r="G2" s="264"/>
      <c r="H2" s="264"/>
      <c r="I2" s="264"/>
      <c r="J2" s="264"/>
      <c r="K2" s="264"/>
      <c r="L2" s="264"/>
      <c r="M2" s="264"/>
      <c r="N2" s="264"/>
      <c r="O2" s="264"/>
      <c r="P2" s="264"/>
      <c r="Q2" s="264"/>
      <c r="R2" s="264"/>
      <c r="S2" s="264"/>
      <c r="T2" s="264"/>
      <c r="U2" s="264"/>
    </row>
    <row r="3" spans="1:26" x14ac:dyDescent="0.25">
      <c r="A3" s="276" t="s">
        <v>148</v>
      </c>
      <c r="B3" s="264"/>
      <c r="C3" s="264"/>
      <c r="D3" s="264"/>
      <c r="E3" s="264"/>
      <c r="F3" s="264"/>
      <c r="G3" s="264"/>
      <c r="H3" s="264"/>
      <c r="I3" s="264"/>
      <c r="J3" s="264"/>
      <c r="K3" s="264"/>
      <c r="L3" s="264"/>
      <c r="M3" s="264"/>
      <c r="N3" s="264"/>
      <c r="O3" s="264"/>
      <c r="P3" s="264"/>
      <c r="Q3" s="264"/>
      <c r="R3" s="264"/>
      <c r="S3" s="264"/>
      <c r="T3" s="264"/>
      <c r="U3" s="264"/>
    </row>
    <row r="4" spans="1:26" x14ac:dyDescent="0.25">
      <c r="W4" s="253" t="s">
        <v>284</v>
      </c>
      <c r="X4" s="253"/>
      <c r="Y4" s="253"/>
    </row>
    <row r="5" spans="1:26" ht="24.75" x14ac:dyDescent="0.25">
      <c r="A5" s="1"/>
      <c r="B5" s="2" t="s">
        <v>0</v>
      </c>
      <c r="C5" s="2" t="s">
        <v>1</v>
      </c>
      <c r="D5" s="2" t="s">
        <v>2</v>
      </c>
      <c r="E5" s="2" t="s">
        <v>3</v>
      </c>
      <c r="F5" s="2">
        <v>2019</v>
      </c>
      <c r="G5" s="2" t="s">
        <v>4</v>
      </c>
      <c r="H5" s="2" t="s">
        <v>5</v>
      </c>
      <c r="I5" s="2" t="s">
        <v>6</v>
      </c>
      <c r="J5" s="2" t="s">
        <v>7</v>
      </c>
      <c r="K5" s="2">
        <v>2020</v>
      </c>
      <c r="L5" s="2" t="s">
        <v>8</v>
      </c>
      <c r="M5" s="2" t="s">
        <v>9</v>
      </c>
      <c r="N5" s="2" t="s">
        <v>10</v>
      </c>
      <c r="O5" s="2" t="s">
        <v>11</v>
      </c>
      <c r="P5" s="2">
        <v>2021</v>
      </c>
      <c r="Q5" s="2" t="s">
        <v>12</v>
      </c>
      <c r="R5" s="2" t="s">
        <v>13</v>
      </c>
      <c r="S5" s="2" t="s">
        <v>14</v>
      </c>
      <c r="T5" s="37" t="s">
        <v>285</v>
      </c>
      <c r="U5" s="2" t="s">
        <v>15</v>
      </c>
      <c r="W5" s="36" t="s">
        <v>281</v>
      </c>
      <c r="X5" s="36" t="s">
        <v>282</v>
      </c>
      <c r="Y5" s="36" t="s">
        <v>283</v>
      </c>
      <c r="Z5" s="36" t="s">
        <v>286</v>
      </c>
    </row>
    <row r="6" spans="1:26" x14ac:dyDescent="0.25">
      <c r="A6" s="3" t="s">
        <v>16</v>
      </c>
      <c r="B6" s="4"/>
      <c r="C6" s="4"/>
      <c r="D6" s="4"/>
      <c r="E6" s="4"/>
      <c r="F6" s="4"/>
      <c r="G6" s="4"/>
      <c r="H6" s="4"/>
      <c r="I6" s="4"/>
      <c r="J6" s="4"/>
      <c r="K6" s="4"/>
      <c r="L6" s="4"/>
      <c r="M6" s="4"/>
      <c r="N6" s="4"/>
      <c r="O6" s="4"/>
      <c r="P6" s="4"/>
      <c r="Q6" s="4"/>
      <c r="R6" s="4"/>
      <c r="S6" s="4"/>
      <c r="T6" s="4"/>
      <c r="U6" s="4"/>
    </row>
    <row r="7" spans="1:26" x14ac:dyDescent="0.25">
      <c r="A7" s="3" t="s">
        <v>17</v>
      </c>
      <c r="B7" s="4"/>
      <c r="C7" s="5">
        <f>21.42</f>
        <v>21.42</v>
      </c>
      <c r="D7" s="5">
        <f>485.22</f>
        <v>485.22</v>
      </c>
      <c r="E7" s="5">
        <f>-37848.67</f>
        <v>-37848.67</v>
      </c>
      <c r="F7" s="80">
        <f>SUM(B7:E7)</f>
        <v>-37342.03</v>
      </c>
      <c r="G7" s="80">
        <f>39399.42</f>
        <v>39399.42</v>
      </c>
      <c r="H7" s="82"/>
      <c r="I7" s="82"/>
      <c r="J7" s="80">
        <f>8068.5</f>
        <v>8068.5</v>
      </c>
      <c r="K7" s="80">
        <f>SUM(G7:J7)</f>
        <v>47467.92</v>
      </c>
      <c r="L7" s="80">
        <f>24300</f>
        <v>24300</v>
      </c>
      <c r="M7" s="80">
        <f>316.5</f>
        <v>316.5</v>
      </c>
      <c r="N7" s="80">
        <f>29229.13</f>
        <v>29229.13</v>
      </c>
      <c r="O7" s="80">
        <f>9475.23</f>
        <v>9475.23</v>
      </c>
      <c r="P7" s="80">
        <f>SUM(L7:O7)</f>
        <v>63320.86</v>
      </c>
      <c r="Q7" s="80">
        <f>0</f>
        <v>0</v>
      </c>
      <c r="R7" s="80">
        <f>0</f>
        <v>0</v>
      </c>
      <c r="S7" s="80">
        <f>0</f>
        <v>0</v>
      </c>
      <c r="T7" s="80">
        <f>SUM(W7:Z7)</f>
        <v>17093.580000000002</v>
      </c>
      <c r="U7" s="80">
        <f>SUM(Q7:T7)</f>
        <v>17093.580000000002</v>
      </c>
      <c r="V7" s="81"/>
      <c r="W7" s="80">
        <v>1638.36</v>
      </c>
      <c r="X7" s="80">
        <f>10357.08+403.2</f>
        <v>10760.28</v>
      </c>
      <c r="Y7" s="80">
        <f>4205.34+489.6</f>
        <v>4694.9400000000005</v>
      </c>
      <c r="Z7" s="17"/>
    </row>
    <row r="8" spans="1:26" x14ac:dyDescent="0.25">
      <c r="A8" s="3" t="s">
        <v>18</v>
      </c>
      <c r="B8" s="4"/>
      <c r="C8" s="4"/>
      <c r="D8" s="5">
        <f>1783.8</f>
        <v>1783.8</v>
      </c>
      <c r="E8" s="5">
        <f>4570</f>
        <v>4570</v>
      </c>
      <c r="F8" s="80">
        <f t="shared" ref="F8:F19" si="0">SUM(B8:E8)</f>
        <v>6353.8</v>
      </c>
      <c r="G8" s="82"/>
      <c r="H8" s="82"/>
      <c r="I8" s="80">
        <f>560</f>
        <v>560</v>
      </c>
      <c r="J8" s="80">
        <f>0</f>
        <v>0</v>
      </c>
      <c r="K8" s="80">
        <f t="shared" ref="K8:K19" si="1">SUM(G8:J8)</f>
        <v>560</v>
      </c>
      <c r="L8" s="82"/>
      <c r="M8" s="82"/>
      <c r="N8" s="82"/>
      <c r="O8" s="82"/>
      <c r="P8" s="80">
        <f t="shared" ref="P8:P19" si="2">SUM(L8:O8)</f>
        <v>0</v>
      </c>
      <c r="Q8" s="82"/>
      <c r="R8" s="82"/>
      <c r="S8" s="82"/>
      <c r="T8" s="80">
        <f t="shared" ref="T8:T72" si="3">SUM(W8:Z8)</f>
        <v>0</v>
      </c>
      <c r="U8" s="80">
        <f t="shared" ref="U8:U72" si="4">SUM(Q8:T8)</f>
        <v>0</v>
      </c>
      <c r="V8" s="81"/>
      <c r="W8" s="82"/>
      <c r="X8" s="82"/>
      <c r="Y8" s="82"/>
      <c r="Z8" s="17"/>
    </row>
    <row r="9" spans="1:26" x14ac:dyDescent="0.25">
      <c r="A9" s="3" t="s">
        <v>19</v>
      </c>
      <c r="B9" s="5">
        <f>33678.1</f>
        <v>33678.1</v>
      </c>
      <c r="C9" s="5">
        <f>47977.06</f>
        <v>47977.06</v>
      </c>
      <c r="D9" s="5">
        <f>47185.59</f>
        <v>47185.59</v>
      </c>
      <c r="E9" s="5">
        <f>47457.08</f>
        <v>47457.08</v>
      </c>
      <c r="F9" s="80">
        <f t="shared" si="0"/>
        <v>176297.83000000002</v>
      </c>
      <c r="G9" s="80">
        <f>55913.16</f>
        <v>55913.16</v>
      </c>
      <c r="H9" s="80">
        <f>66108.84</f>
        <v>66108.84</v>
      </c>
      <c r="I9" s="80">
        <f>78129.95</f>
        <v>78129.95</v>
      </c>
      <c r="J9" s="80">
        <f>107326.18</f>
        <v>107326.18</v>
      </c>
      <c r="K9" s="80">
        <f t="shared" si="1"/>
        <v>307478.13</v>
      </c>
      <c r="L9" s="80">
        <f>59790.64</f>
        <v>59790.64</v>
      </c>
      <c r="M9" s="80">
        <f>66345.24</f>
        <v>66345.240000000005</v>
      </c>
      <c r="N9" s="80">
        <f>43970.94</f>
        <v>43970.94</v>
      </c>
      <c r="O9" s="80">
        <f>130016.2</f>
        <v>130016.2</v>
      </c>
      <c r="P9" s="80">
        <f t="shared" si="2"/>
        <v>300123.02</v>
      </c>
      <c r="Q9" s="80">
        <f>80336.88</f>
        <v>80336.88</v>
      </c>
      <c r="R9" s="80">
        <f>67073.52</f>
        <v>67073.52</v>
      </c>
      <c r="S9" s="80">
        <v>61065.82</v>
      </c>
      <c r="T9" s="80">
        <f t="shared" si="3"/>
        <v>72125.459999999992</v>
      </c>
      <c r="U9" s="80">
        <f t="shared" si="4"/>
        <v>280601.68000000005</v>
      </c>
      <c r="V9" s="81"/>
      <c r="W9" s="80">
        <v>14292.3</v>
      </c>
      <c r="X9" s="80">
        <v>42377.7</v>
      </c>
      <c r="Y9" s="80">
        <v>15455.46</v>
      </c>
      <c r="Z9" s="17"/>
    </row>
    <row r="10" spans="1:26" x14ac:dyDescent="0.25">
      <c r="A10" s="3" t="s">
        <v>20</v>
      </c>
      <c r="B10" s="4"/>
      <c r="C10" s="4"/>
      <c r="D10" s="4"/>
      <c r="E10" s="4"/>
      <c r="F10" s="80">
        <f t="shared" si="0"/>
        <v>0</v>
      </c>
      <c r="G10" s="82"/>
      <c r="H10" s="82"/>
      <c r="I10" s="82"/>
      <c r="J10" s="82"/>
      <c r="K10" s="80">
        <f t="shared" si="1"/>
        <v>0</v>
      </c>
      <c r="L10" s="80">
        <f>26583.12</f>
        <v>26583.119999999999</v>
      </c>
      <c r="M10" s="80">
        <f>31245.68</f>
        <v>31245.68</v>
      </c>
      <c r="N10" s="80">
        <f>17949.44</f>
        <v>17949.439999999999</v>
      </c>
      <c r="O10" s="80">
        <f>19185.5</f>
        <v>19185.5</v>
      </c>
      <c r="P10" s="80">
        <f t="shared" si="2"/>
        <v>94963.74</v>
      </c>
      <c r="Q10" s="80">
        <f>41103.36</f>
        <v>41103.360000000001</v>
      </c>
      <c r="R10" s="80">
        <f>13052.14</f>
        <v>13052.14</v>
      </c>
      <c r="S10" s="80">
        <f>15256.24</f>
        <v>15256.24</v>
      </c>
      <c r="T10" s="80">
        <f t="shared" si="3"/>
        <v>13921.800000000001</v>
      </c>
      <c r="U10" s="80">
        <f t="shared" si="4"/>
        <v>83333.540000000008</v>
      </c>
      <c r="V10" s="81"/>
      <c r="W10" s="80">
        <v>9280.2800000000007</v>
      </c>
      <c r="X10" s="80">
        <v>1448.76</v>
      </c>
      <c r="Y10" s="80">
        <v>3192.76</v>
      </c>
      <c r="Z10" s="17"/>
    </row>
    <row r="11" spans="1:26" x14ac:dyDescent="0.25">
      <c r="A11" s="3" t="s">
        <v>21</v>
      </c>
      <c r="B11" s="5">
        <f>11914.17</f>
        <v>11914.17</v>
      </c>
      <c r="C11" s="5">
        <f>10920.36</f>
        <v>10920.36</v>
      </c>
      <c r="D11" s="5">
        <f>9707.8</f>
        <v>9707.7999999999993</v>
      </c>
      <c r="E11" s="5">
        <f>9182.58</f>
        <v>9182.58</v>
      </c>
      <c r="F11" s="80">
        <f t="shared" si="0"/>
        <v>41724.909999999996</v>
      </c>
      <c r="G11" s="80">
        <f>7592.89</f>
        <v>7592.89</v>
      </c>
      <c r="H11" s="80">
        <f>13589.88</f>
        <v>13589.88</v>
      </c>
      <c r="I11" s="80">
        <f>22942.96</f>
        <v>22942.959999999999</v>
      </c>
      <c r="J11" s="80">
        <f>17322.2</f>
        <v>17322.2</v>
      </c>
      <c r="K11" s="80">
        <f t="shared" si="1"/>
        <v>61447.929999999993</v>
      </c>
      <c r="L11" s="80">
        <f>19325.26</f>
        <v>19325.259999999998</v>
      </c>
      <c r="M11" s="80">
        <f>2933.04</f>
        <v>2933.04</v>
      </c>
      <c r="N11" s="82"/>
      <c r="O11" s="82"/>
      <c r="P11" s="80">
        <f t="shared" si="2"/>
        <v>22258.3</v>
      </c>
      <c r="Q11" s="82"/>
      <c r="R11" s="82"/>
      <c r="S11" s="80">
        <f>47.4</f>
        <v>47.4</v>
      </c>
      <c r="T11" s="80">
        <f t="shared" si="3"/>
        <v>0</v>
      </c>
      <c r="U11" s="80">
        <f t="shared" si="4"/>
        <v>47.4</v>
      </c>
      <c r="V11" s="81"/>
      <c r="W11" s="80"/>
      <c r="X11" s="80"/>
      <c r="Y11" s="80"/>
      <c r="Z11" s="17"/>
    </row>
    <row r="12" spans="1:26" x14ac:dyDescent="0.25">
      <c r="A12" s="3" t="s">
        <v>22</v>
      </c>
      <c r="B12" s="4"/>
      <c r="C12" s="4"/>
      <c r="D12" s="4"/>
      <c r="E12" s="4"/>
      <c r="F12" s="80">
        <f t="shared" si="0"/>
        <v>0</v>
      </c>
      <c r="G12" s="82"/>
      <c r="H12" s="82"/>
      <c r="I12" s="82"/>
      <c r="J12" s="82"/>
      <c r="K12" s="80">
        <f t="shared" si="1"/>
        <v>0</v>
      </c>
      <c r="L12" s="80">
        <f>18720</f>
        <v>18720</v>
      </c>
      <c r="M12" s="80">
        <f>21615.62</f>
        <v>21615.62</v>
      </c>
      <c r="N12" s="80">
        <f>21205.08</f>
        <v>21205.08</v>
      </c>
      <c r="O12" s="80">
        <f>17778.16</f>
        <v>17778.16</v>
      </c>
      <c r="P12" s="80">
        <f t="shared" si="2"/>
        <v>79318.86</v>
      </c>
      <c r="Q12" s="80">
        <f>35451.36</f>
        <v>35451.360000000001</v>
      </c>
      <c r="R12" s="80">
        <f>11506.62</f>
        <v>11506.62</v>
      </c>
      <c r="S12" s="80">
        <v>17766.12</v>
      </c>
      <c r="T12" s="80">
        <f t="shared" si="3"/>
        <v>14319.98</v>
      </c>
      <c r="U12" s="80">
        <f t="shared" si="4"/>
        <v>79044.08</v>
      </c>
      <c r="V12" s="81"/>
      <c r="W12" s="80">
        <v>7618.62</v>
      </c>
      <c r="X12" s="80">
        <v>2226.2800000000002</v>
      </c>
      <c r="Y12" s="80">
        <v>4475.08</v>
      </c>
      <c r="Z12" s="17"/>
    </row>
    <row r="13" spans="1:26" x14ac:dyDescent="0.25">
      <c r="A13" s="3" t="s">
        <v>23</v>
      </c>
      <c r="B13" s="5">
        <f>36076.95</f>
        <v>36076.949999999997</v>
      </c>
      <c r="C13" s="5">
        <f>52308.08</f>
        <v>52308.08</v>
      </c>
      <c r="D13" s="5">
        <f>42602.46</f>
        <v>42602.46</v>
      </c>
      <c r="E13" s="5">
        <f>46463.65</f>
        <v>46463.65</v>
      </c>
      <c r="F13" s="80">
        <f t="shared" si="0"/>
        <v>177451.13999999998</v>
      </c>
      <c r="G13" s="80">
        <f>41412</f>
        <v>41412</v>
      </c>
      <c r="H13" s="80">
        <f>55578.22</f>
        <v>55578.22</v>
      </c>
      <c r="I13" s="80">
        <f>53098.24</f>
        <v>53098.239999999998</v>
      </c>
      <c r="J13" s="80">
        <f>77292.6</f>
        <v>77292.600000000006</v>
      </c>
      <c r="K13" s="80">
        <f t="shared" si="1"/>
        <v>227381.06</v>
      </c>
      <c r="L13" s="80">
        <f>50556.52</f>
        <v>50556.52</v>
      </c>
      <c r="M13" s="80">
        <f>46730.42</f>
        <v>46730.42</v>
      </c>
      <c r="N13" s="80">
        <f>49847.1</f>
        <v>49847.1</v>
      </c>
      <c r="O13" s="80">
        <f>67261.8</f>
        <v>67261.8</v>
      </c>
      <c r="P13" s="80">
        <f t="shared" si="2"/>
        <v>214395.84000000003</v>
      </c>
      <c r="Q13" s="80">
        <f>60082.1</f>
        <v>60082.1</v>
      </c>
      <c r="R13" s="80">
        <f>47380.26</f>
        <v>47380.26</v>
      </c>
      <c r="S13" s="80">
        <v>44551.42</v>
      </c>
      <c r="T13" s="80">
        <f t="shared" si="3"/>
        <v>40210.68</v>
      </c>
      <c r="U13" s="80">
        <f t="shared" si="4"/>
        <v>192224.46</v>
      </c>
      <c r="V13" s="81"/>
      <c r="W13" s="80">
        <v>10478.58</v>
      </c>
      <c r="X13" s="80">
        <v>19855.5</v>
      </c>
      <c r="Y13" s="80">
        <v>9876.6</v>
      </c>
      <c r="Z13" s="17"/>
    </row>
    <row r="14" spans="1:26" x14ac:dyDescent="0.25">
      <c r="A14" s="3" t="s">
        <v>24</v>
      </c>
      <c r="B14" s="5">
        <f>13835.54</f>
        <v>13835.54</v>
      </c>
      <c r="C14" s="5">
        <f>13746.42</f>
        <v>13746.42</v>
      </c>
      <c r="D14" s="5">
        <f>18654.36</f>
        <v>18654.36</v>
      </c>
      <c r="E14" s="5">
        <f>8920.15</f>
        <v>8920.15</v>
      </c>
      <c r="F14" s="80">
        <f t="shared" si="0"/>
        <v>55156.47</v>
      </c>
      <c r="G14" s="80">
        <f>17930.61</f>
        <v>17930.61</v>
      </c>
      <c r="H14" s="80">
        <f>57002.78</f>
        <v>57002.78</v>
      </c>
      <c r="I14" s="80">
        <f>25602.52</f>
        <v>25602.52</v>
      </c>
      <c r="J14" s="80">
        <f>16636.08</f>
        <v>16636.080000000002</v>
      </c>
      <c r="K14" s="80">
        <f t="shared" si="1"/>
        <v>117171.99</v>
      </c>
      <c r="L14" s="80">
        <f>20536.96</f>
        <v>20536.96</v>
      </c>
      <c r="M14" s="80">
        <f>14129.22</f>
        <v>14129.22</v>
      </c>
      <c r="N14" s="80">
        <f>9660.18</f>
        <v>9660.18</v>
      </c>
      <c r="O14" s="80">
        <f>30616.28</f>
        <v>30616.28</v>
      </c>
      <c r="P14" s="80">
        <f t="shared" si="2"/>
        <v>74942.64</v>
      </c>
      <c r="Q14" s="80">
        <f>25261.24</f>
        <v>25261.24</v>
      </c>
      <c r="R14" s="80">
        <f>16535.36</f>
        <v>16535.36</v>
      </c>
      <c r="S14" s="80">
        <v>21005.040000000001</v>
      </c>
      <c r="T14" s="80">
        <f t="shared" si="3"/>
        <v>5599.08</v>
      </c>
      <c r="U14" s="80">
        <f t="shared" si="4"/>
        <v>68400.72</v>
      </c>
      <c r="V14" s="81"/>
      <c r="W14" s="80">
        <v>4039.08</v>
      </c>
      <c r="X14" s="80">
        <v>715.44</v>
      </c>
      <c r="Y14" s="80">
        <v>844.56</v>
      </c>
      <c r="Z14" s="17"/>
    </row>
    <row r="15" spans="1:26" x14ac:dyDescent="0.25">
      <c r="A15" s="3" t="s">
        <v>25</v>
      </c>
      <c r="B15" s="5">
        <f>7377.17</f>
        <v>7377.17</v>
      </c>
      <c r="C15" s="5">
        <f>5955.18</f>
        <v>5955.18</v>
      </c>
      <c r="D15" s="5">
        <f>5184.23</f>
        <v>5184.2299999999996</v>
      </c>
      <c r="E15" s="5">
        <f>7377.67</f>
        <v>7377.67</v>
      </c>
      <c r="F15" s="80">
        <f t="shared" si="0"/>
        <v>25894.25</v>
      </c>
      <c r="G15" s="80">
        <f>5053.48</f>
        <v>5053.4799999999996</v>
      </c>
      <c r="H15" s="80">
        <f>7130.74</f>
        <v>7130.74</v>
      </c>
      <c r="I15" s="80">
        <f>13371.64</f>
        <v>13371.64</v>
      </c>
      <c r="J15" s="80">
        <f>10309.2</f>
        <v>10309.200000000001</v>
      </c>
      <c r="K15" s="80">
        <f t="shared" si="1"/>
        <v>35865.06</v>
      </c>
      <c r="L15" s="80">
        <f>2882.54</f>
        <v>2882.54</v>
      </c>
      <c r="M15" s="80">
        <f>1413.96</f>
        <v>1413.96</v>
      </c>
      <c r="N15" s="80">
        <f>450</f>
        <v>450</v>
      </c>
      <c r="O15" s="82"/>
      <c r="P15" s="80">
        <f t="shared" si="2"/>
        <v>4746.5</v>
      </c>
      <c r="Q15" s="82"/>
      <c r="R15" s="82"/>
      <c r="S15" s="82"/>
      <c r="T15" s="80">
        <f t="shared" si="3"/>
        <v>0</v>
      </c>
      <c r="U15" s="80">
        <f t="shared" si="4"/>
        <v>0</v>
      </c>
      <c r="V15" s="81"/>
      <c r="W15" s="82"/>
      <c r="X15" s="82"/>
      <c r="Y15" s="82"/>
      <c r="Z15" s="17"/>
    </row>
    <row r="16" spans="1:26" x14ac:dyDescent="0.25">
      <c r="A16" s="3" t="s">
        <v>26</v>
      </c>
      <c r="B16" s="5">
        <f>22310.1</f>
        <v>22310.1</v>
      </c>
      <c r="C16" s="5">
        <f>12285.73</f>
        <v>12285.73</v>
      </c>
      <c r="D16" s="5">
        <f>19363.76</f>
        <v>19363.759999999998</v>
      </c>
      <c r="E16" s="5">
        <f>16107.72</f>
        <v>16107.72</v>
      </c>
      <c r="F16" s="80">
        <f t="shared" si="0"/>
        <v>70067.31</v>
      </c>
      <c r="G16" s="80">
        <f>36210.59</f>
        <v>36210.589999999997</v>
      </c>
      <c r="H16" s="80">
        <f>13123.14</f>
        <v>13123.14</v>
      </c>
      <c r="I16" s="80">
        <f>35504.84</f>
        <v>35504.839999999997</v>
      </c>
      <c r="J16" s="80">
        <f>26162.36</f>
        <v>26162.36</v>
      </c>
      <c r="K16" s="80">
        <f t="shared" si="1"/>
        <v>111000.93</v>
      </c>
      <c r="L16" s="80">
        <f>40028.18</f>
        <v>40028.18</v>
      </c>
      <c r="M16" s="80">
        <f>38391.58</f>
        <v>38391.58</v>
      </c>
      <c r="N16" s="80">
        <f>35084.08</f>
        <v>35084.080000000002</v>
      </c>
      <c r="O16" s="80">
        <f>29145.88</f>
        <v>29145.88</v>
      </c>
      <c r="P16" s="80">
        <f t="shared" si="2"/>
        <v>142649.72</v>
      </c>
      <c r="Q16" s="80">
        <f>41211.6</f>
        <v>41211.599999999999</v>
      </c>
      <c r="R16" s="80">
        <f>27511.85</f>
        <v>27511.85</v>
      </c>
      <c r="S16" s="80">
        <v>29736.48</v>
      </c>
      <c r="T16" s="80">
        <f t="shared" si="3"/>
        <v>23997.18</v>
      </c>
      <c r="U16" s="80">
        <f t="shared" si="4"/>
        <v>122457.10999999999</v>
      </c>
      <c r="V16" s="81"/>
      <c r="W16" s="80">
        <v>5081.1000000000004</v>
      </c>
      <c r="X16" s="80">
        <v>11150.4</v>
      </c>
      <c r="Y16" s="80">
        <v>7765.68</v>
      </c>
      <c r="Z16" s="17"/>
    </row>
    <row r="17" spans="1:26" x14ac:dyDescent="0.25">
      <c r="A17" s="3" t="s">
        <v>27</v>
      </c>
      <c r="B17" s="5">
        <f>54014.24</f>
        <v>54014.239999999998</v>
      </c>
      <c r="C17" s="5">
        <f>68539.52</f>
        <v>68539.520000000004</v>
      </c>
      <c r="D17" s="5">
        <f>73928.36</f>
        <v>73928.36</v>
      </c>
      <c r="E17" s="5">
        <f>105015.18</f>
        <v>105015.18</v>
      </c>
      <c r="F17" s="80">
        <f t="shared" si="0"/>
        <v>301497.3</v>
      </c>
      <c r="G17" s="80">
        <f>70478.68</f>
        <v>70478.679999999993</v>
      </c>
      <c r="H17" s="80">
        <f>36205.4</f>
        <v>36205.4</v>
      </c>
      <c r="I17" s="80">
        <f>93935.48</f>
        <v>93935.48</v>
      </c>
      <c r="J17" s="80">
        <f>143928.59</f>
        <v>143928.59</v>
      </c>
      <c r="K17" s="80">
        <f t="shared" si="1"/>
        <v>344548.15</v>
      </c>
      <c r="L17" s="80">
        <f>85547.57</f>
        <v>85547.57</v>
      </c>
      <c r="M17" s="80">
        <f>47108.12</f>
        <v>47108.12</v>
      </c>
      <c r="N17" s="80">
        <f>78900.9</f>
        <v>78900.899999999994</v>
      </c>
      <c r="O17" s="80">
        <f>80877.68</f>
        <v>80877.679999999993</v>
      </c>
      <c r="P17" s="80">
        <f t="shared" si="2"/>
        <v>292434.27</v>
      </c>
      <c r="Q17" s="80">
        <f>68517.84</f>
        <v>68517.84</v>
      </c>
      <c r="R17" s="80">
        <f>57864.66</f>
        <v>57864.66</v>
      </c>
      <c r="S17" s="80">
        <v>67629.600000000006</v>
      </c>
      <c r="T17" s="80">
        <f t="shared" si="3"/>
        <v>82017.040000000008</v>
      </c>
      <c r="U17" s="80">
        <f t="shared" si="4"/>
        <v>276029.14</v>
      </c>
      <c r="V17" s="81"/>
      <c r="W17" s="80">
        <v>19267.560000000001</v>
      </c>
      <c r="X17" s="80">
        <v>37554.120000000003</v>
      </c>
      <c r="Y17" s="80">
        <v>25195.360000000001</v>
      </c>
      <c r="Z17" s="17"/>
    </row>
    <row r="18" spans="1:26" x14ac:dyDescent="0.25">
      <c r="A18" s="3" t="s">
        <v>28</v>
      </c>
      <c r="B18" s="5">
        <f>10527.1</f>
        <v>10527.1</v>
      </c>
      <c r="C18" s="5">
        <f>5047.97</f>
        <v>5047.97</v>
      </c>
      <c r="D18" s="5">
        <f>15889.02</f>
        <v>15889.02</v>
      </c>
      <c r="E18" s="5">
        <f>4878.86</f>
        <v>4878.8599999999997</v>
      </c>
      <c r="F18" s="80">
        <f t="shared" si="0"/>
        <v>36342.949999999997</v>
      </c>
      <c r="G18" s="80">
        <f>23730.16</f>
        <v>23730.16</v>
      </c>
      <c r="H18" s="80">
        <f>53918.44</f>
        <v>53918.44</v>
      </c>
      <c r="I18" s="80">
        <f>31957.14</f>
        <v>31957.14</v>
      </c>
      <c r="J18" s="80">
        <f>21307.24</f>
        <v>21307.24</v>
      </c>
      <c r="K18" s="80">
        <f t="shared" si="1"/>
        <v>130912.98000000001</v>
      </c>
      <c r="L18" s="80">
        <f>20914.25</f>
        <v>20914.25</v>
      </c>
      <c r="M18" s="80">
        <f>16760.82</f>
        <v>16760.82</v>
      </c>
      <c r="N18" s="80">
        <f>6449.16</f>
        <v>6449.16</v>
      </c>
      <c r="O18" s="80">
        <f>26922.24</f>
        <v>26922.240000000002</v>
      </c>
      <c r="P18" s="80">
        <f t="shared" si="2"/>
        <v>71046.47</v>
      </c>
      <c r="Q18" s="80">
        <f>29895.72</f>
        <v>29895.72</v>
      </c>
      <c r="R18" s="80">
        <f>14337.12</f>
        <v>14337.12</v>
      </c>
      <c r="S18" s="80">
        <f>11731</f>
        <v>11731</v>
      </c>
      <c r="T18" s="80">
        <f t="shared" si="3"/>
        <v>12786.42</v>
      </c>
      <c r="U18" s="80">
        <f t="shared" si="4"/>
        <v>68750.260000000009</v>
      </c>
      <c r="V18" s="81"/>
      <c r="W18" s="80">
        <v>6308.76</v>
      </c>
      <c r="X18" s="80">
        <v>2415.66</v>
      </c>
      <c r="Y18" s="80">
        <v>4062</v>
      </c>
      <c r="Z18" s="17"/>
    </row>
    <row r="19" spans="1:26" x14ac:dyDescent="0.25">
      <c r="A19" s="3" t="s">
        <v>29</v>
      </c>
      <c r="B19" s="4"/>
      <c r="C19" s="4"/>
      <c r="D19" s="5">
        <f>72240</f>
        <v>72240</v>
      </c>
      <c r="E19" s="5">
        <f>30650.4</f>
        <v>30650.400000000001</v>
      </c>
      <c r="F19" s="80">
        <f t="shared" si="0"/>
        <v>102890.4</v>
      </c>
      <c r="G19" s="80">
        <f>76773.38</f>
        <v>76773.38</v>
      </c>
      <c r="H19" s="80">
        <f>21737.33</f>
        <v>21737.33</v>
      </c>
      <c r="I19" s="80">
        <f>53947.48</f>
        <v>53947.48</v>
      </c>
      <c r="J19" s="80">
        <f>72469.6</f>
        <v>72469.600000000006</v>
      </c>
      <c r="K19" s="80">
        <f t="shared" si="1"/>
        <v>224927.79</v>
      </c>
      <c r="L19" s="80">
        <f>43041.36</f>
        <v>43041.36</v>
      </c>
      <c r="M19" s="80">
        <f>29039.24</f>
        <v>29039.24</v>
      </c>
      <c r="N19" s="80">
        <f>35882.4</f>
        <v>35882.400000000001</v>
      </c>
      <c r="O19" s="80">
        <f>32676.68</f>
        <v>32676.68</v>
      </c>
      <c r="P19" s="80">
        <f t="shared" si="2"/>
        <v>140639.67999999999</v>
      </c>
      <c r="Q19" s="80">
        <f>37141</f>
        <v>37141</v>
      </c>
      <c r="R19" s="80">
        <f>20194.4</f>
        <v>20194.400000000001</v>
      </c>
      <c r="S19" s="80">
        <f>25468.78</f>
        <v>25468.78</v>
      </c>
      <c r="T19" s="83">
        <f t="shared" si="3"/>
        <v>26642.76</v>
      </c>
      <c r="U19" s="80">
        <f t="shared" si="4"/>
        <v>109446.93999999999</v>
      </c>
      <c r="V19" s="81"/>
      <c r="W19" s="80">
        <v>10994.72</v>
      </c>
      <c r="X19" s="80">
        <v>7725.2</v>
      </c>
      <c r="Y19" s="80">
        <v>7922.84</v>
      </c>
      <c r="Z19" s="17"/>
    </row>
    <row r="20" spans="1:26" x14ac:dyDescent="0.25">
      <c r="A20" s="3" t="s">
        <v>30</v>
      </c>
      <c r="B20" s="6">
        <f t="shared" ref="B20:S20" si="5">(((((((((((B8)+(B9))+(B10))+(B11))+(B12))+(B13))+(B14))+(B15))+(B16))+(B17))+(B18))+(B19)</f>
        <v>189733.37</v>
      </c>
      <c r="C20" s="6">
        <f t="shared" si="5"/>
        <v>216780.32000000004</v>
      </c>
      <c r="D20" s="6">
        <f t="shared" si="5"/>
        <v>306539.38</v>
      </c>
      <c r="E20" s="6">
        <f t="shared" si="5"/>
        <v>280623.28999999998</v>
      </c>
      <c r="F20" s="92">
        <f>SUM(F7:F19)</f>
        <v>956334.33</v>
      </c>
      <c r="G20" s="84">
        <f t="shared" si="5"/>
        <v>335094.94999999995</v>
      </c>
      <c r="H20" s="84">
        <f t="shared" si="5"/>
        <v>324394.76999999996</v>
      </c>
      <c r="I20" s="84">
        <f t="shared" si="5"/>
        <v>409050.25</v>
      </c>
      <c r="J20" s="84">
        <f t="shared" si="5"/>
        <v>492754.04999999993</v>
      </c>
      <c r="K20" s="92">
        <f>SUM(K7:K19)</f>
        <v>1608761.94</v>
      </c>
      <c r="L20" s="84">
        <f t="shared" si="5"/>
        <v>387926.39999999997</v>
      </c>
      <c r="M20" s="84">
        <f t="shared" si="5"/>
        <v>315712.94</v>
      </c>
      <c r="N20" s="84">
        <f t="shared" si="5"/>
        <v>299399.28000000003</v>
      </c>
      <c r="O20" s="84">
        <f t="shared" si="5"/>
        <v>434480.42000000004</v>
      </c>
      <c r="P20" s="92">
        <f>SUM(P7:P19)</f>
        <v>1500839.9</v>
      </c>
      <c r="Q20" s="84">
        <f t="shared" si="5"/>
        <v>419001.1</v>
      </c>
      <c r="R20" s="84">
        <f t="shared" si="5"/>
        <v>275455.93000000005</v>
      </c>
      <c r="S20" s="84">
        <f t="shared" si="5"/>
        <v>294257.90000000002</v>
      </c>
      <c r="T20" s="84">
        <f>SUM(T7:T19)</f>
        <v>308713.98</v>
      </c>
      <c r="U20" s="84">
        <f>SUM(U7:U19)</f>
        <v>1297428.9099999999</v>
      </c>
      <c r="V20" s="81"/>
      <c r="W20" s="84">
        <f t="shared" ref="W20:Y20" si="6">SUM(W7:W19)</f>
        <v>88999.360000000001</v>
      </c>
      <c r="X20" s="84">
        <f t="shared" si="6"/>
        <v>136229.34</v>
      </c>
      <c r="Y20" s="84">
        <f t="shared" si="6"/>
        <v>83485.279999999999</v>
      </c>
      <c r="Z20" s="17"/>
    </row>
    <row r="21" spans="1:26" x14ac:dyDescent="0.25">
      <c r="A21" s="3" t="s">
        <v>31</v>
      </c>
      <c r="B21" s="4"/>
      <c r="C21" s="4"/>
      <c r="D21" s="4"/>
      <c r="E21" s="4"/>
      <c r="F21" s="82"/>
      <c r="G21" s="82"/>
      <c r="H21" s="82"/>
      <c r="I21" s="82"/>
      <c r="J21" s="82"/>
      <c r="K21" s="82"/>
      <c r="L21" s="82"/>
      <c r="M21" s="82"/>
      <c r="N21" s="82"/>
      <c r="O21" s="82"/>
      <c r="P21" s="82"/>
      <c r="Q21" s="82"/>
      <c r="R21" s="82"/>
      <c r="S21" s="82"/>
      <c r="T21" s="80"/>
      <c r="U21" s="80"/>
      <c r="V21" s="81"/>
      <c r="W21" s="82"/>
      <c r="X21" s="82"/>
      <c r="Y21" s="82"/>
      <c r="Z21" s="17"/>
    </row>
    <row r="22" spans="1:26" x14ac:dyDescent="0.25">
      <c r="A22" s="3" t="s">
        <v>32</v>
      </c>
      <c r="B22" s="5">
        <f>4092.61</f>
        <v>4092.61</v>
      </c>
      <c r="C22" s="5">
        <f>5006.5</f>
        <v>5006.5</v>
      </c>
      <c r="D22" s="5">
        <f>3795.14</f>
        <v>3795.14</v>
      </c>
      <c r="E22" s="5">
        <f>4156.4</f>
        <v>4156.3999999999996</v>
      </c>
      <c r="F22" s="80">
        <f t="shared" ref="F22:F86" si="7">SUM(B22:E22)</f>
        <v>17050.650000000001</v>
      </c>
      <c r="G22" s="80">
        <f>2216.2</f>
        <v>2216.1999999999998</v>
      </c>
      <c r="H22" s="80">
        <f>2757.7</f>
        <v>2757.7</v>
      </c>
      <c r="I22" s="80">
        <f>8881.32</f>
        <v>8881.32</v>
      </c>
      <c r="J22" s="80">
        <f>7646.28</f>
        <v>7646.28</v>
      </c>
      <c r="K22" s="80">
        <f t="shared" ref="K22:K86" si="8">SUM(G22:J22)</f>
        <v>21501.5</v>
      </c>
      <c r="L22" s="80">
        <f>1582.2</f>
        <v>1582.2</v>
      </c>
      <c r="M22" s="80">
        <f>3192.8</f>
        <v>3192.8</v>
      </c>
      <c r="N22" s="80">
        <f>709.8</f>
        <v>709.8</v>
      </c>
      <c r="O22" s="80">
        <f>3231.84</f>
        <v>3231.84</v>
      </c>
      <c r="P22" s="80">
        <f t="shared" ref="P22:P86" si="9">SUM(L22:O22)</f>
        <v>8716.64</v>
      </c>
      <c r="Q22" s="80">
        <f>1767.48</f>
        <v>1767.48</v>
      </c>
      <c r="R22" s="80">
        <f>1712.76</f>
        <v>1712.76</v>
      </c>
      <c r="S22" s="80">
        <f>1069.8</f>
        <v>1069.8</v>
      </c>
      <c r="T22" s="80">
        <f t="shared" si="3"/>
        <v>1837.56</v>
      </c>
      <c r="U22" s="80">
        <f t="shared" si="4"/>
        <v>6387.6</v>
      </c>
      <c r="V22" s="81"/>
      <c r="W22" s="80">
        <v>84.48</v>
      </c>
      <c r="X22" s="80">
        <v>1133.76</v>
      </c>
      <c r="Y22" s="80">
        <v>619.32000000000005</v>
      </c>
      <c r="Z22" s="17"/>
    </row>
    <row r="23" spans="1:26" x14ac:dyDescent="0.25">
      <c r="A23" s="3" t="s">
        <v>33</v>
      </c>
      <c r="B23" s="5">
        <f>1697.31</f>
        <v>1697.31</v>
      </c>
      <c r="C23" s="5">
        <f>1205.94</f>
        <v>1205.94</v>
      </c>
      <c r="D23" s="5">
        <f>1085.14</f>
        <v>1085.1400000000001</v>
      </c>
      <c r="E23" s="5">
        <f>1387</f>
        <v>1387</v>
      </c>
      <c r="F23" s="80">
        <f t="shared" si="7"/>
        <v>5375.39</v>
      </c>
      <c r="G23" s="80">
        <f>1077.4</f>
        <v>1077.4000000000001</v>
      </c>
      <c r="H23" s="80">
        <f>610.2</f>
        <v>610.20000000000005</v>
      </c>
      <c r="I23" s="80">
        <f>2010.6</f>
        <v>2010.6</v>
      </c>
      <c r="J23" s="80">
        <f>2632.5</f>
        <v>2632.5</v>
      </c>
      <c r="K23" s="80">
        <f t="shared" si="8"/>
        <v>6330.7</v>
      </c>
      <c r="L23" s="80">
        <f>940.2</f>
        <v>940.2</v>
      </c>
      <c r="M23" s="80">
        <f>1535.4</f>
        <v>1535.4</v>
      </c>
      <c r="N23" s="80">
        <f>273.6</f>
        <v>273.60000000000002</v>
      </c>
      <c r="O23" s="80">
        <f>752.4</f>
        <v>752.4</v>
      </c>
      <c r="P23" s="80">
        <f t="shared" si="9"/>
        <v>3501.6000000000004</v>
      </c>
      <c r="Q23" s="80">
        <f>631.92</f>
        <v>631.91999999999996</v>
      </c>
      <c r="R23" s="80">
        <f>1127.76</f>
        <v>1127.76</v>
      </c>
      <c r="S23" s="80">
        <f>3083.4</f>
        <v>3083.4</v>
      </c>
      <c r="T23" s="83">
        <f t="shared" si="3"/>
        <v>408.48</v>
      </c>
      <c r="U23" s="83">
        <f t="shared" si="4"/>
        <v>5251.5599999999995</v>
      </c>
      <c r="V23" s="81"/>
      <c r="W23" s="83">
        <v>84.48</v>
      </c>
      <c r="X23" s="83">
        <v>324</v>
      </c>
      <c r="Y23" s="83">
        <v>0</v>
      </c>
      <c r="Z23" s="17"/>
    </row>
    <row r="24" spans="1:26" x14ac:dyDescent="0.25">
      <c r="A24" s="3" t="s">
        <v>34</v>
      </c>
      <c r="B24" s="6">
        <f t="shared" ref="B24:T24" si="10">((B21)+(B22))+(B23)</f>
        <v>5789.92</v>
      </c>
      <c r="C24" s="6">
        <f t="shared" si="10"/>
        <v>6212.4400000000005</v>
      </c>
      <c r="D24" s="6">
        <f t="shared" si="10"/>
        <v>4880.28</v>
      </c>
      <c r="E24" s="6">
        <f t="shared" si="10"/>
        <v>5543.4</v>
      </c>
      <c r="F24" s="80">
        <f>SUM(F22:F23)</f>
        <v>22426.04</v>
      </c>
      <c r="G24" s="84">
        <f t="shared" si="10"/>
        <v>3293.6</v>
      </c>
      <c r="H24" s="84">
        <f t="shared" si="10"/>
        <v>3367.8999999999996</v>
      </c>
      <c r="I24" s="84">
        <f t="shared" si="10"/>
        <v>10891.92</v>
      </c>
      <c r="J24" s="84">
        <f t="shared" si="10"/>
        <v>10278.779999999999</v>
      </c>
      <c r="K24" s="80">
        <f>SUM(K22:K23)</f>
        <v>27832.2</v>
      </c>
      <c r="L24" s="84">
        <f t="shared" si="10"/>
        <v>2522.4</v>
      </c>
      <c r="M24" s="84">
        <f t="shared" si="10"/>
        <v>4728.2000000000007</v>
      </c>
      <c r="N24" s="84">
        <f t="shared" si="10"/>
        <v>983.4</v>
      </c>
      <c r="O24" s="84">
        <f t="shared" si="10"/>
        <v>3984.2400000000002</v>
      </c>
      <c r="P24" s="80">
        <f>SUM(P22:P23)</f>
        <v>12218.24</v>
      </c>
      <c r="Q24" s="84">
        <f t="shared" si="10"/>
        <v>2399.4</v>
      </c>
      <c r="R24" s="84">
        <f t="shared" si="10"/>
        <v>2840.52</v>
      </c>
      <c r="S24" s="84">
        <f t="shared" si="10"/>
        <v>4153.2</v>
      </c>
      <c r="T24" s="84">
        <f t="shared" si="10"/>
        <v>2246.04</v>
      </c>
      <c r="U24" s="85">
        <f>SUM(U22:U23)</f>
        <v>11639.16</v>
      </c>
      <c r="V24" s="81"/>
      <c r="W24" s="85">
        <f t="shared" ref="W24:Y24" si="11">SUM(W22:W23)</f>
        <v>168.96</v>
      </c>
      <c r="X24" s="85">
        <f t="shared" si="11"/>
        <v>1457.76</v>
      </c>
      <c r="Y24" s="85">
        <f t="shared" si="11"/>
        <v>619.32000000000005</v>
      </c>
      <c r="Z24" s="17"/>
    </row>
    <row r="25" spans="1:26" x14ac:dyDescent="0.25">
      <c r="A25" s="3" t="s">
        <v>35</v>
      </c>
      <c r="B25" s="4"/>
      <c r="C25" s="4"/>
      <c r="D25" s="5">
        <f>189</f>
        <v>189</v>
      </c>
      <c r="E25" s="4"/>
      <c r="F25" s="80">
        <f t="shared" si="7"/>
        <v>189</v>
      </c>
      <c r="G25" s="82"/>
      <c r="H25" s="82"/>
      <c r="I25" s="82"/>
      <c r="J25" s="82"/>
      <c r="K25" s="80">
        <f t="shared" si="8"/>
        <v>0</v>
      </c>
      <c r="L25" s="82"/>
      <c r="M25" s="82"/>
      <c r="N25" s="82"/>
      <c r="O25" s="82"/>
      <c r="P25" s="80">
        <f t="shared" si="9"/>
        <v>0</v>
      </c>
      <c r="Q25" s="82"/>
      <c r="R25" s="82"/>
      <c r="S25" s="82"/>
      <c r="T25" s="80"/>
      <c r="U25" s="80"/>
      <c r="V25" s="81"/>
      <c r="W25" s="82"/>
      <c r="X25" s="82"/>
      <c r="Y25" s="82"/>
      <c r="Z25" s="17"/>
    </row>
    <row r="26" spans="1:26" x14ac:dyDescent="0.25">
      <c r="A26" s="3" t="s">
        <v>36</v>
      </c>
      <c r="B26" s="5">
        <f>8823.3</f>
        <v>8823.2999999999993</v>
      </c>
      <c r="C26" s="5">
        <f>8459.82</f>
        <v>8459.82</v>
      </c>
      <c r="D26" s="5">
        <f>22917.24</f>
        <v>22917.24</v>
      </c>
      <c r="E26" s="5">
        <f>15076.8</f>
        <v>15076.8</v>
      </c>
      <c r="F26" s="80">
        <f t="shared" si="7"/>
        <v>55277.16</v>
      </c>
      <c r="G26" s="80">
        <f>16659.72</f>
        <v>16659.72</v>
      </c>
      <c r="H26" s="80">
        <f>38254.86</f>
        <v>38254.86</v>
      </c>
      <c r="I26" s="80">
        <f>64216.14</f>
        <v>64216.14</v>
      </c>
      <c r="J26" s="80">
        <f>14478.84</f>
        <v>14478.84</v>
      </c>
      <c r="K26" s="80">
        <f t="shared" si="8"/>
        <v>133609.56</v>
      </c>
      <c r="L26" s="80">
        <f>28716</f>
        <v>28716</v>
      </c>
      <c r="M26" s="80">
        <f>64329.18</f>
        <v>64329.18</v>
      </c>
      <c r="N26" s="80">
        <f>20001.18</f>
        <v>20001.18</v>
      </c>
      <c r="O26" s="80">
        <f>45503.28</f>
        <v>45503.28</v>
      </c>
      <c r="P26" s="80">
        <f t="shared" si="9"/>
        <v>158549.63999999998</v>
      </c>
      <c r="Q26" s="80">
        <f>18634.72</f>
        <v>18634.72</v>
      </c>
      <c r="R26" s="80">
        <f>40193.46</f>
        <v>40193.46</v>
      </c>
      <c r="S26" s="80">
        <f>22243.69</f>
        <v>22243.69</v>
      </c>
      <c r="T26" s="80">
        <f t="shared" si="3"/>
        <v>22504.5</v>
      </c>
      <c r="U26" s="80">
        <f t="shared" si="4"/>
        <v>103576.37</v>
      </c>
      <c r="V26" s="81"/>
      <c r="W26" s="80">
        <v>5586.3</v>
      </c>
      <c r="X26" s="80">
        <v>4233</v>
      </c>
      <c r="Y26" s="80">
        <v>12685.2</v>
      </c>
      <c r="Z26" s="17"/>
    </row>
    <row r="27" spans="1:26" x14ac:dyDescent="0.25">
      <c r="A27" s="3" t="s">
        <v>37</v>
      </c>
      <c r="B27" s="4"/>
      <c r="C27" s="5">
        <f>4923.18</f>
        <v>4923.18</v>
      </c>
      <c r="D27" s="5">
        <f>7180.62</f>
        <v>7180.62</v>
      </c>
      <c r="E27" s="5">
        <f>8765.52</f>
        <v>8765.52</v>
      </c>
      <c r="F27" s="80">
        <f t="shared" si="7"/>
        <v>20869.32</v>
      </c>
      <c r="G27" s="80">
        <f>2391.78</f>
        <v>2391.7800000000002</v>
      </c>
      <c r="H27" s="80">
        <f>8180.82</f>
        <v>8180.82</v>
      </c>
      <c r="I27" s="80">
        <f>3475.38</f>
        <v>3475.38</v>
      </c>
      <c r="J27" s="80">
        <f>7381.8</f>
        <v>7381.8</v>
      </c>
      <c r="K27" s="80">
        <f t="shared" si="8"/>
        <v>21429.78</v>
      </c>
      <c r="L27" s="80">
        <f>13775.76</f>
        <v>13775.76</v>
      </c>
      <c r="M27" s="80">
        <f>6970.32</f>
        <v>6970.32</v>
      </c>
      <c r="N27" s="80">
        <f>5233.8</f>
        <v>5233.8</v>
      </c>
      <c r="O27" s="80">
        <f>2413.02</f>
        <v>2413.02</v>
      </c>
      <c r="P27" s="80">
        <f t="shared" si="9"/>
        <v>28392.9</v>
      </c>
      <c r="Q27" s="80">
        <f>1236.3</f>
        <v>1236.3</v>
      </c>
      <c r="R27" s="80">
        <f>3110.1</f>
        <v>3110.1</v>
      </c>
      <c r="S27" s="80">
        <f>3333.6</f>
        <v>3333.6</v>
      </c>
      <c r="T27" s="80">
        <f t="shared" si="3"/>
        <v>2323.5</v>
      </c>
      <c r="U27" s="80">
        <f t="shared" si="4"/>
        <v>10003.5</v>
      </c>
      <c r="V27" s="81"/>
      <c r="W27" s="80">
        <v>1053</v>
      </c>
      <c r="X27" s="80">
        <v>1198.5</v>
      </c>
      <c r="Y27" s="80">
        <v>72</v>
      </c>
      <c r="Z27" s="17"/>
    </row>
    <row r="28" spans="1:26" x14ac:dyDescent="0.25">
      <c r="A28" s="3" t="s">
        <v>38</v>
      </c>
      <c r="B28" s="4"/>
      <c r="C28" s="4"/>
      <c r="D28" s="4"/>
      <c r="E28" s="4"/>
      <c r="F28" s="80">
        <f t="shared" si="7"/>
        <v>0</v>
      </c>
      <c r="G28" s="82"/>
      <c r="H28" s="82"/>
      <c r="I28" s="82"/>
      <c r="J28" s="82"/>
      <c r="K28" s="80">
        <f t="shared" si="8"/>
        <v>0</v>
      </c>
      <c r="L28" s="82"/>
      <c r="M28" s="80">
        <f>24805.92</f>
        <v>24805.919999999998</v>
      </c>
      <c r="N28" s="80">
        <f>5721.18</f>
        <v>5721.18</v>
      </c>
      <c r="O28" s="80">
        <f>19666.62</f>
        <v>19666.62</v>
      </c>
      <c r="P28" s="80">
        <f t="shared" si="9"/>
        <v>50193.72</v>
      </c>
      <c r="Q28" s="80">
        <f>1773.48</f>
        <v>1773.48</v>
      </c>
      <c r="R28" s="80">
        <f>2966.04</f>
        <v>2966.04</v>
      </c>
      <c r="S28" s="80">
        <f>3609.78</f>
        <v>3609.78</v>
      </c>
      <c r="T28" s="83">
        <f t="shared" si="3"/>
        <v>7353</v>
      </c>
      <c r="U28" s="83">
        <f t="shared" si="4"/>
        <v>15702.300000000001</v>
      </c>
      <c r="V28" s="81"/>
      <c r="W28" s="83">
        <v>351</v>
      </c>
      <c r="X28" s="83">
        <v>6948</v>
      </c>
      <c r="Y28" s="83">
        <v>54</v>
      </c>
      <c r="Z28" s="17"/>
    </row>
    <row r="29" spans="1:26" x14ac:dyDescent="0.25">
      <c r="A29" s="3" t="s">
        <v>39</v>
      </c>
      <c r="B29" s="6">
        <f t="shared" ref="B29:T29" si="12">(((B25)+(B26))+(B27))+(B28)</f>
        <v>8823.2999999999993</v>
      </c>
      <c r="C29" s="6">
        <f t="shared" si="12"/>
        <v>13383</v>
      </c>
      <c r="D29" s="6">
        <f t="shared" si="12"/>
        <v>30286.86</v>
      </c>
      <c r="E29" s="6">
        <f t="shared" si="12"/>
        <v>23842.32</v>
      </c>
      <c r="F29" s="80">
        <f>SUM(F25:F28)</f>
        <v>76335.48000000001</v>
      </c>
      <c r="G29" s="84">
        <f t="shared" si="12"/>
        <v>19051.5</v>
      </c>
      <c r="H29" s="84">
        <f t="shared" si="12"/>
        <v>46435.68</v>
      </c>
      <c r="I29" s="84">
        <f t="shared" si="12"/>
        <v>67691.520000000004</v>
      </c>
      <c r="J29" s="84">
        <f t="shared" si="12"/>
        <v>21860.639999999999</v>
      </c>
      <c r="K29" s="80">
        <f>SUM(K25:K28)</f>
        <v>155039.34</v>
      </c>
      <c r="L29" s="84">
        <f t="shared" si="12"/>
        <v>42491.76</v>
      </c>
      <c r="M29" s="84">
        <f t="shared" si="12"/>
        <v>96105.42</v>
      </c>
      <c r="N29" s="84">
        <f t="shared" si="12"/>
        <v>30956.16</v>
      </c>
      <c r="O29" s="84">
        <f t="shared" si="12"/>
        <v>67582.92</v>
      </c>
      <c r="P29" s="80">
        <f>SUM(P25:P28)</f>
        <v>237136.25999999998</v>
      </c>
      <c r="Q29" s="84">
        <f t="shared" si="12"/>
        <v>21644.5</v>
      </c>
      <c r="R29" s="84">
        <f t="shared" si="12"/>
        <v>46269.599999999999</v>
      </c>
      <c r="S29" s="84">
        <f t="shared" si="12"/>
        <v>29187.069999999996</v>
      </c>
      <c r="T29" s="84">
        <f t="shared" si="12"/>
        <v>32181</v>
      </c>
      <c r="U29" s="85">
        <f>SUM(U26:U28)</f>
        <v>129282.17</v>
      </c>
      <c r="V29" s="81"/>
      <c r="W29" s="85">
        <f t="shared" ref="W29:Y29" si="13">SUM(W26:W28)</f>
        <v>6990.3</v>
      </c>
      <c r="X29" s="85">
        <f t="shared" si="13"/>
        <v>12379.5</v>
      </c>
      <c r="Y29" s="85">
        <f t="shared" si="13"/>
        <v>12811.2</v>
      </c>
      <c r="Z29" s="17"/>
    </row>
    <row r="30" spans="1:26" x14ac:dyDescent="0.25">
      <c r="A30" s="3" t="s">
        <v>40</v>
      </c>
      <c r="B30" s="4"/>
      <c r="C30" s="4"/>
      <c r="D30" s="4"/>
      <c r="E30" s="4"/>
      <c r="F30" s="80">
        <f t="shared" si="7"/>
        <v>0</v>
      </c>
      <c r="G30" s="82"/>
      <c r="H30" s="82"/>
      <c r="I30" s="82"/>
      <c r="J30" s="82"/>
      <c r="K30" s="80">
        <f t="shared" si="8"/>
        <v>0</v>
      </c>
      <c r="L30" s="82"/>
      <c r="M30" s="82"/>
      <c r="N30" s="82"/>
      <c r="O30" s="82"/>
      <c r="P30" s="80">
        <f t="shared" si="9"/>
        <v>0</v>
      </c>
      <c r="Q30" s="80">
        <f>43364.76</f>
        <v>43364.76</v>
      </c>
      <c r="R30" s="80">
        <f>5865.24</f>
        <v>5865.24</v>
      </c>
      <c r="S30" s="80">
        <f>105503.97</f>
        <v>105503.97</v>
      </c>
      <c r="T30" s="80">
        <f t="shared" si="3"/>
        <v>287157.68</v>
      </c>
      <c r="U30" s="80">
        <f t="shared" si="4"/>
        <v>441891.65</v>
      </c>
      <c r="V30" s="81"/>
      <c r="W30" s="80">
        <v>122870.36</v>
      </c>
      <c r="X30" s="80">
        <v>101701.2</v>
      </c>
      <c r="Y30" s="80">
        <v>62586.12</v>
      </c>
      <c r="Z30" s="17"/>
    </row>
    <row r="31" spans="1:26" x14ac:dyDescent="0.25">
      <c r="A31" s="3" t="s">
        <v>41</v>
      </c>
      <c r="B31" s="5">
        <f>9616.5</f>
        <v>9616.5</v>
      </c>
      <c r="C31" s="5">
        <f>14464</f>
        <v>14464</v>
      </c>
      <c r="D31" s="5">
        <f>19500.44</f>
        <v>19500.439999999999</v>
      </c>
      <c r="E31" s="5">
        <f>8837.82</f>
        <v>8837.82</v>
      </c>
      <c r="F31" s="80">
        <f t="shared" si="7"/>
        <v>52418.76</v>
      </c>
      <c r="G31" s="80">
        <f>4260.69</f>
        <v>4260.6899999999996</v>
      </c>
      <c r="H31" s="82"/>
      <c r="I31" s="82"/>
      <c r="J31" s="82"/>
      <c r="K31" s="80">
        <f t="shared" si="8"/>
        <v>4260.6899999999996</v>
      </c>
      <c r="L31" s="82"/>
      <c r="M31" s="82"/>
      <c r="N31" s="82"/>
      <c r="O31" s="82"/>
      <c r="P31" s="80">
        <f t="shared" si="9"/>
        <v>0</v>
      </c>
      <c r="Q31" s="80">
        <f>3165</f>
        <v>3165</v>
      </c>
      <c r="R31" s="80">
        <f>1003.55</f>
        <v>1003.55</v>
      </c>
      <c r="S31" s="80">
        <f>3404.6</f>
        <v>3404.6</v>
      </c>
      <c r="T31" s="80">
        <f t="shared" si="3"/>
        <v>-2019.6</v>
      </c>
      <c r="U31" s="80">
        <f t="shared" si="4"/>
        <v>5553.5499999999993</v>
      </c>
      <c r="V31" s="81"/>
      <c r="W31" s="80"/>
      <c r="X31" s="80">
        <v>-2019.6</v>
      </c>
      <c r="Y31" s="80"/>
      <c r="Z31" s="17"/>
    </row>
    <row r="32" spans="1:26" x14ac:dyDescent="0.25">
      <c r="A32" s="3" t="s">
        <v>42</v>
      </c>
      <c r="B32" s="5">
        <f>-810</f>
        <v>-810</v>
      </c>
      <c r="C32" s="5">
        <f>-1386</f>
        <v>-1386</v>
      </c>
      <c r="D32" s="5">
        <f>-1668</f>
        <v>-1668</v>
      </c>
      <c r="E32" s="5">
        <f>-309.71</f>
        <v>-309.70999999999998</v>
      </c>
      <c r="F32" s="80">
        <f t="shared" si="7"/>
        <v>-4173.71</v>
      </c>
      <c r="G32" s="82"/>
      <c r="H32" s="82"/>
      <c r="I32" s="82"/>
      <c r="J32" s="82"/>
      <c r="K32" s="80">
        <f t="shared" si="8"/>
        <v>0</v>
      </c>
      <c r="L32" s="82"/>
      <c r="M32" s="82"/>
      <c r="N32" s="82"/>
      <c r="O32" s="82"/>
      <c r="P32" s="80">
        <f t="shared" si="9"/>
        <v>0</v>
      </c>
      <c r="Q32" s="82"/>
      <c r="R32" s="82"/>
      <c r="S32" s="82"/>
      <c r="T32" s="83">
        <f t="shared" si="3"/>
        <v>0</v>
      </c>
      <c r="U32" s="83">
        <f t="shared" si="4"/>
        <v>0</v>
      </c>
      <c r="V32" s="81"/>
      <c r="W32" s="86"/>
      <c r="X32" s="86"/>
      <c r="Y32" s="86"/>
      <c r="Z32" s="17"/>
    </row>
    <row r="33" spans="1:26" x14ac:dyDescent="0.25">
      <c r="A33" s="3" t="s">
        <v>43</v>
      </c>
      <c r="B33" s="6">
        <f t="shared" ref="B33:T33" si="14">(B31)+(B32)</f>
        <v>8806.5</v>
      </c>
      <c r="C33" s="6">
        <f t="shared" si="14"/>
        <v>13078</v>
      </c>
      <c r="D33" s="6">
        <f t="shared" si="14"/>
        <v>17832.439999999999</v>
      </c>
      <c r="E33" s="6">
        <f t="shared" si="14"/>
        <v>8528.11</v>
      </c>
      <c r="F33" s="80">
        <f t="shared" si="7"/>
        <v>48245.05</v>
      </c>
      <c r="G33" s="84">
        <f t="shared" si="14"/>
        <v>4260.6899999999996</v>
      </c>
      <c r="H33" s="84">
        <f t="shared" si="14"/>
        <v>0</v>
      </c>
      <c r="I33" s="84">
        <f t="shared" si="14"/>
        <v>0</v>
      </c>
      <c r="J33" s="84">
        <f t="shared" si="14"/>
        <v>0</v>
      </c>
      <c r="K33" s="80">
        <f t="shared" si="8"/>
        <v>4260.6899999999996</v>
      </c>
      <c r="L33" s="84">
        <f t="shared" si="14"/>
        <v>0</v>
      </c>
      <c r="M33" s="84">
        <f t="shared" si="14"/>
        <v>0</v>
      </c>
      <c r="N33" s="84">
        <f t="shared" si="14"/>
        <v>0</v>
      </c>
      <c r="O33" s="84">
        <f t="shared" si="14"/>
        <v>0</v>
      </c>
      <c r="P33" s="80">
        <f t="shared" si="9"/>
        <v>0</v>
      </c>
      <c r="Q33" s="84">
        <f t="shared" si="14"/>
        <v>3165</v>
      </c>
      <c r="R33" s="84">
        <f t="shared" si="14"/>
        <v>1003.55</v>
      </c>
      <c r="S33" s="84">
        <f t="shared" si="14"/>
        <v>3404.6</v>
      </c>
      <c r="T33" s="84">
        <f t="shared" si="14"/>
        <v>-2019.6</v>
      </c>
      <c r="U33" s="80">
        <f>SUM(U31:U32)</f>
        <v>5553.5499999999993</v>
      </c>
      <c r="V33" s="81"/>
      <c r="W33" s="80">
        <f t="shared" ref="W33:Y33" si="15">SUM(W31:W32)</f>
        <v>0</v>
      </c>
      <c r="X33" s="80">
        <f t="shared" si="15"/>
        <v>-2019.6</v>
      </c>
      <c r="Y33" s="80">
        <f t="shared" si="15"/>
        <v>0</v>
      </c>
      <c r="Z33" s="17"/>
    </row>
    <row r="34" spans="1:26" x14ac:dyDescent="0.25">
      <c r="A34" s="3" t="s">
        <v>44</v>
      </c>
      <c r="B34" s="5">
        <f>13227.23</f>
        <v>13227.23</v>
      </c>
      <c r="C34" s="5">
        <f>10561.95</f>
        <v>10561.95</v>
      </c>
      <c r="D34" s="5">
        <f>14387.55</f>
        <v>14387.55</v>
      </c>
      <c r="E34" s="5">
        <f>46407.42</f>
        <v>46407.42</v>
      </c>
      <c r="F34" s="80">
        <f t="shared" si="7"/>
        <v>84584.15</v>
      </c>
      <c r="G34" s="80">
        <f>42715.39</f>
        <v>42715.39</v>
      </c>
      <c r="H34" s="80">
        <f>84466.55</f>
        <v>84466.55</v>
      </c>
      <c r="I34" s="80">
        <f>51123.84</f>
        <v>51123.839999999997</v>
      </c>
      <c r="J34" s="80">
        <f>78718.72</f>
        <v>78718.720000000001</v>
      </c>
      <c r="K34" s="80">
        <f t="shared" si="8"/>
        <v>257024.5</v>
      </c>
      <c r="L34" s="80">
        <f>56172.69</f>
        <v>56172.69</v>
      </c>
      <c r="M34" s="80">
        <f>63842.5</f>
        <v>63842.5</v>
      </c>
      <c r="N34" s="80">
        <f>49484.74</f>
        <v>49484.74</v>
      </c>
      <c r="O34" s="80">
        <f>69359.64</f>
        <v>69359.64</v>
      </c>
      <c r="P34" s="80">
        <f t="shared" si="9"/>
        <v>238859.57</v>
      </c>
      <c r="Q34" s="80">
        <f>44514.23</f>
        <v>44514.23</v>
      </c>
      <c r="R34" s="80">
        <f>58581.72</f>
        <v>58581.72</v>
      </c>
      <c r="S34" s="80">
        <f>54860.41</f>
        <v>54860.41</v>
      </c>
      <c r="T34" s="80">
        <f t="shared" si="3"/>
        <v>76268.790000000008</v>
      </c>
      <c r="U34" s="80">
        <f t="shared" si="4"/>
        <v>234225.15000000002</v>
      </c>
      <c r="V34" s="81"/>
      <c r="W34" s="80">
        <v>13064.78</v>
      </c>
      <c r="X34" s="80">
        <v>42321.22</v>
      </c>
      <c r="Y34" s="80">
        <v>20882.79</v>
      </c>
      <c r="Z34" s="17"/>
    </row>
    <row r="35" spans="1:26" x14ac:dyDescent="0.25">
      <c r="A35" s="3" t="s">
        <v>45</v>
      </c>
      <c r="B35" s="4"/>
      <c r="C35" s="5">
        <f>3671.27</f>
        <v>3671.27</v>
      </c>
      <c r="D35" s="4"/>
      <c r="E35" s="4"/>
      <c r="F35" s="80">
        <f t="shared" si="7"/>
        <v>3671.27</v>
      </c>
      <c r="G35" s="82"/>
      <c r="H35" s="82"/>
      <c r="I35" s="82"/>
      <c r="J35" s="82"/>
      <c r="K35" s="80">
        <f t="shared" si="8"/>
        <v>0</v>
      </c>
      <c r="L35" s="82"/>
      <c r="M35" s="82"/>
      <c r="N35" s="82"/>
      <c r="O35" s="82"/>
      <c r="P35" s="80">
        <f t="shared" si="9"/>
        <v>0</v>
      </c>
      <c r="Q35" s="82"/>
      <c r="R35" s="82"/>
      <c r="S35" s="82"/>
      <c r="T35" s="80"/>
      <c r="U35" s="80"/>
      <c r="V35" s="81"/>
      <c r="W35" s="82"/>
      <c r="X35" s="82"/>
      <c r="Y35" s="82"/>
      <c r="Z35" s="17"/>
    </row>
    <row r="36" spans="1:26" x14ac:dyDescent="0.25">
      <c r="A36" s="3" t="s">
        <v>46</v>
      </c>
      <c r="B36" s="5">
        <f>11891.42</f>
        <v>11891.42</v>
      </c>
      <c r="C36" s="5">
        <f>23155.37</f>
        <v>23155.37</v>
      </c>
      <c r="D36" s="5">
        <f>24023.28</f>
        <v>24023.279999999999</v>
      </c>
      <c r="E36" s="5">
        <f>22739.29</f>
        <v>22739.29</v>
      </c>
      <c r="F36" s="80">
        <f t="shared" si="7"/>
        <v>81809.36</v>
      </c>
      <c r="G36" s="80">
        <f>22307.25</f>
        <v>22307.25</v>
      </c>
      <c r="H36" s="80">
        <f>51196.09</f>
        <v>51196.09</v>
      </c>
      <c r="I36" s="80">
        <f>4115.8</f>
        <v>4115.8</v>
      </c>
      <c r="J36" s="80">
        <f>37458.36</f>
        <v>37458.36</v>
      </c>
      <c r="K36" s="80">
        <f t="shared" si="8"/>
        <v>115077.5</v>
      </c>
      <c r="L36" s="80">
        <f>70347.24</f>
        <v>70347.240000000005</v>
      </c>
      <c r="M36" s="80">
        <f>45476.69</f>
        <v>45476.69</v>
      </c>
      <c r="N36" s="80">
        <f>38702.7</f>
        <v>38702.699999999997</v>
      </c>
      <c r="O36" s="80">
        <f>51973.15</f>
        <v>51973.15</v>
      </c>
      <c r="P36" s="80">
        <f t="shared" si="9"/>
        <v>206499.78</v>
      </c>
      <c r="Q36" s="80">
        <f>64356.18</f>
        <v>64356.18</v>
      </c>
      <c r="R36" s="80">
        <f>36292.83</f>
        <v>36292.83</v>
      </c>
      <c r="S36" s="80">
        <f>46034.82</f>
        <v>46034.82</v>
      </c>
      <c r="T36" s="80">
        <f t="shared" si="3"/>
        <v>56261.259999999995</v>
      </c>
      <c r="U36" s="80">
        <f t="shared" si="4"/>
        <v>202945.09000000003</v>
      </c>
      <c r="V36" s="81"/>
      <c r="W36" s="80">
        <v>13996.1</v>
      </c>
      <c r="X36" s="80">
        <v>11887.63</v>
      </c>
      <c r="Y36" s="80">
        <v>30377.53</v>
      </c>
      <c r="Z36" s="17"/>
    </row>
    <row r="37" spans="1:26" x14ac:dyDescent="0.25">
      <c r="A37" s="3" t="s">
        <v>47</v>
      </c>
      <c r="B37" s="5">
        <f>4.5</f>
        <v>4.5</v>
      </c>
      <c r="C37" s="5">
        <f>-12.92</f>
        <v>-12.92</v>
      </c>
      <c r="D37" s="4"/>
      <c r="E37" s="4"/>
      <c r="F37" s="80">
        <f t="shared" si="7"/>
        <v>-8.42</v>
      </c>
      <c r="G37" s="80">
        <f>24.03</f>
        <v>24.03</v>
      </c>
      <c r="H37" s="82"/>
      <c r="I37" s="82"/>
      <c r="J37" s="82"/>
      <c r="K37" s="80">
        <f t="shared" si="8"/>
        <v>24.03</v>
      </c>
      <c r="L37" s="82"/>
      <c r="M37" s="82"/>
      <c r="N37" s="82"/>
      <c r="O37" s="82"/>
      <c r="P37" s="80">
        <f t="shared" si="9"/>
        <v>0</v>
      </c>
      <c r="Q37" s="82"/>
      <c r="R37" s="82"/>
      <c r="S37" s="82"/>
      <c r="T37" s="83">
        <f t="shared" si="3"/>
        <v>0</v>
      </c>
      <c r="U37" s="83">
        <f t="shared" si="4"/>
        <v>0</v>
      </c>
      <c r="V37" s="81"/>
      <c r="W37" s="86"/>
      <c r="X37" s="86"/>
      <c r="Y37" s="86"/>
      <c r="Z37" s="17"/>
    </row>
    <row r="38" spans="1:26" x14ac:dyDescent="0.25">
      <c r="A38" s="3" t="s">
        <v>48</v>
      </c>
      <c r="B38" s="6">
        <f t="shared" ref="B38:T38" si="16">(B36)+(B37)</f>
        <v>11895.92</v>
      </c>
      <c r="C38" s="6">
        <f t="shared" si="16"/>
        <v>23142.45</v>
      </c>
      <c r="D38" s="6">
        <f t="shared" si="16"/>
        <v>24023.279999999999</v>
      </c>
      <c r="E38" s="6">
        <f t="shared" si="16"/>
        <v>22739.29</v>
      </c>
      <c r="F38" s="80">
        <f t="shared" si="7"/>
        <v>81800.94</v>
      </c>
      <c r="G38" s="84">
        <f t="shared" si="16"/>
        <v>22331.279999999999</v>
      </c>
      <c r="H38" s="84">
        <f t="shared" si="16"/>
        <v>51196.09</v>
      </c>
      <c r="I38" s="84">
        <f t="shared" si="16"/>
        <v>4115.8</v>
      </c>
      <c r="J38" s="84">
        <f t="shared" si="16"/>
        <v>37458.36</v>
      </c>
      <c r="K38" s="80">
        <f t="shared" si="8"/>
        <v>115101.53</v>
      </c>
      <c r="L38" s="84">
        <f t="shared" si="16"/>
        <v>70347.240000000005</v>
      </c>
      <c r="M38" s="84">
        <f t="shared" si="16"/>
        <v>45476.69</v>
      </c>
      <c r="N38" s="84">
        <f t="shared" si="16"/>
        <v>38702.699999999997</v>
      </c>
      <c r="O38" s="84">
        <f t="shared" si="16"/>
        <v>51973.15</v>
      </c>
      <c r="P38" s="80">
        <f t="shared" si="9"/>
        <v>206499.78</v>
      </c>
      <c r="Q38" s="84">
        <f t="shared" si="16"/>
        <v>64356.18</v>
      </c>
      <c r="R38" s="84">
        <f t="shared" si="16"/>
        <v>36292.83</v>
      </c>
      <c r="S38" s="84">
        <f t="shared" si="16"/>
        <v>46034.82</v>
      </c>
      <c r="T38" s="84">
        <f t="shared" si="16"/>
        <v>56261.259999999995</v>
      </c>
      <c r="U38" s="80">
        <f>SUM(U36:U37)</f>
        <v>202945.09000000003</v>
      </c>
      <c r="V38" s="81"/>
      <c r="W38" s="80">
        <f t="shared" ref="W38:Y38" si="17">SUM(W36:W37)</f>
        <v>13996.1</v>
      </c>
      <c r="X38" s="80">
        <f t="shared" si="17"/>
        <v>11887.63</v>
      </c>
      <c r="Y38" s="80">
        <f t="shared" si="17"/>
        <v>30377.53</v>
      </c>
      <c r="Z38" s="17"/>
    </row>
    <row r="39" spans="1:26" x14ac:dyDescent="0.25">
      <c r="A39" s="3" t="s">
        <v>49</v>
      </c>
      <c r="B39" s="4"/>
      <c r="C39" s="5">
        <f>696.52</f>
        <v>696.52</v>
      </c>
      <c r="D39" s="5">
        <f>655.98</f>
        <v>655.98</v>
      </c>
      <c r="E39" s="5">
        <f>173.83</f>
        <v>173.83</v>
      </c>
      <c r="F39" s="80">
        <f t="shared" si="7"/>
        <v>1526.33</v>
      </c>
      <c r="G39" s="80">
        <f>152.05</f>
        <v>152.05000000000001</v>
      </c>
      <c r="H39" s="82"/>
      <c r="I39" s="82"/>
      <c r="J39" s="82"/>
      <c r="K39" s="80">
        <f t="shared" si="8"/>
        <v>152.05000000000001</v>
      </c>
      <c r="L39" s="82"/>
      <c r="M39" s="82"/>
      <c r="N39" s="82"/>
      <c r="O39" s="82"/>
      <c r="P39" s="80">
        <f t="shared" si="9"/>
        <v>0</v>
      </c>
      <c r="Q39" s="82"/>
      <c r="R39" s="82"/>
      <c r="S39" s="82"/>
      <c r="T39" s="83">
        <f t="shared" si="3"/>
        <v>0</v>
      </c>
      <c r="U39" s="83">
        <f t="shared" si="4"/>
        <v>0</v>
      </c>
      <c r="V39" s="81"/>
      <c r="W39" s="82"/>
      <c r="X39" s="82"/>
      <c r="Y39" s="82"/>
      <c r="Z39" s="17"/>
    </row>
    <row r="40" spans="1:26" x14ac:dyDescent="0.25">
      <c r="A40" s="3" t="s">
        <v>50</v>
      </c>
      <c r="B40" s="6">
        <f t="shared" ref="B40:T40" si="18">((B35)+(B38))+(B39)</f>
        <v>11895.92</v>
      </c>
      <c r="C40" s="6">
        <f t="shared" si="18"/>
        <v>27510.240000000002</v>
      </c>
      <c r="D40" s="6">
        <f t="shared" si="18"/>
        <v>24679.26</v>
      </c>
      <c r="E40" s="6">
        <f t="shared" si="18"/>
        <v>22913.120000000003</v>
      </c>
      <c r="F40" s="80">
        <f t="shared" si="7"/>
        <v>86998.540000000008</v>
      </c>
      <c r="G40" s="84">
        <f t="shared" si="18"/>
        <v>22483.329999999998</v>
      </c>
      <c r="H40" s="84">
        <f t="shared" si="18"/>
        <v>51196.09</v>
      </c>
      <c r="I40" s="84">
        <f t="shared" si="18"/>
        <v>4115.8</v>
      </c>
      <c r="J40" s="84">
        <f t="shared" si="18"/>
        <v>37458.36</v>
      </c>
      <c r="K40" s="80">
        <f t="shared" si="8"/>
        <v>115253.58</v>
      </c>
      <c r="L40" s="84">
        <f t="shared" si="18"/>
        <v>70347.240000000005</v>
      </c>
      <c r="M40" s="84">
        <f t="shared" si="18"/>
        <v>45476.69</v>
      </c>
      <c r="N40" s="84">
        <f t="shared" si="18"/>
        <v>38702.699999999997</v>
      </c>
      <c r="O40" s="84">
        <f t="shared" si="18"/>
        <v>51973.15</v>
      </c>
      <c r="P40" s="80">
        <f t="shared" si="9"/>
        <v>206499.78</v>
      </c>
      <c r="Q40" s="84">
        <f t="shared" si="18"/>
        <v>64356.18</v>
      </c>
      <c r="R40" s="84">
        <f t="shared" si="18"/>
        <v>36292.83</v>
      </c>
      <c r="S40" s="84">
        <f t="shared" si="18"/>
        <v>46034.82</v>
      </c>
      <c r="T40" s="84">
        <f t="shared" si="18"/>
        <v>56261.259999999995</v>
      </c>
      <c r="U40" s="87">
        <f>SUM(U38:U39)</f>
        <v>202945.09000000003</v>
      </c>
      <c r="V40" s="81"/>
      <c r="W40" s="87">
        <f t="shared" ref="W40:Y40" si="19">SUM(W38:W39)</f>
        <v>13996.1</v>
      </c>
      <c r="X40" s="87">
        <f t="shared" si="19"/>
        <v>11887.63</v>
      </c>
      <c r="Y40" s="87">
        <f t="shared" si="19"/>
        <v>30377.53</v>
      </c>
      <c r="Z40" s="17"/>
    </row>
    <row r="41" spans="1:26" x14ac:dyDescent="0.25">
      <c r="A41" s="3" t="s">
        <v>51</v>
      </c>
      <c r="B41" s="6">
        <f t="shared" ref="B41:S41" si="20">(((((((B7)+(B20))+(B24))+(B29))+(B30))+(B33))+(B34))+(B40)</f>
        <v>238276.24000000002</v>
      </c>
      <c r="C41" s="6">
        <f t="shared" si="20"/>
        <v>287547.37000000005</v>
      </c>
      <c r="D41" s="6">
        <f t="shared" si="20"/>
        <v>399090.99</v>
      </c>
      <c r="E41" s="6">
        <f t="shared" si="20"/>
        <v>350008.98999999993</v>
      </c>
      <c r="F41" s="80">
        <f t="shared" si="7"/>
        <v>1274923.5900000001</v>
      </c>
      <c r="G41" s="84">
        <f t="shared" si="20"/>
        <v>466298.87999999995</v>
      </c>
      <c r="H41" s="84">
        <f t="shared" si="20"/>
        <v>509860.99</v>
      </c>
      <c r="I41" s="84">
        <f t="shared" si="20"/>
        <v>542873.33000000007</v>
      </c>
      <c r="J41" s="84">
        <f t="shared" si="20"/>
        <v>649139.04999999993</v>
      </c>
      <c r="K41" s="80">
        <f t="shared" si="8"/>
        <v>2168172.25</v>
      </c>
      <c r="L41" s="84">
        <f t="shared" si="20"/>
        <v>583760.49</v>
      </c>
      <c r="M41" s="84">
        <f t="shared" si="20"/>
        <v>526182.25</v>
      </c>
      <c r="N41" s="84">
        <f t="shared" si="20"/>
        <v>448755.41000000003</v>
      </c>
      <c r="O41" s="84">
        <f t="shared" si="20"/>
        <v>636855.6</v>
      </c>
      <c r="P41" s="80">
        <f t="shared" si="9"/>
        <v>2195553.75</v>
      </c>
      <c r="Q41" s="84">
        <f t="shared" si="20"/>
        <v>598445.17000000004</v>
      </c>
      <c r="R41" s="84">
        <f t="shared" si="20"/>
        <v>426309.39000000007</v>
      </c>
      <c r="S41" s="84">
        <f t="shared" si="20"/>
        <v>537401.97</v>
      </c>
      <c r="T41" s="84">
        <f>T20+T24+T29+T30+T33+T34+T38</f>
        <v>760809.15</v>
      </c>
      <c r="U41" s="80">
        <f>U20+U24+U29+U30+U33+U34+U40</f>
        <v>2322965.6799999997</v>
      </c>
      <c r="V41" s="81"/>
      <c r="W41" s="80">
        <f t="shared" ref="W41:Y41" si="21">W20+W24+W29+W30+W33+W34+W40</f>
        <v>246089.86000000002</v>
      </c>
      <c r="X41" s="80">
        <f t="shared" si="21"/>
        <v>303957.05</v>
      </c>
      <c r="Y41" s="80">
        <f t="shared" si="21"/>
        <v>210762.24000000002</v>
      </c>
      <c r="Z41" s="17"/>
    </row>
    <row r="42" spans="1:26" x14ac:dyDescent="0.25">
      <c r="A42" s="3" t="s">
        <v>52</v>
      </c>
      <c r="B42" s="5">
        <f>911.15</f>
        <v>911.15</v>
      </c>
      <c r="C42" s="5">
        <f>803.86</f>
        <v>803.86</v>
      </c>
      <c r="D42" s="5">
        <f>758.42</f>
        <v>758.42</v>
      </c>
      <c r="E42" s="5">
        <f>1701.65</f>
        <v>1701.65</v>
      </c>
      <c r="F42" s="80">
        <f t="shared" si="7"/>
        <v>4175.08</v>
      </c>
      <c r="G42" s="80">
        <f>348.89</f>
        <v>348.89</v>
      </c>
      <c r="H42" s="82"/>
      <c r="I42" s="82"/>
      <c r="J42" s="82"/>
      <c r="K42" s="80">
        <f t="shared" si="8"/>
        <v>348.89</v>
      </c>
      <c r="L42" s="80">
        <f>600.72</f>
        <v>600.72</v>
      </c>
      <c r="M42" s="80">
        <f>0.01</f>
        <v>0.01</v>
      </c>
      <c r="N42" s="82"/>
      <c r="O42" s="80">
        <f>5742.53</f>
        <v>5742.53</v>
      </c>
      <c r="P42" s="80">
        <f t="shared" si="9"/>
        <v>6343.26</v>
      </c>
      <c r="Q42" s="80">
        <f>1958.52</f>
        <v>1958.52</v>
      </c>
      <c r="R42" s="80">
        <f>876.18</f>
        <v>876.18</v>
      </c>
      <c r="S42" s="80">
        <f>28.46</f>
        <v>28.46</v>
      </c>
      <c r="T42" s="80">
        <f t="shared" si="3"/>
        <v>164.52</v>
      </c>
      <c r="U42" s="80">
        <f t="shared" si="4"/>
        <v>3027.68</v>
      </c>
      <c r="V42" s="81"/>
      <c r="W42" s="80">
        <v>0</v>
      </c>
      <c r="X42" s="80">
        <v>0.05</v>
      </c>
      <c r="Y42" s="80">
        <v>164.47</v>
      </c>
      <c r="Z42" s="17"/>
    </row>
    <row r="43" spans="1:26" x14ac:dyDescent="0.25">
      <c r="A43" s="3" t="s">
        <v>53</v>
      </c>
      <c r="B43" s="4"/>
      <c r="C43" s="5">
        <f>1750.2</f>
        <v>1750.2</v>
      </c>
      <c r="D43" s="4"/>
      <c r="E43" s="4"/>
      <c r="F43" s="80">
        <f t="shared" si="7"/>
        <v>1750.2</v>
      </c>
      <c r="G43" s="82"/>
      <c r="H43" s="82"/>
      <c r="I43" s="82"/>
      <c r="J43" s="80">
        <f>714</f>
        <v>714</v>
      </c>
      <c r="K43" s="80">
        <f t="shared" si="8"/>
        <v>714</v>
      </c>
      <c r="L43" s="82"/>
      <c r="M43" s="82"/>
      <c r="N43" s="82"/>
      <c r="O43" s="82"/>
      <c r="P43" s="80">
        <f t="shared" si="9"/>
        <v>0</v>
      </c>
      <c r="Q43" s="82"/>
      <c r="R43" s="82"/>
      <c r="S43" s="82"/>
      <c r="T43" s="80">
        <f t="shared" si="3"/>
        <v>0</v>
      </c>
      <c r="U43" s="80">
        <f t="shared" si="4"/>
        <v>0</v>
      </c>
      <c r="V43" s="81"/>
      <c r="W43" s="82"/>
      <c r="X43" s="82"/>
      <c r="Y43" s="82"/>
      <c r="Z43" s="17"/>
    </row>
    <row r="44" spans="1:26" x14ac:dyDescent="0.25">
      <c r="A44" s="3" t="s">
        <v>54</v>
      </c>
      <c r="B44" s="5">
        <f>20</f>
        <v>20</v>
      </c>
      <c r="C44" s="4"/>
      <c r="D44" s="4"/>
      <c r="E44" s="4"/>
      <c r="F44" s="80">
        <f t="shared" si="7"/>
        <v>20</v>
      </c>
      <c r="G44" s="80">
        <f>20</f>
        <v>20</v>
      </c>
      <c r="H44" s="82"/>
      <c r="I44" s="82"/>
      <c r="J44" s="82"/>
      <c r="K44" s="80">
        <f t="shared" si="8"/>
        <v>20</v>
      </c>
      <c r="L44" s="82"/>
      <c r="M44" s="82"/>
      <c r="N44" s="82"/>
      <c r="O44" s="82"/>
      <c r="P44" s="80">
        <f t="shared" si="9"/>
        <v>0</v>
      </c>
      <c r="Q44" s="82"/>
      <c r="R44" s="82"/>
      <c r="S44" s="82"/>
      <c r="T44" s="83">
        <f t="shared" si="3"/>
        <v>0</v>
      </c>
      <c r="U44" s="83">
        <f t="shared" si="4"/>
        <v>0</v>
      </c>
      <c r="V44" s="81"/>
      <c r="W44" s="86"/>
      <c r="X44" s="86"/>
      <c r="Y44" s="86"/>
      <c r="Z44" s="17"/>
    </row>
    <row r="45" spans="1:26" x14ac:dyDescent="0.25">
      <c r="A45" s="3" t="s">
        <v>55</v>
      </c>
      <c r="B45" s="6">
        <f t="shared" ref="B45:T45" si="22">(((B41)+(B42))+(B43))+(B44)</f>
        <v>239207.39</v>
      </c>
      <c r="C45" s="6">
        <f t="shared" si="22"/>
        <v>290101.43000000005</v>
      </c>
      <c r="D45" s="6">
        <f t="shared" si="22"/>
        <v>399849.41</v>
      </c>
      <c r="E45" s="6">
        <f t="shared" si="22"/>
        <v>351710.63999999996</v>
      </c>
      <c r="F45" s="80">
        <f t="shared" si="7"/>
        <v>1280868.8699999999</v>
      </c>
      <c r="G45" s="84">
        <f t="shared" si="22"/>
        <v>466667.76999999996</v>
      </c>
      <c r="H45" s="84">
        <f t="shared" si="22"/>
        <v>509860.99</v>
      </c>
      <c r="I45" s="84">
        <f t="shared" si="22"/>
        <v>542873.33000000007</v>
      </c>
      <c r="J45" s="84">
        <f t="shared" si="22"/>
        <v>649853.04999999993</v>
      </c>
      <c r="K45" s="80">
        <f t="shared" si="8"/>
        <v>2169255.14</v>
      </c>
      <c r="L45" s="84">
        <f t="shared" si="22"/>
        <v>584361.21</v>
      </c>
      <c r="M45" s="84">
        <f t="shared" si="22"/>
        <v>526182.26</v>
      </c>
      <c r="N45" s="84">
        <f t="shared" si="22"/>
        <v>448755.41000000003</v>
      </c>
      <c r="O45" s="84">
        <f t="shared" si="22"/>
        <v>642598.13</v>
      </c>
      <c r="P45" s="80">
        <f t="shared" si="9"/>
        <v>2201897.0099999998</v>
      </c>
      <c r="Q45" s="84">
        <f t="shared" si="22"/>
        <v>600403.69000000006</v>
      </c>
      <c r="R45" s="84">
        <f t="shared" si="22"/>
        <v>427185.57000000007</v>
      </c>
      <c r="S45" s="84">
        <f t="shared" si="22"/>
        <v>537430.42999999993</v>
      </c>
      <c r="T45" s="84">
        <f t="shared" si="22"/>
        <v>760973.67</v>
      </c>
      <c r="U45" s="80">
        <f>SUM(U41:U44)</f>
        <v>2325993.36</v>
      </c>
      <c r="V45" s="81">
        <f>U45/U$45</f>
        <v>1</v>
      </c>
      <c r="W45" s="80">
        <f t="shared" ref="W45:Y45" si="23">SUM(W41:W44)</f>
        <v>246089.86000000002</v>
      </c>
      <c r="X45" s="80">
        <f t="shared" si="23"/>
        <v>303957.09999999998</v>
      </c>
      <c r="Y45" s="80">
        <f t="shared" si="23"/>
        <v>210926.71000000002</v>
      </c>
      <c r="Z45" s="17"/>
    </row>
    <row r="46" spans="1:26" x14ac:dyDescent="0.25">
      <c r="A46" s="3" t="s">
        <v>56</v>
      </c>
      <c r="B46" s="4"/>
      <c r="C46" s="4"/>
      <c r="D46" s="4"/>
      <c r="E46" s="4"/>
      <c r="F46" s="80">
        <f t="shared" si="7"/>
        <v>0</v>
      </c>
      <c r="G46" s="82"/>
      <c r="H46" s="82"/>
      <c r="I46" s="82"/>
      <c r="J46" s="82"/>
      <c r="K46" s="80">
        <f t="shared" si="8"/>
        <v>0</v>
      </c>
      <c r="L46" s="82"/>
      <c r="M46" s="82"/>
      <c r="N46" s="82"/>
      <c r="O46" s="82"/>
      <c r="P46" s="80">
        <f t="shared" si="9"/>
        <v>0</v>
      </c>
      <c r="Q46" s="82"/>
      <c r="R46" s="82"/>
      <c r="S46" s="82"/>
      <c r="T46" s="80"/>
      <c r="U46" s="80"/>
      <c r="V46" s="81"/>
      <c r="W46" s="82"/>
      <c r="X46" s="82"/>
      <c r="Y46" s="82"/>
      <c r="Z46" s="17"/>
    </row>
    <row r="47" spans="1:26" x14ac:dyDescent="0.25">
      <c r="A47" s="3" t="s">
        <v>57</v>
      </c>
      <c r="B47" s="4"/>
      <c r="C47" s="4"/>
      <c r="D47" s="5">
        <f>14.73</f>
        <v>14.73</v>
      </c>
      <c r="E47" s="4"/>
      <c r="F47" s="80">
        <f t="shared" si="7"/>
        <v>14.73</v>
      </c>
      <c r="G47" s="82"/>
      <c r="H47" s="82"/>
      <c r="I47" s="82"/>
      <c r="J47" s="82"/>
      <c r="K47" s="80">
        <f t="shared" si="8"/>
        <v>0</v>
      </c>
      <c r="L47" s="82"/>
      <c r="M47" s="82"/>
      <c r="N47" s="82"/>
      <c r="O47" s="82"/>
      <c r="P47" s="80">
        <f t="shared" si="9"/>
        <v>0</v>
      </c>
      <c r="Q47" s="82"/>
      <c r="R47" s="82"/>
      <c r="S47" s="82"/>
      <c r="T47" s="80"/>
      <c r="U47" s="80">
        <f t="shared" si="4"/>
        <v>0</v>
      </c>
      <c r="V47" s="81">
        <f t="shared" ref="V47:V110" si="24">U47/U$45</f>
        <v>0</v>
      </c>
      <c r="W47" s="82"/>
      <c r="X47" s="82"/>
      <c r="Y47" s="82"/>
      <c r="Z47" s="17"/>
    </row>
    <row r="48" spans="1:26" x14ac:dyDescent="0.25">
      <c r="A48" s="3" t="s">
        <v>58</v>
      </c>
      <c r="B48" s="4"/>
      <c r="C48" s="4"/>
      <c r="D48" s="4"/>
      <c r="E48" s="4"/>
      <c r="F48" s="80">
        <f t="shared" si="7"/>
        <v>0</v>
      </c>
      <c r="G48" s="82"/>
      <c r="H48" s="82"/>
      <c r="I48" s="82"/>
      <c r="J48" s="82"/>
      <c r="K48" s="80">
        <f t="shared" si="8"/>
        <v>0</v>
      </c>
      <c r="L48" s="82"/>
      <c r="M48" s="80">
        <f>296.99</f>
        <v>296.99</v>
      </c>
      <c r="N48" s="80">
        <f>14831.63</f>
        <v>14831.63</v>
      </c>
      <c r="O48" s="80">
        <f>24014.41</f>
        <v>24014.41</v>
      </c>
      <c r="P48" s="80">
        <f t="shared" si="9"/>
        <v>39143.03</v>
      </c>
      <c r="Q48" s="80">
        <f>12498.41</f>
        <v>12498.41</v>
      </c>
      <c r="R48" s="80">
        <f>10899.54</f>
        <v>10899.54</v>
      </c>
      <c r="S48" s="80">
        <v>-39242.43</v>
      </c>
      <c r="T48" s="80">
        <f t="shared" si="3"/>
        <v>-9691.9599999999991</v>
      </c>
      <c r="U48" s="80">
        <f t="shared" si="4"/>
        <v>-25536.44</v>
      </c>
      <c r="V48" s="81">
        <f t="shared" si="24"/>
        <v>-1.0978724376066147E-2</v>
      </c>
      <c r="W48" s="80">
        <v>239.48</v>
      </c>
      <c r="X48" s="80">
        <v>-14371.65</v>
      </c>
      <c r="Y48" s="80">
        <v>4440.21</v>
      </c>
      <c r="Z48" s="17"/>
    </row>
    <row r="49" spans="1:28" x14ac:dyDescent="0.25">
      <c r="A49" s="3" t="s">
        <v>59</v>
      </c>
      <c r="B49" s="5">
        <f>27564.56</f>
        <v>27564.560000000001</v>
      </c>
      <c r="C49" s="5">
        <f>24946.71</f>
        <v>24946.71</v>
      </c>
      <c r="D49" s="5">
        <f>28483.27</f>
        <v>28483.27</v>
      </c>
      <c r="E49" s="5">
        <f>34314.34</f>
        <v>34314.339999999997</v>
      </c>
      <c r="F49" s="80">
        <f t="shared" si="7"/>
        <v>115308.88</v>
      </c>
      <c r="G49" s="80">
        <f>29020.28</f>
        <v>29020.28</v>
      </c>
      <c r="H49" s="80">
        <f>59537.89</f>
        <v>59537.89</v>
      </c>
      <c r="I49" s="80">
        <f>33224.03</f>
        <v>33224.03</v>
      </c>
      <c r="J49" s="80">
        <f>76496.47</f>
        <v>76496.47</v>
      </c>
      <c r="K49" s="80">
        <f t="shared" si="8"/>
        <v>198278.66999999998</v>
      </c>
      <c r="L49" s="80">
        <f>51667.76</f>
        <v>51667.76</v>
      </c>
      <c r="M49" s="80">
        <f>61576.11</f>
        <v>61576.11</v>
      </c>
      <c r="N49" s="80">
        <f>66935.51</f>
        <v>66935.509999999995</v>
      </c>
      <c r="O49" s="80">
        <f>87873.59</f>
        <v>87873.59</v>
      </c>
      <c r="P49" s="80">
        <f t="shared" si="9"/>
        <v>268052.96999999997</v>
      </c>
      <c r="Q49" s="80">
        <f>51915.66</f>
        <v>51915.66</v>
      </c>
      <c r="R49" s="80">
        <f>50350.69</f>
        <v>50350.69</v>
      </c>
      <c r="S49" s="80">
        <f>44278.39</f>
        <v>44278.39</v>
      </c>
      <c r="T49" s="80">
        <f t="shared" si="3"/>
        <v>68459.790000000008</v>
      </c>
      <c r="U49" s="80">
        <f t="shared" si="4"/>
        <v>215004.53</v>
      </c>
      <c r="V49" s="81">
        <f t="shared" si="24"/>
        <v>9.2435573418833836E-2</v>
      </c>
      <c r="W49" s="80">
        <v>19575.27</v>
      </c>
      <c r="X49" s="80">
        <v>15900.8</v>
      </c>
      <c r="Y49" s="80">
        <v>32983.72</v>
      </c>
      <c r="Z49" s="17"/>
    </row>
    <row r="50" spans="1:28" x14ac:dyDescent="0.25">
      <c r="A50" s="3" t="s">
        <v>60</v>
      </c>
      <c r="B50" s="5">
        <f>32753.23</f>
        <v>32753.23</v>
      </c>
      <c r="C50" s="5">
        <f>34311.25</f>
        <v>34311.25</v>
      </c>
      <c r="D50" s="5">
        <f>84249.23</f>
        <v>84249.23</v>
      </c>
      <c r="E50" s="5">
        <f>42743.07</f>
        <v>42743.07</v>
      </c>
      <c r="F50" s="80">
        <f t="shared" si="7"/>
        <v>194056.78</v>
      </c>
      <c r="G50" s="80">
        <f>59698.01</f>
        <v>59698.01</v>
      </c>
      <c r="H50" s="80">
        <f>38487.78</f>
        <v>38487.78</v>
      </c>
      <c r="I50" s="80">
        <f>46162.79</f>
        <v>46162.79</v>
      </c>
      <c r="J50" s="80">
        <f>78518.62</f>
        <v>78518.62</v>
      </c>
      <c r="K50" s="80">
        <f t="shared" si="8"/>
        <v>222867.20000000001</v>
      </c>
      <c r="L50" s="80">
        <f>64197.37</f>
        <v>64197.37</v>
      </c>
      <c r="M50" s="80">
        <f>73674.51</f>
        <v>73674.509999999995</v>
      </c>
      <c r="N50" s="82"/>
      <c r="O50" s="80">
        <f>867.7</f>
        <v>867.7</v>
      </c>
      <c r="P50" s="80">
        <f t="shared" si="9"/>
        <v>138739.58000000002</v>
      </c>
      <c r="Q50" s="80">
        <f>28.7</f>
        <v>28.7</v>
      </c>
      <c r="R50" s="80">
        <f>3.74</f>
        <v>3.74</v>
      </c>
      <c r="S50" s="80">
        <f>7.16</f>
        <v>7.16</v>
      </c>
      <c r="T50" s="80">
        <f t="shared" si="3"/>
        <v>0</v>
      </c>
      <c r="U50" s="80">
        <f t="shared" si="4"/>
        <v>39.599999999999994</v>
      </c>
      <c r="V50" s="81">
        <f t="shared" si="24"/>
        <v>1.7024984112594369E-5</v>
      </c>
      <c r="W50" s="80"/>
      <c r="X50" s="80"/>
      <c r="Y50" s="80"/>
      <c r="Z50" s="17"/>
    </row>
    <row r="51" spans="1:28" x14ac:dyDescent="0.25">
      <c r="A51" s="3" t="s">
        <v>61</v>
      </c>
      <c r="B51" s="5">
        <f>66012.68</f>
        <v>66012.679999999993</v>
      </c>
      <c r="C51" s="5">
        <f>74282.04</f>
        <v>74282.039999999994</v>
      </c>
      <c r="D51" s="5">
        <f>81718.22</f>
        <v>81718.22</v>
      </c>
      <c r="E51" s="5">
        <f>81654.48</f>
        <v>81654.48</v>
      </c>
      <c r="F51" s="80">
        <f t="shared" si="7"/>
        <v>303667.42</v>
      </c>
      <c r="G51" s="80">
        <f>95819.35</f>
        <v>95819.35</v>
      </c>
      <c r="H51" s="80">
        <f>100118.99</f>
        <v>100118.99</v>
      </c>
      <c r="I51" s="80">
        <f>133625.88</f>
        <v>133625.88</v>
      </c>
      <c r="J51" s="80">
        <f>115578.45</f>
        <v>115578.45</v>
      </c>
      <c r="K51" s="80">
        <f t="shared" si="8"/>
        <v>445142.67000000004</v>
      </c>
      <c r="L51" s="80">
        <f>113386.9</f>
        <v>113386.9</v>
      </c>
      <c r="M51" s="80">
        <f>84663.8</f>
        <v>84663.8</v>
      </c>
      <c r="N51" s="80">
        <f>213349.22</f>
        <v>213349.22</v>
      </c>
      <c r="O51" s="80">
        <f>354716.37</f>
        <v>354716.37</v>
      </c>
      <c r="P51" s="80">
        <f t="shared" si="9"/>
        <v>766116.29</v>
      </c>
      <c r="Q51" s="80">
        <f>284044.76</f>
        <v>284044.76</v>
      </c>
      <c r="R51" s="80">
        <f>159732.45</f>
        <v>159732.45000000001</v>
      </c>
      <c r="S51" s="80">
        <v>234902.92</v>
      </c>
      <c r="T51" s="80">
        <f t="shared" si="3"/>
        <v>359634.33</v>
      </c>
      <c r="U51" s="80">
        <f t="shared" si="4"/>
        <v>1038314.46</v>
      </c>
      <c r="V51" s="81">
        <f t="shared" si="24"/>
        <v>0.44639614104487385</v>
      </c>
      <c r="W51" s="80">
        <v>111560.87</v>
      </c>
      <c r="X51" s="80">
        <v>133090.25</v>
      </c>
      <c r="Y51" s="80">
        <v>114983.21</v>
      </c>
      <c r="Z51" s="17"/>
    </row>
    <row r="52" spans="1:28" x14ac:dyDescent="0.25">
      <c r="A52" s="3" t="s">
        <v>62</v>
      </c>
      <c r="B52" s="5">
        <f>26172.45</f>
        <v>26172.45</v>
      </c>
      <c r="C52" s="5">
        <f>22438.41</f>
        <v>22438.41</v>
      </c>
      <c r="D52" s="5">
        <f>33099.28</f>
        <v>33099.279999999999</v>
      </c>
      <c r="E52" s="5">
        <f>46343.9</f>
        <v>46343.9</v>
      </c>
      <c r="F52" s="80">
        <f t="shared" si="7"/>
        <v>128054.04000000001</v>
      </c>
      <c r="G52" s="80">
        <f>22432.44</f>
        <v>22432.44</v>
      </c>
      <c r="H52" s="80">
        <f>50587.48</f>
        <v>50587.48</v>
      </c>
      <c r="I52" s="80">
        <f>64653.22</f>
        <v>64653.22</v>
      </c>
      <c r="J52" s="80">
        <f>56740.21</f>
        <v>56740.21</v>
      </c>
      <c r="K52" s="80">
        <f t="shared" si="8"/>
        <v>194413.35</v>
      </c>
      <c r="L52" s="80">
        <f>61895.92</f>
        <v>61895.92</v>
      </c>
      <c r="M52" s="80">
        <f>106605.35</f>
        <v>106605.35</v>
      </c>
      <c r="N52" s="80">
        <f>11066.04</f>
        <v>11066.04</v>
      </c>
      <c r="O52" s="82"/>
      <c r="P52" s="80">
        <f t="shared" si="9"/>
        <v>179567.31000000003</v>
      </c>
      <c r="Q52" s="82"/>
      <c r="R52" s="82"/>
      <c r="S52" s="82"/>
      <c r="T52" s="80">
        <f t="shared" si="3"/>
        <v>0</v>
      </c>
      <c r="U52" s="80">
        <f t="shared" si="4"/>
        <v>0</v>
      </c>
      <c r="V52" s="81">
        <f t="shared" si="24"/>
        <v>0</v>
      </c>
      <c r="W52" s="82"/>
      <c r="X52" s="82"/>
      <c r="Y52" s="82"/>
      <c r="Z52" s="17"/>
    </row>
    <row r="53" spans="1:28" x14ac:dyDescent="0.25">
      <c r="A53" s="3" t="s">
        <v>63</v>
      </c>
      <c r="B53" s="4"/>
      <c r="C53" s="4"/>
      <c r="D53" s="4"/>
      <c r="E53" s="4"/>
      <c r="F53" s="80">
        <f t="shared" si="7"/>
        <v>0</v>
      </c>
      <c r="G53" s="80">
        <f>9241.7</f>
        <v>9241.7000000000007</v>
      </c>
      <c r="H53" s="80">
        <f>14954.72</f>
        <v>14954.72</v>
      </c>
      <c r="I53" s="80">
        <f>13691.97</f>
        <v>13691.97</v>
      </c>
      <c r="J53" s="80">
        <f>44.11</f>
        <v>44.11</v>
      </c>
      <c r="K53" s="80">
        <f t="shared" si="8"/>
        <v>37932.5</v>
      </c>
      <c r="L53" s="80">
        <f>185.15</f>
        <v>185.15</v>
      </c>
      <c r="M53" s="80">
        <f>44.11</f>
        <v>44.11</v>
      </c>
      <c r="N53" s="82"/>
      <c r="O53" s="82"/>
      <c r="P53" s="80">
        <f t="shared" si="9"/>
        <v>229.26</v>
      </c>
      <c r="Q53" s="82"/>
      <c r="R53" s="82"/>
      <c r="S53" s="82"/>
      <c r="T53" s="80">
        <f t="shared" si="3"/>
        <v>0</v>
      </c>
      <c r="U53" s="80">
        <f t="shared" si="4"/>
        <v>0</v>
      </c>
      <c r="V53" s="81">
        <f t="shared" si="24"/>
        <v>0</v>
      </c>
      <c r="W53" s="82"/>
      <c r="X53" s="82"/>
      <c r="Y53" s="82"/>
      <c r="Z53" s="17"/>
    </row>
    <row r="54" spans="1:28" x14ac:dyDescent="0.25">
      <c r="A54" s="3" t="s">
        <v>64</v>
      </c>
      <c r="B54" s="4"/>
      <c r="C54" s="4"/>
      <c r="D54" s="4"/>
      <c r="E54" s="4"/>
      <c r="F54" s="80">
        <f t="shared" si="7"/>
        <v>0</v>
      </c>
      <c r="G54" s="82"/>
      <c r="H54" s="82"/>
      <c r="I54" s="82"/>
      <c r="J54" s="82"/>
      <c r="K54" s="80">
        <f t="shared" si="8"/>
        <v>0</v>
      </c>
      <c r="L54" s="82"/>
      <c r="M54" s="80">
        <f>9088.54</f>
        <v>9088.5400000000009</v>
      </c>
      <c r="N54" s="82"/>
      <c r="O54" s="80">
        <f>1857.74</f>
        <v>1857.74</v>
      </c>
      <c r="P54" s="80">
        <f t="shared" si="9"/>
        <v>10946.28</v>
      </c>
      <c r="Q54" s="80">
        <f>144.06</f>
        <v>144.06</v>
      </c>
      <c r="R54" s="82"/>
      <c r="S54" s="82"/>
      <c r="T54" s="80">
        <f t="shared" si="3"/>
        <v>0</v>
      </c>
      <c r="U54" s="80">
        <f t="shared" si="4"/>
        <v>144.06</v>
      </c>
      <c r="V54" s="81">
        <f t="shared" si="24"/>
        <v>6.1934828567180436E-5</v>
      </c>
      <c r="W54" s="82"/>
      <c r="X54" s="82"/>
      <c r="Y54" s="82"/>
      <c r="Z54" s="17"/>
    </row>
    <row r="55" spans="1:28" x14ac:dyDescent="0.25">
      <c r="A55" s="3" t="s">
        <v>65</v>
      </c>
      <c r="B55" s="4"/>
      <c r="C55" s="4"/>
      <c r="D55" s="4"/>
      <c r="E55" s="4"/>
      <c r="F55" s="80">
        <f t="shared" si="7"/>
        <v>0</v>
      </c>
      <c r="G55" s="82"/>
      <c r="H55" s="82"/>
      <c r="I55" s="80">
        <f>-4628.72</f>
        <v>-4628.72</v>
      </c>
      <c r="J55" s="80">
        <f>27.24</f>
        <v>27.24</v>
      </c>
      <c r="K55" s="80">
        <f t="shared" si="8"/>
        <v>-4601.4800000000005</v>
      </c>
      <c r="L55" s="80">
        <f>0</f>
        <v>0</v>
      </c>
      <c r="M55" s="82"/>
      <c r="N55" s="82"/>
      <c r="O55" s="80">
        <f>1127.16</f>
        <v>1127.1600000000001</v>
      </c>
      <c r="P55" s="80">
        <f t="shared" si="9"/>
        <v>1127.1600000000001</v>
      </c>
      <c r="Q55" s="80">
        <f>-100.6</f>
        <v>-100.6</v>
      </c>
      <c r="R55" s="82"/>
      <c r="S55" s="82"/>
      <c r="T55" s="80">
        <f t="shared" si="3"/>
        <v>0</v>
      </c>
      <c r="U55" s="80">
        <f t="shared" si="4"/>
        <v>-100.6</v>
      </c>
      <c r="V55" s="81">
        <f t="shared" si="24"/>
        <v>-4.3250338427449335E-5</v>
      </c>
      <c r="W55" s="82"/>
      <c r="X55" s="82"/>
      <c r="Y55" s="82"/>
      <c r="Z55" s="17"/>
    </row>
    <row r="56" spans="1:28" x14ac:dyDescent="0.25">
      <c r="A56" s="3" t="s">
        <v>66</v>
      </c>
      <c r="B56" s="4"/>
      <c r="C56" s="4"/>
      <c r="D56" s="4"/>
      <c r="E56" s="4"/>
      <c r="F56" s="80">
        <f t="shared" si="7"/>
        <v>0</v>
      </c>
      <c r="G56" s="82"/>
      <c r="H56" s="82"/>
      <c r="I56" s="82"/>
      <c r="J56" s="82"/>
      <c r="K56" s="80">
        <f t="shared" si="8"/>
        <v>0</v>
      </c>
      <c r="L56" s="82"/>
      <c r="M56" s="80">
        <f>1350.52</f>
        <v>1350.52</v>
      </c>
      <c r="N56" s="80">
        <f>50</f>
        <v>50</v>
      </c>
      <c r="O56" s="80">
        <f>815.55</f>
        <v>815.55</v>
      </c>
      <c r="P56" s="80">
        <f t="shared" si="9"/>
        <v>2216.0699999999997</v>
      </c>
      <c r="Q56" s="82"/>
      <c r="R56" s="82"/>
      <c r="S56" s="82"/>
      <c r="T56" s="80">
        <f t="shared" si="3"/>
        <v>769.77</v>
      </c>
      <c r="U56" s="80">
        <f t="shared" si="4"/>
        <v>769.77</v>
      </c>
      <c r="V56" s="81">
        <f t="shared" si="24"/>
        <v>3.3094247526140833E-4</v>
      </c>
      <c r="W56" s="82">
        <v>769.77</v>
      </c>
      <c r="X56" s="82"/>
      <c r="Y56" s="82"/>
      <c r="Z56" s="17"/>
    </row>
    <row r="57" spans="1:28" x14ac:dyDescent="0.25">
      <c r="A57" s="3" t="s">
        <v>67</v>
      </c>
      <c r="B57" s="5">
        <f>3822.52</f>
        <v>3822.52</v>
      </c>
      <c r="C57" s="5">
        <f>1348.08</f>
        <v>1348.08</v>
      </c>
      <c r="D57" s="5">
        <f>1833.42</f>
        <v>1833.42</v>
      </c>
      <c r="E57" s="5">
        <f>1098.84</f>
        <v>1098.8399999999999</v>
      </c>
      <c r="F57" s="80">
        <f t="shared" si="7"/>
        <v>8102.8600000000006</v>
      </c>
      <c r="G57" s="80">
        <f>3158.74</f>
        <v>3158.74</v>
      </c>
      <c r="H57" s="80">
        <f>-1568.47</f>
        <v>-1568.47</v>
      </c>
      <c r="I57" s="80">
        <f>8201.08</f>
        <v>8201.08</v>
      </c>
      <c r="J57" s="80">
        <f>24565.91</f>
        <v>24565.91</v>
      </c>
      <c r="K57" s="80">
        <f t="shared" si="8"/>
        <v>34357.26</v>
      </c>
      <c r="L57" s="80">
        <f>5923.28</f>
        <v>5923.28</v>
      </c>
      <c r="M57" s="80">
        <f>8460.36</f>
        <v>8460.36</v>
      </c>
      <c r="N57" s="80">
        <f>3008.17</f>
        <v>3008.17</v>
      </c>
      <c r="O57" s="80">
        <f>6313.87</f>
        <v>6313.87</v>
      </c>
      <c r="P57" s="80">
        <f t="shared" si="9"/>
        <v>23705.679999999997</v>
      </c>
      <c r="Q57" s="80">
        <f>4136.11</f>
        <v>4136.1099999999997</v>
      </c>
      <c r="R57" s="80">
        <f>10193.84</f>
        <v>10193.84</v>
      </c>
      <c r="S57" s="80">
        <v>1838.21</v>
      </c>
      <c r="T57" s="80">
        <f t="shared" si="3"/>
        <v>2975.8999999999996</v>
      </c>
      <c r="U57" s="80">
        <f t="shared" si="4"/>
        <v>19144.059999999998</v>
      </c>
      <c r="V57" s="81">
        <f t="shared" si="24"/>
        <v>8.2304878118826617E-3</v>
      </c>
      <c r="W57" s="80">
        <v>396.71</v>
      </c>
      <c r="X57" s="88">
        <v>413.55</v>
      </c>
      <c r="Y57" s="80">
        <v>2165.64</v>
      </c>
      <c r="Z57" s="17"/>
    </row>
    <row r="58" spans="1:28" x14ac:dyDescent="0.25">
      <c r="A58" s="3" t="s">
        <v>68</v>
      </c>
      <c r="B58" s="4"/>
      <c r="C58" s="4"/>
      <c r="D58" s="4"/>
      <c r="E58" s="4"/>
      <c r="F58" s="80">
        <f t="shared" si="7"/>
        <v>0</v>
      </c>
      <c r="G58" s="82"/>
      <c r="H58" s="82"/>
      <c r="I58" s="82"/>
      <c r="J58" s="82"/>
      <c r="K58" s="80">
        <f t="shared" si="8"/>
        <v>0</v>
      </c>
      <c r="L58" s="82"/>
      <c r="M58" s="80">
        <f>218.01</f>
        <v>218.01</v>
      </c>
      <c r="N58" s="80">
        <f>228.16</f>
        <v>228.16</v>
      </c>
      <c r="O58" s="80">
        <f>517.21</f>
        <v>517.21</v>
      </c>
      <c r="P58" s="80">
        <f t="shared" si="9"/>
        <v>963.38</v>
      </c>
      <c r="Q58" s="80">
        <f>567.55</f>
        <v>567.54999999999995</v>
      </c>
      <c r="R58" s="80">
        <f>676.96</f>
        <v>676.96</v>
      </c>
      <c r="S58" s="80">
        <v>486.74</v>
      </c>
      <c r="T58" s="80">
        <f t="shared" si="3"/>
        <v>298.85000000000002</v>
      </c>
      <c r="U58" s="80">
        <f t="shared" si="4"/>
        <v>2030.1</v>
      </c>
      <c r="V58" s="81">
        <f t="shared" si="24"/>
        <v>8.7278839007519783E-4</v>
      </c>
      <c r="W58" s="80">
        <v>250.11</v>
      </c>
      <c r="X58" s="80"/>
      <c r="Y58" s="80">
        <v>48.74</v>
      </c>
      <c r="Z58" s="17"/>
    </row>
    <row r="59" spans="1:28" x14ac:dyDescent="0.25">
      <c r="A59" s="3" t="s">
        <v>69</v>
      </c>
      <c r="B59" s="5">
        <f>2539.84</f>
        <v>2539.84</v>
      </c>
      <c r="C59" s="5">
        <f>2260.86</f>
        <v>2260.86</v>
      </c>
      <c r="D59" s="5">
        <f>2329.72</f>
        <v>2329.7199999999998</v>
      </c>
      <c r="E59" s="5">
        <f>3293.44</f>
        <v>3293.44</v>
      </c>
      <c r="F59" s="80">
        <f t="shared" si="7"/>
        <v>10423.86</v>
      </c>
      <c r="G59" s="80">
        <f>2959.48</f>
        <v>2959.48</v>
      </c>
      <c r="H59" s="80">
        <f>1047.33</f>
        <v>1047.33</v>
      </c>
      <c r="I59" s="80">
        <f>2358.82</f>
        <v>2358.8200000000002</v>
      </c>
      <c r="J59" s="80">
        <f>3965.89</f>
        <v>3965.89</v>
      </c>
      <c r="K59" s="80">
        <f t="shared" si="8"/>
        <v>10331.52</v>
      </c>
      <c r="L59" s="80">
        <f>1907.15</f>
        <v>1907.15</v>
      </c>
      <c r="M59" s="80">
        <f>2059.26</f>
        <v>2059.2600000000002</v>
      </c>
      <c r="N59" s="80">
        <f>1283.94</f>
        <v>1283.94</v>
      </c>
      <c r="O59" s="80">
        <f>3184.77</f>
        <v>3184.77</v>
      </c>
      <c r="P59" s="80">
        <f t="shared" si="9"/>
        <v>8435.1200000000008</v>
      </c>
      <c r="Q59" s="80">
        <f>811.55</f>
        <v>811.55</v>
      </c>
      <c r="R59" s="80">
        <f>1350.61</f>
        <v>1350.61</v>
      </c>
      <c r="S59" s="80">
        <f>1205.15</f>
        <v>1205.1500000000001</v>
      </c>
      <c r="T59" s="80">
        <f t="shared" si="3"/>
        <v>1757.17</v>
      </c>
      <c r="U59" s="80">
        <f t="shared" si="4"/>
        <v>5124.4799999999996</v>
      </c>
      <c r="V59" s="81">
        <f t="shared" si="24"/>
        <v>2.2031361258916062E-3</v>
      </c>
      <c r="W59" s="80">
        <v>452.93</v>
      </c>
      <c r="X59" s="80">
        <v>844.52</v>
      </c>
      <c r="Y59" s="80">
        <v>459.72</v>
      </c>
      <c r="Z59" s="17"/>
    </row>
    <row r="60" spans="1:28" x14ac:dyDescent="0.25">
      <c r="A60" s="3" t="s">
        <v>70</v>
      </c>
      <c r="B60" s="4"/>
      <c r="C60" s="4"/>
      <c r="D60" s="4"/>
      <c r="E60" s="4"/>
      <c r="F60" s="80">
        <f t="shared" si="7"/>
        <v>0</v>
      </c>
      <c r="G60" s="82"/>
      <c r="H60" s="82"/>
      <c r="I60" s="80">
        <f>103.22</f>
        <v>103.22</v>
      </c>
      <c r="J60" s="80">
        <f>63.55</f>
        <v>63.55</v>
      </c>
      <c r="K60" s="80">
        <f t="shared" si="8"/>
        <v>166.76999999999998</v>
      </c>
      <c r="L60" s="82"/>
      <c r="M60" s="82"/>
      <c r="N60" s="82"/>
      <c r="O60" s="82"/>
      <c r="P60" s="80">
        <f t="shared" si="9"/>
        <v>0</v>
      </c>
      <c r="Q60" s="82"/>
      <c r="R60" s="82"/>
      <c r="S60" s="82"/>
      <c r="T60" s="80">
        <f t="shared" si="3"/>
        <v>0</v>
      </c>
      <c r="U60" s="80">
        <f t="shared" si="4"/>
        <v>0</v>
      </c>
      <c r="V60" s="81">
        <f t="shared" si="24"/>
        <v>0</v>
      </c>
      <c r="W60" s="82"/>
      <c r="X60" s="82"/>
      <c r="Y60" s="82"/>
      <c r="Z60" s="17"/>
    </row>
    <row r="61" spans="1:28" x14ac:dyDescent="0.25">
      <c r="A61" s="3" t="s">
        <v>71</v>
      </c>
      <c r="B61" s="4"/>
      <c r="C61" s="4"/>
      <c r="D61" s="4"/>
      <c r="E61" s="4"/>
      <c r="F61" s="80">
        <f t="shared" si="7"/>
        <v>0</v>
      </c>
      <c r="G61" s="82"/>
      <c r="H61" s="82"/>
      <c r="I61" s="82"/>
      <c r="J61" s="82"/>
      <c r="K61" s="80">
        <f t="shared" si="8"/>
        <v>0</v>
      </c>
      <c r="L61" s="82"/>
      <c r="M61" s="82"/>
      <c r="N61" s="80">
        <f>66.66</f>
        <v>66.66</v>
      </c>
      <c r="O61" s="80">
        <f>1450.93</f>
        <v>1450.93</v>
      </c>
      <c r="P61" s="80">
        <f t="shared" si="9"/>
        <v>1517.5900000000001</v>
      </c>
      <c r="Q61" s="80">
        <f>181.06</f>
        <v>181.06</v>
      </c>
      <c r="R61" s="80">
        <f>158.9</f>
        <v>158.9</v>
      </c>
      <c r="S61" s="80">
        <f>214.98</f>
        <v>214.98</v>
      </c>
      <c r="T61" s="80">
        <f t="shared" si="3"/>
        <v>96.95</v>
      </c>
      <c r="U61" s="80">
        <f t="shared" si="4"/>
        <v>651.8900000000001</v>
      </c>
      <c r="V61" s="81">
        <f t="shared" si="24"/>
        <v>2.8026305285755421E-4</v>
      </c>
      <c r="W61" s="80">
        <v>0</v>
      </c>
      <c r="X61" s="80">
        <v>28.34</v>
      </c>
      <c r="Y61" s="80">
        <v>68.61</v>
      </c>
      <c r="Z61" s="17"/>
    </row>
    <row r="62" spans="1:28" x14ac:dyDescent="0.25">
      <c r="A62" s="3" t="s">
        <v>72</v>
      </c>
      <c r="B62" s="4"/>
      <c r="C62" s="5">
        <f>6229</f>
        <v>6229</v>
      </c>
      <c r="D62" s="5">
        <f>799.33</f>
        <v>799.33</v>
      </c>
      <c r="E62" s="5">
        <f>267.22</f>
        <v>267.22000000000003</v>
      </c>
      <c r="F62" s="80">
        <f t="shared" si="7"/>
        <v>7295.55</v>
      </c>
      <c r="G62" s="80">
        <f>3780.55</f>
        <v>3780.55</v>
      </c>
      <c r="H62" s="80">
        <f>4257.75</f>
        <v>4257.75</v>
      </c>
      <c r="I62" s="80">
        <f>6320.29</f>
        <v>6320.29</v>
      </c>
      <c r="J62" s="80">
        <f>3446.57</f>
        <v>3446.57</v>
      </c>
      <c r="K62" s="80">
        <f t="shared" si="8"/>
        <v>17805.16</v>
      </c>
      <c r="L62" s="80">
        <f>2460.31</f>
        <v>2460.31</v>
      </c>
      <c r="M62" s="80">
        <f>10722.26</f>
        <v>10722.26</v>
      </c>
      <c r="N62" s="80">
        <f>5239.08</f>
        <v>5239.08</v>
      </c>
      <c r="O62" s="80">
        <f>8871.34</f>
        <v>8871.34</v>
      </c>
      <c r="P62" s="80">
        <f t="shared" si="9"/>
        <v>27292.99</v>
      </c>
      <c r="Q62" s="80">
        <f>9368.7</f>
        <v>9368.7000000000007</v>
      </c>
      <c r="R62" s="80">
        <f>13427.83</f>
        <v>13427.83</v>
      </c>
      <c r="S62" s="80">
        <v>11709.34</v>
      </c>
      <c r="T62" s="83">
        <f t="shared" si="3"/>
        <v>21672.61</v>
      </c>
      <c r="U62" s="83">
        <f t="shared" si="4"/>
        <v>56178.479999999996</v>
      </c>
      <c r="V62" s="89">
        <f t="shared" si="24"/>
        <v>2.4152467915901532E-2</v>
      </c>
      <c r="W62" s="83">
        <v>5807.23</v>
      </c>
      <c r="X62" s="83">
        <v>5206.92</v>
      </c>
      <c r="Y62" s="83">
        <v>10658.46</v>
      </c>
      <c r="Z62" s="17"/>
      <c r="AB62" s="70">
        <f>29/1253</f>
        <v>2.3144453312051078E-2</v>
      </c>
    </row>
    <row r="63" spans="1:28" x14ac:dyDescent="0.25">
      <c r="A63" s="3" t="s">
        <v>73</v>
      </c>
      <c r="B63" s="6">
        <f t="shared" ref="B63:T63" si="25">((((((((((((((B48)+(B49))+(B50))+(B51))+(B52))+(B53))+(B54))+(B55))+(B56))+(B57))+(B58))+(B59))+(B60))+(B61))+(B62)</f>
        <v>158865.28</v>
      </c>
      <c r="C63" s="6">
        <f t="shared" si="25"/>
        <v>165816.34999999998</v>
      </c>
      <c r="D63" s="6">
        <f t="shared" si="25"/>
        <v>232512.47</v>
      </c>
      <c r="E63" s="6">
        <f t="shared" si="25"/>
        <v>209715.29</v>
      </c>
      <c r="F63" s="80">
        <f t="shared" si="7"/>
        <v>766909.39</v>
      </c>
      <c r="G63" s="84">
        <f t="shared" si="25"/>
        <v>226110.55000000002</v>
      </c>
      <c r="H63" s="84">
        <f t="shared" si="25"/>
        <v>267423.46999999997</v>
      </c>
      <c r="I63" s="84">
        <f t="shared" si="25"/>
        <v>303712.58</v>
      </c>
      <c r="J63" s="84">
        <f t="shared" si="25"/>
        <v>359447.01999999996</v>
      </c>
      <c r="K63" s="80">
        <f t="shared" si="8"/>
        <v>1156693.6200000001</v>
      </c>
      <c r="L63" s="84">
        <f t="shared" si="25"/>
        <v>301623.84000000008</v>
      </c>
      <c r="M63" s="84">
        <f t="shared" si="25"/>
        <v>358759.82</v>
      </c>
      <c r="N63" s="84">
        <f t="shared" si="25"/>
        <v>316058.40999999992</v>
      </c>
      <c r="O63" s="84">
        <f t="shared" si="25"/>
        <v>491610.64</v>
      </c>
      <c r="P63" s="80">
        <f t="shared" si="9"/>
        <v>1468052.71</v>
      </c>
      <c r="Q63" s="84">
        <f t="shared" si="25"/>
        <v>363595.96</v>
      </c>
      <c r="R63" s="84">
        <f t="shared" si="25"/>
        <v>246794.55999999997</v>
      </c>
      <c r="S63" s="84">
        <f t="shared" si="25"/>
        <v>255400.46</v>
      </c>
      <c r="T63" s="84">
        <f t="shared" si="25"/>
        <v>445973.41000000003</v>
      </c>
      <c r="U63" s="80">
        <f>SUM(U47:U62)</f>
        <v>1311764.3899999999</v>
      </c>
      <c r="V63" s="81">
        <f t="shared" si="24"/>
        <v>0.56395878533376376</v>
      </c>
      <c r="W63" s="80">
        <f t="shared" ref="W63:Y63" si="26">SUM(W47:W62)</f>
        <v>139052.36999999997</v>
      </c>
      <c r="X63" s="80">
        <f t="shared" si="26"/>
        <v>141112.72999999998</v>
      </c>
      <c r="Y63" s="80">
        <f t="shared" si="26"/>
        <v>165808.31</v>
      </c>
      <c r="Z63" s="17"/>
    </row>
    <row r="64" spans="1:28" x14ac:dyDescent="0.25">
      <c r="A64" s="3" t="s">
        <v>74</v>
      </c>
      <c r="B64" s="4"/>
      <c r="C64" s="5">
        <f>0</f>
        <v>0</v>
      </c>
      <c r="D64" s="5">
        <f>0</f>
        <v>0</v>
      </c>
      <c r="E64" s="4"/>
      <c r="F64" s="80">
        <f t="shared" si="7"/>
        <v>0</v>
      </c>
      <c r="G64" s="80">
        <f>0</f>
        <v>0</v>
      </c>
      <c r="H64" s="80">
        <f>0</f>
        <v>0</v>
      </c>
      <c r="I64" s="80">
        <f>-207.34</f>
        <v>-207.34</v>
      </c>
      <c r="J64" s="80">
        <f>58276.31</f>
        <v>58276.31</v>
      </c>
      <c r="K64" s="80">
        <f t="shared" si="8"/>
        <v>58068.97</v>
      </c>
      <c r="L64" s="80">
        <f>0</f>
        <v>0</v>
      </c>
      <c r="M64" s="80">
        <f>0</f>
        <v>0</v>
      </c>
      <c r="N64" s="80">
        <f>0</f>
        <v>0</v>
      </c>
      <c r="O64" s="80">
        <f>0</f>
        <v>0</v>
      </c>
      <c r="P64" s="80">
        <f t="shared" si="9"/>
        <v>0</v>
      </c>
      <c r="Q64" s="80">
        <f>0</f>
        <v>0</v>
      </c>
      <c r="R64" s="80">
        <f>0</f>
        <v>0</v>
      </c>
      <c r="S64" s="80">
        <v>0</v>
      </c>
      <c r="T64" s="83">
        <f t="shared" si="3"/>
        <v>0</v>
      </c>
      <c r="U64" s="83">
        <f t="shared" si="4"/>
        <v>0</v>
      </c>
      <c r="V64" s="89">
        <f t="shared" si="24"/>
        <v>0</v>
      </c>
      <c r="W64" s="80"/>
      <c r="X64" s="80"/>
      <c r="Y64" s="80"/>
      <c r="Z64" s="17"/>
    </row>
    <row r="65" spans="1:26" x14ac:dyDescent="0.25">
      <c r="A65" s="3" t="s">
        <v>75</v>
      </c>
      <c r="B65" s="6">
        <f t="shared" ref="B65:T65" si="27">((B47)+(B63))+(B64)</f>
        <v>158865.28</v>
      </c>
      <c r="C65" s="6">
        <f t="shared" si="27"/>
        <v>165816.34999999998</v>
      </c>
      <c r="D65" s="6">
        <f t="shared" si="27"/>
        <v>232527.2</v>
      </c>
      <c r="E65" s="6">
        <f t="shared" si="27"/>
        <v>209715.29</v>
      </c>
      <c r="F65" s="80">
        <f t="shared" si="7"/>
        <v>766924.12000000011</v>
      </c>
      <c r="G65" s="84">
        <f t="shared" si="27"/>
        <v>226110.55000000002</v>
      </c>
      <c r="H65" s="84">
        <f t="shared" si="27"/>
        <v>267423.46999999997</v>
      </c>
      <c r="I65" s="84">
        <f t="shared" si="27"/>
        <v>303505.24</v>
      </c>
      <c r="J65" s="84">
        <f t="shared" si="27"/>
        <v>417723.32999999996</v>
      </c>
      <c r="K65" s="80">
        <f t="shared" si="8"/>
        <v>1214762.5899999999</v>
      </c>
      <c r="L65" s="84">
        <f t="shared" si="27"/>
        <v>301623.84000000008</v>
      </c>
      <c r="M65" s="84">
        <f t="shared" si="27"/>
        <v>358759.82</v>
      </c>
      <c r="N65" s="84">
        <f t="shared" si="27"/>
        <v>316058.40999999992</v>
      </c>
      <c r="O65" s="84">
        <f t="shared" si="27"/>
        <v>491610.64</v>
      </c>
      <c r="P65" s="80">
        <f t="shared" si="9"/>
        <v>1468052.71</v>
      </c>
      <c r="Q65" s="84">
        <f t="shared" si="27"/>
        <v>363595.96</v>
      </c>
      <c r="R65" s="84">
        <f t="shared" si="27"/>
        <v>246794.55999999997</v>
      </c>
      <c r="S65" s="84">
        <f t="shared" si="27"/>
        <v>255400.46</v>
      </c>
      <c r="T65" s="84">
        <f t="shared" si="27"/>
        <v>445973.41000000003</v>
      </c>
      <c r="U65" s="87">
        <f>SUM(U63:U64)</f>
        <v>1311764.3899999999</v>
      </c>
      <c r="V65" s="90">
        <f t="shared" si="24"/>
        <v>0.56395878533376376</v>
      </c>
      <c r="W65" s="87">
        <f t="shared" ref="W65:Y65" si="28">SUM(W63:W64)</f>
        <v>139052.36999999997</v>
      </c>
      <c r="X65" s="87">
        <f t="shared" si="28"/>
        <v>141112.72999999998</v>
      </c>
      <c r="Y65" s="87">
        <f t="shared" si="28"/>
        <v>165808.31</v>
      </c>
      <c r="Z65" s="17"/>
    </row>
    <row r="66" spans="1:26" x14ac:dyDescent="0.25">
      <c r="A66" s="3" t="s">
        <v>76</v>
      </c>
      <c r="B66" s="6">
        <f t="shared" ref="B66:T66" si="29">(B45)-(B65)</f>
        <v>80342.110000000015</v>
      </c>
      <c r="C66" s="6">
        <f t="shared" si="29"/>
        <v>124285.08000000007</v>
      </c>
      <c r="D66" s="6">
        <f t="shared" si="29"/>
        <v>167322.20999999996</v>
      </c>
      <c r="E66" s="6">
        <f t="shared" si="29"/>
        <v>141995.34999999995</v>
      </c>
      <c r="F66" s="80">
        <f t="shared" si="7"/>
        <v>513944.75</v>
      </c>
      <c r="G66" s="84">
        <f t="shared" si="29"/>
        <v>240557.21999999994</v>
      </c>
      <c r="H66" s="84">
        <f t="shared" si="29"/>
        <v>242437.52000000002</v>
      </c>
      <c r="I66" s="84">
        <f t="shared" si="29"/>
        <v>239368.09000000008</v>
      </c>
      <c r="J66" s="84">
        <f t="shared" si="29"/>
        <v>232129.71999999997</v>
      </c>
      <c r="K66" s="80">
        <f t="shared" si="8"/>
        <v>954492.55</v>
      </c>
      <c r="L66" s="84">
        <f t="shared" si="29"/>
        <v>282737.36999999988</v>
      </c>
      <c r="M66" s="84">
        <f t="shared" si="29"/>
        <v>167422.44</v>
      </c>
      <c r="N66" s="84">
        <f t="shared" si="29"/>
        <v>132697.00000000012</v>
      </c>
      <c r="O66" s="84">
        <f t="shared" si="29"/>
        <v>150987.49</v>
      </c>
      <c r="P66" s="80">
        <f t="shared" si="9"/>
        <v>733844.3</v>
      </c>
      <c r="Q66" s="84">
        <f t="shared" si="29"/>
        <v>236807.73000000004</v>
      </c>
      <c r="R66" s="84">
        <f t="shared" si="29"/>
        <v>180391.0100000001</v>
      </c>
      <c r="S66" s="84">
        <f t="shared" si="29"/>
        <v>282029.96999999997</v>
      </c>
      <c r="T66" s="84">
        <f t="shared" si="29"/>
        <v>315000.26</v>
      </c>
      <c r="U66" s="80">
        <f>U45-U65</f>
        <v>1014228.97</v>
      </c>
      <c r="V66" s="81">
        <f t="shared" si="24"/>
        <v>0.43604121466623619</v>
      </c>
      <c r="W66" s="80">
        <f t="shared" ref="W66:Y66" si="30">W45-W65</f>
        <v>107037.49000000005</v>
      </c>
      <c r="X66" s="80">
        <f t="shared" si="30"/>
        <v>162844.37</v>
      </c>
      <c r="Y66" s="80">
        <f t="shared" si="30"/>
        <v>45118.400000000023</v>
      </c>
      <c r="Z66" s="17"/>
    </row>
    <row r="67" spans="1:26" x14ac:dyDescent="0.25">
      <c r="A67" s="3"/>
      <c r="B67" s="44"/>
      <c r="C67" s="44"/>
      <c r="D67" s="44"/>
      <c r="E67" s="44"/>
      <c r="F67" s="80"/>
      <c r="G67" s="91"/>
      <c r="H67" s="91"/>
      <c r="I67" s="91"/>
      <c r="J67" s="91"/>
      <c r="K67" s="80"/>
      <c r="L67" s="91"/>
      <c r="M67" s="91"/>
      <c r="N67" s="91"/>
      <c r="O67" s="91"/>
      <c r="P67" s="80"/>
      <c r="Q67" s="91"/>
      <c r="R67" s="91"/>
      <c r="S67" s="91"/>
      <c r="T67" s="91"/>
      <c r="U67" s="80"/>
      <c r="V67" s="81"/>
      <c r="W67" s="80"/>
      <c r="X67" s="80"/>
      <c r="Y67" s="80"/>
      <c r="Z67" s="17"/>
    </row>
    <row r="68" spans="1:26" x14ac:dyDescent="0.25">
      <c r="A68" s="3" t="s">
        <v>77</v>
      </c>
      <c r="B68" s="4"/>
      <c r="C68" s="4"/>
      <c r="D68" s="4"/>
      <c r="E68" s="4"/>
      <c r="F68" s="80">
        <f t="shared" si="7"/>
        <v>0</v>
      </c>
      <c r="G68" s="82"/>
      <c r="H68" s="82"/>
      <c r="I68" s="82"/>
      <c r="J68" s="82"/>
      <c r="K68" s="80">
        <f t="shared" si="8"/>
        <v>0</v>
      </c>
      <c r="L68" s="82"/>
      <c r="M68" s="82"/>
      <c r="N68" s="82"/>
      <c r="O68" s="82"/>
      <c r="P68" s="80">
        <f t="shared" si="9"/>
        <v>0</v>
      </c>
      <c r="Q68" s="82"/>
      <c r="R68" s="82"/>
      <c r="S68" s="82"/>
      <c r="T68" s="80"/>
      <c r="U68" s="80"/>
      <c r="V68" s="81"/>
      <c r="W68" s="82"/>
      <c r="X68" s="82"/>
      <c r="Y68" s="82"/>
      <c r="Z68" s="17"/>
    </row>
    <row r="69" spans="1:26" x14ac:dyDescent="0.25">
      <c r="A69" s="3" t="s">
        <v>78</v>
      </c>
      <c r="B69" s="5">
        <f>494.48</f>
        <v>494.48</v>
      </c>
      <c r="C69" s="5">
        <f>221.26</f>
        <v>221.26</v>
      </c>
      <c r="D69" s="5">
        <f>1526.6</f>
        <v>1526.6</v>
      </c>
      <c r="E69" s="5">
        <f>3850</f>
        <v>3850</v>
      </c>
      <c r="F69" s="80">
        <f t="shared" si="7"/>
        <v>6092.34</v>
      </c>
      <c r="G69" s="80">
        <f>6750</f>
        <v>6750</v>
      </c>
      <c r="H69" s="80">
        <f>26373.43</f>
        <v>26373.43</v>
      </c>
      <c r="I69" s="80">
        <f>7917.41</f>
        <v>7917.41</v>
      </c>
      <c r="J69" s="80">
        <f>9013.97</f>
        <v>9013.9699999999993</v>
      </c>
      <c r="K69" s="80">
        <f t="shared" si="8"/>
        <v>50054.81</v>
      </c>
      <c r="L69" s="80">
        <f>9233.42</f>
        <v>9233.42</v>
      </c>
      <c r="M69" s="80">
        <f>7882.16</f>
        <v>7882.16</v>
      </c>
      <c r="N69" s="80">
        <f>9617.12</f>
        <v>9617.1200000000008</v>
      </c>
      <c r="O69" s="80">
        <f>21441.7</f>
        <v>21441.7</v>
      </c>
      <c r="P69" s="80">
        <f t="shared" si="9"/>
        <v>48174.400000000009</v>
      </c>
      <c r="Q69" s="80">
        <f>8669.1</f>
        <v>8669.1</v>
      </c>
      <c r="R69" s="80">
        <f>8645.26</f>
        <v>8645.26</v>
      </c>
      <c r="S69" s="80">
        <f>9405.54</f>
        <v>9405.5400000000009</v>
      </c>
      <c r="T69" s="80">
        <f t="shared" si="3"/>
        <v>6122.55</v>
      </c>
      <c r="U69" s="80">
        <f t="shared" si="4"/>
        <v>32842.450000000004</v>
      </c>
      <c r="V69" s="81">
        <f t="shared" si="24"/>
        <v>1.4119752259309977E-2</v>
      </c>
      <c r="W69" s="80">
        <v>1072.95</v>
      </c>
      <c r="X69" s="80">
        <v>2210.1</v>
      </c>
      <c r="Y69" s="80">
        <v>2839.5</v>
      </c>
      <c r="Z69" s="17"/>
    </row>
    <row r="70" spans="1:26" x14ac:dyDescent="0.25">
      <c r="A70" s="3" t="s">
        <v>79</v>
      </c>
      <c r="B70" s="5">
        <f>1001.79</f>
        <v>1001.79</v>
      </c>
      <c r="C70" s="5">
        <f>494.31</f>
        <v>494.31</v>
      </c>
      <c r="D70" s="4"/>
      <c r="E70" s="4"/>
      <c r="F70" s="80">
        <f t="shared" si="7"/>
        <v>1496.1</v>
      </c>
      <c r="G70" s="80">
        <f>1528.79</f>
        <v>1528.79</v>
      </c>
      <c r="H70" s="82"/>
      <c r="I70" s="82"/>
      <c r="J70" s="82"/>
      <c r="K70" s="80">
        <f t="shared" si="8"/>
        <v>1528.79</v>
      </c>
      <c r="L70" s="82"/>
      <c r="M70" s="82"/>
      <c r="N70" s="82"/>
      <c r="O70" s="80">
        <f>4253.25</f>
        <v>4253.25</v>
      </c>
      <c r="P70" s="80">
        <f t="shared" si="9"/>
        <v>4253.25</v>
      </c>
      <c r="Q70" s="80">
        <f>4110.73</f>
        <v>4110.7299999999996</v>
      </c>
      <c r="R70" s="80">
        <f>8110.33</f>
        <v>8110.33</v>
      </c>
      <c r="S70" s="80">
        <f>8202.5</f>
        <v>8202.5</v>
      </c>
      <c r="T70" s="80">
        <f t="shared" si="3"/>
        <v>6555.09</v>
      </c>
      <c r="U70" s="80">
        <f t="shared" si="4"/>
        <v>26978.649999999998</v>
      </c>
      <c r="V70" s="81">
        <f t="shared" si="24"/>
        <v>1.1598764839122326E-2</v>
      </c>
      <c r="W70" s="80">
        <v>2342.54</v>
      </c>
      <c r="X70" s="80">
        <v>1892.55</v>
      </c>
      <c r="Y70" s="80">
        <v>2320</v>
      </c>
      <c r="Z70" s="17"/>
    </row>
    <row r="71" spans="1:26" x14ac:dyDescent="0.25">
      <c r="A71" s="3" t="s">
        <v>80</v>
      </c>
      <c r="B71" s="5">
        <f>2950.36</f>
        <v>2950.36</v>
      </c>
      <c r="C71" s="5">
        <f>3895.11</f>
        <v>3895.11</v>
      </c>
      <c r="D71" s="5">
        <f>2738.03</f>
        <v>2738.03</v>
      </c>
      <c r="E71" s="5">
        <f>3462.37</f>
        <v>3462.37</v>
      </c>
      <c r="F71" s="80">
        <f t="shared" si="7"/>
        <v>13045.869999999999</v>
      </c>
      <c r="G71" s="80">
        <f>2021.09</f>
        <v>2021.09</v>
      </c>
      <c r="H71" s="80">
        <f>3595.46</f>
        <v>3595.46</v>
      </c>
      <c r="I71" s="80">
        <f>2335.38</f>
        <v>2335.38</v>
      </c>
      <c r="J71" s="80">
        <f>6801.3</f>
        <v>6801.3</v>
      </c>
      <c r="K71" s="80">
        <f t="shared" si="8"/>
        <v>14753.23</v>
      </c>
      <c r="L71" s="80">
        <f>7346.57</f>
        <v>7346.57</v>
      </c>
      <c r="M71" s="80">
        <f>4890.99</f>
        <v>4890.99</v>
      </c>
      <c r="N71" s="80">
        <f>4571.26</f>
        <v>4571.26</v>
      </c>
      <c r="O71" s="80">
        <f>4697.37</f>
        <v>4697.37</v>
      </c>
      <c r="P71" s="80">
        <f t="shared" si="9"/>
        <v>21506.19</v>
      </c>
      <c r="Q71" s="80">
        <f>9047.69</f>
        <v>9047.69</v>
      </c>
      <c r="R71" s="80">
        <f>4314.45</f>
        <v>4314.45</v>
      </c>
      <c r="S71" s="80">
        <f>1014.18</f>
        <v>1014.18</v>
      </c>
      <c r="T71" s="80">
        <f t="shared" si="3"/>
        <v>1267.1200000000001</v>
      </c>
      <c r="U71" s="80">
        <f t="shared" si="4"/>
        <v>15643.44</v>
      </c>
      <c r="V71" s="81">
        <f t="shared" si="24"/>
        <v>6.725487814806144E-3</v>
      </c>
      <c r="W71" s="80">
        <v>490.86</v>
      </c>
      <c r="X71" s="80">
        <v>269.81</v>
      </c>
      <c r="Y71" s="80">
        <v>506.45</v>
      </c>
      <c r="Z71" s="17"/>
    </row>
    <row r="72" spans="1:26" x14ac:dyDescent="0.25">
      <c r="A72" s="3" t="s">
        <v>81</v>
      </c>
      <c r="B72" s="4"/>
      <c r="C72" s="4"/>
      <c r="D72" s="4"/>
      <c r="E72" s="4"/>
      <c r="F72" s="80">
        <f t="shared" si="7"/>
        <v>0</v>
      </c>
      <c r="G72" s="82"/>
      <c r="H72" s="82"/>
      <c r="I72" s="82"/>
      <c r="J72" s="82"/>
      <c r="K72" s="80">
        <f t="shared" si="8"/>
        <v>0</v>
      </c>
      <c r="L72" s="82"/>
      <c r="M72" s="80">
        <f>3510</f>
        <v>3510</v>
      </c>
      <c r="N72" s="80">
        <f>1677.7</f>
        <v>1677.7</v>
      </c>
      <c r="O72" s="80">
        <f>2459.85</f>
        <v>2459.85</v>
      </c>
      <c r="P72" s="80">
        <f t="shared" si="9"/>
        <v>7647.5499999999993</v>
      </c>
      <c r="Q72" s="80">
        <f>3566.45</f>
        <v>3566.45</v>
      </c>
      <c r="R72" s="80">
        <f>1599.16</f>
        <v>1599.16</v>
      </c>
      <c r="S72" s="80">
        <f>5642.68</f>
        <v>5642.68</v>
      </c>
      <c r="T72" s="80">
        <f t="shared" si="3"/>
        <v>14603.12</v>
      </c>
      <c r="U72" s="80">
        <f t="shared" si="4"/>
        <v>25411.410000000003</v>
      </c>
      <c r="V72" s="81">
        <f t="shared" si="24"/>
        <v>1.092497099819752E-2</v>
      </c>
      <c r="W72" s="80">
        <v>9808.1200000000008</v>
      </c>
      <c r="X72" s="80">
        <v>1582.5</v>
      </c>
      <c r="Y72" s="80">
        <v>3212.5</v>
      </c>
      <c r="Z72" s="17"/>
    </row>
    <row r="73" spans="1:26" x14ac:dyDescent="0.25">
      <c r="A73" s="3" t="s">
        <v>82</v>
      </c>
      <c r="B73" s="5">
        <f>3967.3</f>
        <v>3967.3</v>
      </c>
      <c r="C73" s="5">
        <f>4698.12</f>
        <v>4698.12</v>
      </c>
      <c r="D73" s="5">
        <f>4721.22</f>
        <v>4721.22</v>
      </c>
      <c r="E73" s="5">
        <f>4939.34</f>
        <v>4939.34</v>
      </c>
      <c r="F73" s="80">
        <f t="shared" si="7"/>
        <v>18325.98</v>
      </c>
      <c r="G73" s="80">
        <f>2820.28</f>
        <v>2820.28</v>
      </c>
      <c r="H73" s="82"/>
      <c r="I73" s="80">
        <f>256.34</f>
        <v>256.33999999999997</v>
      </c>
      <c r="J73" s="80">
        <f>1871.12</f>
        <v>1871.12</v>
      </c>
      <c r="K73" s="80">
        <f t="shared" si="8"/>
        <v>4947.74</v>
      </c>
      <c r="L73" s="80">
        <f>3867.77</f>
        <v>3867.77</v>
      </c>
      <c r="M73" s="82"/>
      <c r="N73" s="80">
        <f>136.84</f>
        <v>136.84</v>
      </c>
      <c r="O73" s="80">
        <f>560</f>
        <v>560</v>
      </c>
      <c r="P73" s="80">
        <f t="shared" si="9"/>
        <v>4564.6100000000006</v>
      </c>
      <c r="Q73" s="80">
        <f>1120.68</f>
        <v>1120.68</v>
      </c>
      <c r="R73" s="80">
        <f>2244.78</f>
        <v>2244.7800000000002</v>
      </c>
      <c r="S73" s="80">
        <f>1414.35</f>
        <v>1414.35</v>
      </c>
      <c r="T73" s="80">
        <f t="shared" ref="T73:T132" si="31">SUM(W73:Z73)</f>
        <v>2551.2699999999995</v>
      </c>
      <c r="U73" s="80">
        <f t="shared" ref="U73:U132" si="32">SUM(Q73:T73)</f>
        <v>7331.079999999999</v>
      </c>
      <c r="V73" s="81">
        <f t="shared" si="24"/>
        <v>3.1518060739433923E-3</v>
      </c>
      <c r="W73" s="80">
        <v>1858.37</v>
      </c>
      <c r="X73" s="80">
        <v>346.45</v>
      </c>
      <c r="Y73" s="80">
        <v>346.45</v>
      </c>
      <c r="Z73" s="17"/>
    </row>
    <row r="74" spans="1:26" x14ac:dyDescent="0.25">
      <c r="A74" s="3" t="s">
        <v>83</v>
      </c>
      <c r="B74" s="5">
        <f>1637.01</f>
        <v>1637.01</v>
      </c>
      <c r="C74" s="5">
        <f>541.35</f>
        <v>541.35</v>
      </c>
      <c r="D74" s="4"/>
      <c r="E74" s="5">
        <f>466.86</f>
        <v>466.86</v>
      </c>
      <c r="F74" s="80">
        <f t="shared" si="7"/>
        <v>2645.2200000000003</v>
      </c>
      <c r="G74" s="80">
        <f>1792.8</f>
        <v>1792.8</v>
      </c>
      <c r="H74" s="80">
        <f>920.72</f>
        <v>920.72</v>
      </c>
      <c r="I74" s="82"/>
      <c r="J74" s="82"/>
      <c r="K74" s="80">
        <f t="shared" si="8"/>
        <v>2713.52</v>
      </c>
      <c r="L74" s="82"/>
      <c r="M74" s="80">
        <f>307.33</f>
        <v>307.33</v>
      </c>
      <c r="N74" s="80">
        <f>53.7</f>
        <v>53.7</v>
      </c>
      <c r="O74" s="80">
        <f>2152.18</f>
        <v>2152.1799999999998</v>
      </c>
      <c r="P74" s="80">
        <f t="shared" si="9"/>
        <v>2513.21</v>
      </c>
      <c r="Q74" s="80">
        <f>366.84</f>
        <v>366.84</v>
      </c>
      <c r="R74" s="80">
        <f>1575.52</f>
        <v>1575.52</v>
      </c>
      <c r="S74" s="80">
        <f>889.02</f>
        <v>889.02</v>
      </c>
      <c r="T74" s="80">
        <f t="shared" si="31"/>
        <v>199.9</v>
      </c>
      <c r="U74" s="80">
        <f t="shared" si="32"/>
        <v>3031.28</v>
      </c>
      <c r="V74" s="81">
        <f t="shared" si="24"/>
        <v>1.3032195414349765E-3</v>
      </c>
      <c r="W74" s="80">
        <v>16.22</v>
      </c>
      <c r="X74" s="80">
        <v>0</v>
      </c>
      <c r="Y74" s="80">
        <v>183.68</v>
      </c>
      <c r="Z74" s="17"/>
    </row>
    <row r="75" spans="1:26" x14ac:dyDescent="0.25">
      <c r="A75" s="3" t="s">
        <v>84</v>
      </c>
      <c r="B75" s="5">
        <f>12614.16</f>
        <v>12614.16</v>
      </c>
      <c r="C75" s="5">
        <f>6060.01</f>
        <v>6060.01</v>
      </c>
      <c r="D75" s="5">
        <f>9848.79</f>
        <v>9848.7900000000009</v>
      </c>
      <c r="E75" s="5">
        <f>14832.42</f>
        <v>14832.42</v>
      </c>
      <c r="F75" s="80">
        <f t="shared" si="7"/>
        <v>43355.38</v>
      </c>
      <c r="G75" s="80">
        <f>11310.33</f>
        <v>11310.33</v>
      </c>
      <c r="H75" s="80">
        <f>-2856.07</f>
        <v>-2856.07</v>
      </c>
      <c r="I75" s="80">
        <f>691.32</f>
        <v>691.32</v>
      </c>
      <c r="J75" s="80">
        <f>-646.33</f>
        <v>-646.33000000000004</v>
      </c>
      <c r="K75" s="80">
        <f t="shared" si="8"/>
        <v>8499.25</v>
      </c>
      <c r="L75" s="80">
        <f>4175.93</f>
        <v>4175.93</v>
      </c>
      <c r="M75" s="80">
        <f>1748.45</f>
        <v>1748.45</v>
      </c>
      <c r="N75" s="80">
        <f>4790.8</f>
        <v>4790.8</v>
      </c>
      <c r="O75" s="80">
        <f>9365.79</f>
        <v>9365.7900000000009</v>
      </c>
      <c r="P75" s="80">
        <f t="shared" si="9"/>
        <v>20080.97</v>
      </c>
      <c r="Q75" s="80">
        <v>-321.05</v>
      </c>
      <c r="R75" s="80">
        <f>14532.08</f>
        <v>14532.08</v>
      </c>
      <c r="S75" s="80">
        <f>7204.31</f>
        <v>7204.31</v>
      </c>
      <c r="T75" s="80">
        <f t="shared" si="31"/>
        <v>15616.84</v>
      </c>
      <c r="U75" s="80">
        <f t="shared" si="32"/>
        <v>37032.18</v>
      </c>
      <c r="V75" s="81">
        <f t="shared" si="24"/>
        <v>1.5921017074614522E-2</v>
      </c>
      <c r="W75" s="80">
        <v>3020.46</v>
      </c>
      <c r="X75" s="80">
        <v>9483.58</v>
      </c>
      <c r="Y75" s="80">
        <v>3112.8</v>
      </c>
      <c r="Z75" s="17"/>
    </row>
    <row r="76" spans="1:26" x14ac:dyDescent="0.25">
      <c r="A76" s="3" t="s">
        <v>85</v>
      </c>
      <c r="B76" s="5">
        <f>6144.06</f>
        <v>6144.06</v>
      </c>
      <c r="C76" s="5">
        <f>3113.74</f>
        <v>3113.74</v>
      </c>
      <c r="D76" s="5">
        <f>3193.56</f>
        <v>3193.56</v>
      </c>
      <c r="E76" s="5">
        <f>3894.71</f>
        <v>3894.71</v>
      </c>
      <c r="F76" s="80">
        <f t="shared" si="7"/>
        <v>16346.07</v>
      </c>
      <c r="G76" s="80">
        <f>3147</f>
        <v>3147</v>
      </c>
      <c r="H76" s="80">
        <f>1457.57</f>
        <v>1457.57</v>
      </c>
      <c r="I76" s="80">
        <f>1689.75</f>
        <v>1689.75</v>
      </c>
      <c r="J76" s="80">
        <f>2142.69</f>
        <v>2142.69</v>
      </c>
      <c r="K76" s="80">
        <f t="shared" si="8"/>
        <v>8437.01</v>
      </c>
      <c r="L76" s="80">
        <f>2687.97</f>
        <v>2687.97</v>
      </c>
      <c r="M76" s="80">
        <f>2275.11</f>
        <v>2275.11</v>
      </c>
      <c r="N76" s="80">
        <f>5628.51</f>
        <v>5628.51</v>
      </c>
      <c r="O76" s="80">
        <f>2767.42</f>
        <v>2767.42</v>
      </c>
      <c r="P76" s="80">
        <f t="shared" si="9"/>
        <v>13359.01</v>
      </c>
      <c r="Q76" s="80">
        <f>2217.11</f>
        <v>2217.11</v>
      </c>
      <c r="R76" s="80">
        <f>4969.3</f>
        <v>4969.3</v>
      </c>
      <c r="S76" s="80">
        <f>11777.84</f>
        <v>11777.84</v>
      </c>
      <c r="T76" s="80">
        <f t="shared" si="31"/>
        <v>12622.150000000001</v>
      </c>
      <c r="U76" s="80">
        <f t="shared" si="32"/>
        <v>31586.400000000001</v>
      </c>
      <c r="V76" s="81">
        <f t="shared" si="24"/>
        <v>1.357974641853664E-2</v>
      </c>
      <c r="W76" s="80">
        <v>4207.97</v>
      </c>
      <c r="X76" s="80">
        <v>4221.38</v>
      </c>
      <c r="Y76" s="80">
        <v>4192.8</v>
      </c>
      <c r="Z76" s="17"/>
    </row>
    <row r="77" spans="1:26" x14ac:dyDescent="0.25">
      <c r="A77" s="3" t="s">
        <v>86</v>
      </c>
      <c r="B77" s="5">
        <f>572.25</f>
        <v>572.25</v>
      </c>
      <c r="C77" s="5">
        <f>1265.09</f>
        <v>1265.0899999999999</v>
      </c>
      <c r="D77" s="5">
        <f>1742.93</f>
        <v>1742.93</v>
      </c>
      <c r="E77" s="5">
        <f>1033.74</f>
        <v>1033.74</v>
      </c>
      <c r="F77" s="80">
        <f t="shared" si="7"/>
        <v>4614.01</v>
      </c>
      <c r="G77" s="80">
        <f>1482.29</f>
        <v>1482.29</v>
      </c>
      <c r="H77" s="80">
        <f>1626.18</f>
        <v>1626.18</v>
      </c>
      <c r="I77" s="80">
        <f>18548.21</f>
        <v>18548.21</v>
      </c>
      <c r="J77" s="80">
        <f>3064.39</f>
        <v>3064.39</v>
      </c>
      <c r="K77" s="80">
        <f t="shared" si="8"/>
        <v>24721.07</v>
      </c>
      <c r="L77" s="80">
        <f>1709.88</f>
        <v>1709.88</v>
      </c>
      <c r="M77" s="80">
        <f>6716.9</f>
        <v>6716.9</v>
      </c>
      <c r="N77" s="80">
        <f>1980.51</f>
        <v>1980.51</v>
      </c>
      <c r="O77" s="80">
        <f>887.21</f>
        <v>887.21</v>
      </c>
      <c r="P77" s="80">
        <f t="shared" si="9"/>
        <v>11294.5</v>
      </c>
      <c r="Q77" s="80">
        <f>1957.32</f>
        <v>1957.32</v>
      </c>
      <c r="R77" s="80">
        <f>351.36</f>
        <v>351.36</v>
      </c>
      <c r="S77" s="80">
        <f>269.63</f>
        <v>269.63</v>
      </c>
      <c r="T77" s="83">
        <f t="shared" si="31"/>
        <v>201.49</v>
      </c>
      <c r="U77" s="83">
        <f t="shared" si="32"/>
        <v>2779.8</v>
      </c>
      <c r="V77" s="81">
        <f t="shared" si="24"/>
        <v>1.1951022938431778E-3</v>
      </c>
      <c r="W77" s="83"/>
      <c r="X77" s="83">
        <v>30.77</v>
      </c>
      <c r="Y77" s="83">
        <v>170.72</v>
      </c>
      <c r="Z77" s="17"/>
    </row>
    <row r="78" spans="1:26" x14ac:dyDescent="0.25">
      <c r="A78" s="3" t="s">
        <v>87</v>
      </c>
      <c r="B78" s="6">
        <f t="shared" ref="B78:T78" si="33">(B76)+(B77)</f>
        <v>6716.31</v>
      </c>
      <c r="C78" s="6">
        <f t="shared" si="33"/>
        <v>4378.83</v>
      </c>
      <c r="D78" s="6">
        <f t="shared" si="33"/>
        <v>4936.49</v>
      </c>
      <c r="E78" s="6">
        <f t="shared" si="33"/>
        <v>4928.45</v>
      </c>
      <c r="F78" s="80"/>
      <c r="G78" s="84">
        <f t="shared" si="33"/>
        <v>4629.29</v>
      </c>
      <c r="H78" s="84">
        <f t="shared" si="33"/>
        <v>3083.75</v>
      </c>
      <c r="I78" s="84">
        <f t="shared" si="33"/>
        <v>20237.96</v>
      </c>
      <c r="J78" s="84">
        <f t="shared" si="33"/>
        <v>5207.08</v>
      </c>
      <c r="K78" s="80"/>
      <c r="L78" s="84">
        <f t="shared" si="33"/>
        <v>4397.8500000000004</v>
      </c>
      <c r="M78" s="84">
        <f t="shared" si="33"/>
        <v>8992.01</v>
      </c>
      <c r="N78" s="84">
        <f t="shared" si="33"/>
        <v>7609.02</v>
      </c>
      <c r="O78" s="84">
        <f t="shared" si="33"/>
        <v>3654.63</v>
      </c>
      <c r="P78" s="80"/>
      <c r="Q78" s="84">
        <f t="shared" si="33"/>
        <v>4174.43</v>
      </c>
      <c r="R78" s="84">
        <f t="shared" si="33"/>
        <v>5320.66</v>
      </c>
      <c r="S78" s="84">
        <f t="shared" si="33"/>
        <v>12047.47</v>
      </c>
      <c r="T78" s="84">
        <f t="shared" si="33"/>
        <v>12823.640000000001</v>
      </c>
      <c r="U78" s="80">
        <f>SUM(U76:U77)</f>
        <v>34366.200000000004</v>
      </c>
      <c r="V78" s="81">
        <f t="shared" si="24"/>
        <v>1.4774848712379818E-2</v>
      </c>
      <c r="W78" s="80">
        <f t="shared" ref="W78:Y78" si="34">SUM(W76:W77)</f>
        <v>4207.97</v>
      </c>
      <c r="X78" s="80">
        <f t="shared" si="34"/>
        <v>4252.1500000000005</v>
      </c>
      <c r="Y78" s="80">
        <f t="shared" si="34"/>
        <v>4363.5200000000004</v>
      </c>
      <c r="Z78" s="17"/>
    </row>
    <row r="79" spans="1:26" x14ac:dyDescent="0.25">
      <c r="A79" s="3" t="s">
        <v>88</v>
      </c>
      <c r="B79" s="5">
        <f>2224.92</f>
        <v>2224.92</v>
      </c>
      <c r="C79" s="5">
        <f>4279</f>
        <v>4279</v>
      </c>
      <c r="D79" s="5">
        <f>2881.75</f>
        <v>2881.75</v>
      </c>
      <c r="E79" s="5">
        <f>4782.29</f>
        <v>4782.29</v>
      </c>
      <c r="F79" s="80">
        <f t="shared" si="7"/>
        <v>14167.96</v>
      </c>
      <c r="G79" s="80">
        <f>3855.64</f>
        <v>3855.64</v>
      </c>
      <c r="H79" s="80">
        <f>2374.32</f>
        <v>2374.3200000000002</v>
      </c>
      <c r="I79" s="80">
        <f>2444.67</f>
        <v>2444.67</v>
      </c>
      <c r="J79" s="80">
        <f>1836.49</f>
        <v>1836.49</v>
      </c>
      <c r="K79" s="80">
        <f t="shared" si="8"/>
        <v>10511.12</v>
      </c>
      <c r="L79" s="80">
        <f>6356.06</f>
        <v>6356.06</v>
      </c>
      <c r="M79" s="80">
        <f>3570.88</f>
        <v>3570.88</v>
      </c>
      <c r="N79" s="80">
        <f>2931.08</f>
        <v>2931.08</v>
      </c>
      <c r="O79" s="80">
        <f>7176.66</f>
        <v>7176.66</v>
      </c>
      <c r="P79" s="80">
        <f t="shared" si="9"/>
        <v>20034.68</v>
      </c>
      <c r="Q79" s="80">
        <f>134.47</f>
        <v>134.47</v>
      </c>
      <c r="R79" s="80">
        <f>29.97</f>
        <v>29.97</v>
      </c>
      <c r="S79" s="80">
        <f>146.47</f>
        <v>146.47</v>
      </c>
      <c r="T79" s="83">
        <f t="shared" si="31"/>
        <v>29.97</v>
      </c>
      <c r="U79" s="83">
        <f t="shared" si="32"/>
        <v>340.88</v>
      </c>
      <c r="V79" s="81">
        <f t="shared" si="24"/>
        <v>1.4655243899750427E-4</v>
      </c>
      <c r="W79" s="83">
        <v>9.99</v>
      </c>
      <c r="X79" s="83">
        <v>9.99</v>
      </c>
      <c r="Y79" s="83">
        <v>9.99</v>
      </c>
      <c r="Z79" s="17"/>
    </row>
    <row r="80" spans="1:26" x14ac:dyDescent="0.25">
      <c r="A80" s="3" t="s">
        <v>89</v>
      </c>
      <c r="B80" s="6">
        <f t="shared" ref="B80:T80" si="35">((((((((B69)+(B70))+(B71))+(B72))+(B73))+(B74))+(B75))+(B78))+(B79)</f>
        <v>31606.33</v>
      </c>
      <c r="C80" s="6">
        <f t="shared" si="35"/>
        <v>24567.989999999998</v>
      </c>
      <c r="D80" s="6">
        <f t="shared" si="35"/>
        <v>26652.879999999997</v>
      </c>
      <c r="E80" s="6">
        <f t="shared" si="35"/>
        <v>37261.729999999996</v>
      </c>
      <c r="F80" s="80">
        <f>SUM(F68:F79)</f>
        <v>120088.93</v>
      </c>
      <c r="G80" s="84">
        <f t="shared" si="35"/>
        <v>34708.22</v>
      </c>
      <c r="H80" s="84">
        <f t="shared" si="35"/>
        <v>33491.61</v>
      </c>
      <c r="I80" s="84">
        <f t="shared" si="35"/>
        <v>33883.08</v>
      </c>
      <c r="J80" s="84">
        <f t="shared" si="35"/>
        <v>24083.63</v>
      </c>
      <c r="K80" s="80">
        <f>SUM(K68:K79)</f>
        <v>126166.54000000001</v>
      </c>
      <c r="L80" s="84">
        <f t="shared" si="35"/>
        <v>35377.599999999999</v>
      </c>
      <c r="M80" s="84">
        <f t="shared" si="35"/>
        <v>30901.820000000003</v>
      </c>
      <c r="N80" s="84">
        <f t="shared" si="35"/>
        <v>31387.520000000004</v>
      </c>
      <c r="O80" s="84">
        <f t="shared" si="35"/>
        <v>55761.429999999993</v>
      </c>
      <c r="P80" s="80">
        <f>SUM(P68:P79)</f>
        <v>153428.37</v>
      </c>
      <c r="Q80" s="84">
        <f t="shared" si="35"/>
        <v>30869.340000000004</v>
      </c>
      <c r="R80" s="84">
        <f t="shared" si="35"/>
        <v>46372.210000000006</v>
      </c>
      <c r="S80" s="84">
        <f t="shared" si="35"/>
        <v>45966.520000000004</v>
      </c>
      <c r="T80" s="84">
        <f t="shared" si="35"/>
        <v>59769.5</v>
      </c>
      <c r="U80" s="80">
        <f>U69+U70+U71+U72+U73+U74+U75+U78+U79</f>
        <v>182977.57000000004</v>
      </c>
      <c r="V80" s="81">
        <f t="shared" si="24"/>
        <v>7.8666419752806194E-2</v>
      </c>
      <c r="W80" s="80">
        <f t="shared" ref="W80:Y80" si="36">W69+W70+W71+W72+W73+W74+W75+W78+W79</f>
        <v>22827.480000000003</v>
      </c>
      <c r="X80" s="80">
        <f t="shared" si="36"/>
        <v>20047.13</v>
      </c>
      <c r="Y80" s="80">
        <f t="shared" si="36"/>
        <v>16894.890000000003</v>
      </c>
      <c r="Z80" s="17"/>
    </row>
    <row r="81" spans="1:26" x14ac:dyDescent="0.25">
      <c r="A81" s="3" t="s">
        <v>90</v>
      </c>
      <c r="B81" s="4"/>
      <c r="C81" s="4"/>
      <c r="D81" s="4"/>
      <c r="E81" s="4"/>
      <c r="F81" s="80">
        <f t="shared" si="7"/>
        <v>0</v>
      </c>
      <c r="G81" s="82"/>
      <c r="H81" s="82"/>
      <c r="I81" s="82"/>
      <c r="J81" s="82"/>
      <c r="K81" s="80">
        <f t="shared" si="8"/>
        <v>0</v>
      </c>
      <c r="L81" s="82"/>
      <c r="M81" s="82"/>
      <c r="N81" s="82"/>
      <c r="O81" s="82"/>
      <c r="P81" s="80">
        <f t="shared" si="9"/>
        <v>0</v>
      </c>
      <c r="Q81" s="82"/>
      <c r="R81" s="80">
        <f>16884.62</f>
        <v>16884.62</v>
      </c>
      <c r="S81" s="82"/>
      <c r="T81" s="80">
        <f t="shared" si="31"/>
        <v>0</v>
      </c>
      <c r="U81" s="80">
        <f t="shared" si="32"/>
        <v>16884.62</v>
      </c>
      <c r="V81" s="81">
        <f t="shared" si="24"/>
        <v>7.2591006880604334E-3</v>
      </c>
      <c r="W81" s="82"/>
      <c r="X81" s="82"/>
      <c r="Y81" s="82"/>
      <c r="Z81" s="17"/>
    </row>
    <row r="82" spans="1:26" x14ac:dyDescent="0.25">
      <c r="A82" s="3" t="s">
        <v>91</v>
      </c>
      <c r="B82" s="5">
        <f>7870.25</f>
        <v>7870.25</v>
      </c>
      <c r="C82" s="5">
        <f>8178</f>
        <v>8178</v>
      </c>
      <c r="D82" s="5">
        <f>11610.18</f>
        <v>11610.18</v>
      </c>
      <c r="E82" s="5">
        <f>10240</f>
        <v>10240</v>
      </c>
      <c r="F82" s="80">
        <f t="shared" si="7"/>
        <v>37898.43</v>
      </c>
      <c r="G82" s="80">
        <f>7680</f>
        <v>7680</v>
      </c>
      <c r="H82" s="80">
        <f>5252</f>
        <v>5252</v>
      </c>
      <c r="I82" s="80">
        <f>11391.2</f>
        <v>11391.2</v>
      </c>
      <c r="J82" s="80">
        <f>7761.28</f>
        <v>7761.28</v>
      </c>
      <c r="K82" s="80">
        <f t="shared" si="8"/>
        <v>32084.48</v>
      </c>
      <c r="L82" s="80">
        <f>17327.87</f>
        <v>17327.87</v>
      </c>
      <c r="M82" s="80">
        <f>5981.82</f>
        <v>5981.82</v>
      </c>
      <c r="N82" s="80">
        <f>28925.3</f>
        <v>28925.3</v>
      </c>
      <c r="O82" s="80">
        <f>29054.86</f>
        <v>29054.86</v>
      </c>
      <c r="P82" s="80">
        <f t="shared" si="9"/>
        <v>81289.850000000006</v>
      </c>
      <c r="Q82" s="80">
        <f>26379.88</f>
        <v>26379.88</v>
      </c>
      <c r="R82" s="80">
        <f>18836</f>
        <v>18836</v>
      </c>
      <c r="S82" s="80">
        <f>18292.42</f>
        <v>18292.419999999998</v>
      </c>
      <c r="T82" s="80">
        <f t="shared" si="31"/>
        <v>29012.51</v>
      </c>
      <c r="U82" s="80">
        <f t="shared" si="32"/>
        <v>92520.81</v>
      </c>
      <c r="V82" s="81">
        <f t="shared" si="24"/>
        <v>3.9776902028645519E-2</v>
      </c>
      <c r="W82" s="80">
        <v>11796.41</v>
      </c>
      <c r="X82" s="80">
        <v>8608.0499999999993</v>
      </c>
      <c r="Y82" s="80">
        <v>8608.0499999999993</v>
      </c>
      <c r="Z82" s="17"/>
    </row>
    <row r="83" spans="1:26" x14ac:dyDescent="0.25">
      <c r="A83" s="3" t="s">
        <v>92</v>
      </c>
      <c r="B83" s="4"/>
      <c r="C83" s="5">
        <f>50</f>
        <v>50</v>
      </c>
      <c r="D83" s="4"/>
      <c r="E83" s="4"/>
      <c r="F83" s="80">
        <f t="shared" si="7"/>
        <v>50</v>
      </c>
      <c r="G83" s="82"/>
      <c r="H83" s="82"/>
      <c r="I83" s="82"/>
      <c r="J83" s="82"/>
      <c r="K83" s="80">
        <f t="shared" si="8"/>
        <v>0</v>
      </c>
      <c r="L83" s="82"/>
      <c r="M83" s="80">
        <f>2917.57</f>
        <v>2917.57</v>
      </c>
      <c r="N83" s="82"/>
      <c r="O83" s="82"/>
      <c r="P83" s="80">
        <f t="shared" si="9"/>
        <v>2917.57</v>
      </c>
      <c r="Q83" s="82"/>
      <c r="R83" s="82"/>
      <c r="S83" s="82"/>
      <c r="T83" s="80">
        <f t="shared" si="31"/>
        <v>0</v>
      </c>
      <c r="U83" s="80">
        <f t="shared" si="32"/>
        <v>0</v>
      </c>
      <c r="V83" s="81">
        <f t="shared" si="24"/>
        <v>0</v>
      </c>
      <c r="W83" s="82"/>
      <c r="X83" s="82"/>
      <c r="Y83" s="82"/>
      <c r="Z83" s="17"/>
    </row>
    <row r="84" spans="1:26" x14ac:dyDescent="0.25">
      <c r="A84" s="3" t="s">
        <v>93</v>
      </c>
      <c r="B84" s="4"/>
      <c r="C84" s="5">
        <f>52.27</f>
        <v>52.27</v>
      </c>
      <c r="D84" s="4"/>
      <c r="E84" s="4"/>
      <c r="F84" s="80">
        <f t="shared" si="7"/>
        <v>52.27</v>
      </c>
      <c r="G84" s="82"/>
      <c r="H84" s="82"/>
      <c r="I84" s="82"/>
      <c r="J84" s="82"/>
      <c r="K84" s="80">
        <f t="shared" si="8"/>
        <v>0</v>
      </c>
      <c r="L84" s="82"/>
      <c r="M84" s="82"/>
      <c r="N84" s="82"/>
      <c r="O84" s="82"/>
      <c r="P84" s="80">
        <f t="shared" si="9"/>
        <v>0</v>
      </c>
      <c r="Q84" s="82"/>
      <c r="R84" s="82"/>
      <c r="S84" s="82"/>
      <c r="T84" s="83">
        <f t="shared" si="31"/>
        <v>0</v>
      </c>
      <c r="U84" s="83">
        <f t="shared" si="32"/>
        <v>0</v>
      </c>
      <c r="V84" s="81">
        <f t="shared" si="24"/>
        <v>0</v>
      </c>
      <c r="W84" s="86"/>
      <c r="X84" s="86"/>
      <c r="Y84" s="86"/>
      <c r="Z84" s="17"/>
    </row>
    <row r="85" spans="1:26" x14ac:dyDescent="0.25">
      <c r="A85" s="3" t="s">
        <v>94</v>
      </c>
      <c r="B85" s="6">
        <f t="shared" ref="B85:T85" si="37">((B82)+(B83))+(B84)</f>
        <v>7870.25</v>
      </c>
      <c r="C85" s="6">
        <f t="shared" si="37"/>
        <v>8280.27</v>
      </c>
      <c r="D85" s="6">
        <f t="shared" si="37"/>
        <v>11610.18</v>
      </c>
      <c r="E85" s="6">
        <f t="shared" si="37"/>
        <v>10240</v>
      </c>
      <c r="F85" s="80">
        <f t="shared" si="7"/>
        <v>38000.699999999997</v>
      </c>
      <c r="G85" s="84">
        <f t="shared" si="37"/>
        <v>7680</v>
      </c>
      <c r="H85" s="84">
        <f t="shared" si="37"/>
        <v>5252</v>
      </c>
      <c r="I85" s="84">
        <f t="shared" si="37"/>
        <v>11391.2</v>
      </c>
      <c r="J85" s="84">
        <f t="shared" si="37"/>
        <v>7761.28</v>
      </c>
      <c r="K85" s="80">
        <f t="shared" si="8"/>
        <v>32084.48</v>
      </c>
      <c r="L85" s="84">
        <f t="shared" si="37"/>
        <v>17327.87</v>
      </c>
      <c r="M85" s="84">
        <f t="shared" si="37"/>
        <v>8899.39</v>
      </c>
      <c r="N85" s="84">
        <f t="shared" si="37"/>
        <v>28925.3</v>
      </c>
      <c r="O85" s="84">
        <f t="shared" si="37"/>
        <v>29054.86</v>
      </c>
      <c r="P85" s="80">
        <f t="shared" si="9"/>
        <v>84207.42</v>
      </c>
      <c r="Q85" s="84">
        <f t="shared" si="37"/>
        <v>26379.88</v>
      </c>
      <c r="R85" s="84">
        <f t="shared" si="37"/>
        <v>18836</v>
      </c>
      <c r="S85" s="84">
        <f t="shared" si="37"/>
        <v>18292.419999999998</v>
      </c>
      <c r="T85" s="84">
        <f t="shared" si="37"/>
        <v>29012.51</v>
      </c>
      <c r="U85" s="80">
        <f>SUM(U82:U84)</f>
        <v>92520.81</v>
      </c>
      <c r="V85" s="81">
        <f t="shared" si="24"/>
        <v>3.9776902028645519E-2</v>
      </c>
      <c r="W85" s="80">
        <f t="shared" ref="W85:Y85" si="38">SUM(W82:W84)</f>
        <v>11796.41</v>
      </c>
      <c r="X85" s="80">
        <f t="shared" si="38"/>
        <v>8608.0499999999993</v>
      </c>
      <c r="Y85" s="80">
        <f t="shared" si="38"/>
        <v>8608.0499999999993</v>
      </c>
      <c r="Z85" s="17"/>
    </row>
    <row r="86" spans="1:26" x14ac:dyDescent="0.25">
      <c r="A86" s="3" t="s">
        <v>95</v>
      </c>
      <c r="B86" s="5">
        <f>262.83</f>
        <v>262.83</v>
      </c>
      <c r="C86" s="5">
        <f>341.04</f>
        <v>341.04</v>
      </c>
      <c r="D86" s="5">
        <f>1323.68</f>
        <v>1323.68</v>
      </c>
      <c r="E86" s="5">
        <f>3551.39</f>
        <v>3551.39</v>
      </c>
      <c r="F86" s="80">
        <f t="shared" si="7"/>
        <v>5478.9400000000005</v>
      </c>
      <c r="G86" s="80">
        <f>1164.35</f>
        <v>1164.3499999999999</v>
      </c>
      <c r="H86" s="80">
        <f>4143.54</f>
        <v>4143.54</v>
      </c>
      <c r="I86" s="80">
        <f>2314</f>
        <v>2314</v>
      </c>
      <c r="J86" s="80">
        <f>9637.33</f>
        <v>9637.33</v>
      </c>
      <c r="K86" s="80">
        <f t="shared" si="8"/>
        <v>17259.22</v>
      </c>
      <c r="L86" s="80">
        <f>15385.72</f>
        <v>15385.72</v>
      </c>
      <c r="M86" s="80">
        <f>9120.49</f>
        <v>9120.49</v>
      </c>
      <c r="N86" s="80">
        <f>13168.03</f>
        <v>13168.03</v>
      </c>
      <c r="O86" s="80">
        <f>9409.2</f>
        <v>9409.2000000000007</v>
      </c>
      <c r="P86" s="80">
        <f t="shared" si="9"/>
        <v>47083.44</v>
      </c>
      <c r="Q86" s="80">
        <f>6324.72</f>
        <v>6324.72</v>
      </c>
      <c r="R86" s="80">
        <f>11311.74</f>
        <v>11311.74</v>
      </c>
      <c r="S86" s="80">
        <f>9719.12</f>
        <v>9719.1200000000008</v>
      </c>
      <c r="T86" s="80">
        <f t="shared" si="31"/>
        <v>16778.71</v>
      </c>
      <c r="U86" s="80">
        <f t="shared" si="32"/>
        <v>44134.29</v>
      </c>
      <c r="V86" s="81">
        <f t="shared" si="24"/>
        <v>1.8974383486632138E-2</v>
      </c>
      <c r="W86" s="80">
        <v>7571.67</v>
      </c>
      <c r="X86" s="80">
        <v>3202.51</v>
      </c>
      <c r="Y86" s="80">
        <v>6004.53</v>
      </c>
      <c r="Z86" s="17"/>
    </row>
    <row r="87" spans="1:26" x14ac:dyDescent="0.25">
      <c r="A87" s="3" t="s">
        <v>96</v>
      </c>
      <c r="B87" s="5">
        <f>2445.4</f>
        <v>2445.4</v>
      </c>
      <c r="C87" s="5">
        <f>3601.09</f>
        <v>3601.09</v>
      </c>
      <c r="D87" s="5">
        <f>1987.47</f>
        <v>1987.47</v>
      </c>
      <c r="E87" s="5">
        <f>2171.33</f>
        <v>2171.33</v>
      </c>
      <c r="F87" s="80">
        <f t="shared" ref="F87:F135" si="39">SUM(B87:E87)</f>
        <v>10205.290000000001</v>
      </c>
      <c r="G87" s="80">
        <f>2333.64</f>
        <v>2333.64</v>
      </c>
      <c r="H87" s="80">
        <f>1513.76</f>
        <v>1513.76</v>
      </c>
      <c r="I87" s="80">
        <f>605.8</f>
        <v>605.79999999999995</v>
      </c>
      <c r="J87" s="82"/>
      <c r="K87" s="80">
        <f t="shared" ref="K87:K135" si="40">SUM(G87:J87)</f>
        <v>4453.2</v>
      </c>
      <c r="L87" s="82"/>
      <c r="M87" s="82"/>
      <c r="N87" s="82"/>
      <c r="O87" s="80">
        <f>16.8</f>
        <v>16.8</v>
      </c>
      <c r="P87" s="80">
        <f t="shared" ref="P87:P135" si="41">SUM(L87:O87)</f>
        <v>16.8</v>
      </c>
      <c r="Q87" s="80">
        <f>34.84</f>
        <v>34.840000000000003</v>
      </c>
      <c r="R87" s="82"/>
      <c r="S87" s="80">
        <f>316.63</f>
        <v>316.63</v>
      </c>
      <c r="T87" s="80">
        <f t="shared" si="31"/>
        <v>255</v>
      </c>
      <c r="U87" s="80">
        <f t="shared" si="32"/>
        <v>606.47</v>
      </c>
      <c r="V87" s="81">
        <f t="shared" si="24"/>
        <v>2.6073591198901789E-4</v>
      </c>
      <c r="W87" s="80">
        <v>0</v>
      </c>
      <c r="X87" s="80">
        <v>255</v>
      </c>
      <c r="Y87" s="80"/>
      <c r="Z87" s="17"/>
    </row>
    <row r="88" spans="1:26" x14ac:dyDescent="0.25">
      <c r="A88" s="3" t="s">
        <v>97</v>
      </c>
      <c r="B88" s="5">
        <f>2298.01</f>
        <v>2298.0100000000002</v>
      </c>
      <c r="C88" s="5">
        <f>678.82</f>
        <v>678.82</v>
      </c>
      <c r="D88" s="5">
        <f>900.94</f>
        <v>900.94</v>
      </c>
      <c r="E88" s="5">
        <f>1350.08</f>
        <v>1350.08</v>
      </c>
      <c r="F88" s="80">
        <f t="shared" si="39"/>
        <v>5227.8500000000004</v>
      </c>
      <c r="G88" s="80">
        <f>1305.14</f>
        <v>1305.1400000000001</v>
      </c>
      <c r="H88" s="80">
        <f>739.17</f>
        <v>739.17</v>
      </c>
      <c r="I88" s="80">
        <f>2389.14</f>
        <v>2389.14</v>
      </c>
      <c r="J88" s="80">
        <f>2735.92</f>
        <v>2735.92</v>
      </c>
      <c r="K88" s="80">
        <f t="shared" si="40"/>
        <v>7169.37</v>
      </c>
      <c r="L88" s="80">
        <f>2063.14</f>
        <v>2063.14</v>
      </c>
      <c r="M88" s="80">
        <f>5203.09</f>
        <v>5203.09</v>
      </c>
      <c r="N88" s="80">
        <f>5535.16</f>
        <v>5535.16</v>
      </c>
      <c r="O88" s="80">
        <f>3076.92</f>
        <v>3076.92</v>
      </c>
      <c r="P88" s="80">
        <f t="shared" si="41"/>
        <v>15878.31</v>
      </c>
      <c r="Q88" s="80">
        <f>2370.12</f>
        <v>2370.12</v>
      </c>
      <c r="R88" s="80">
        <f>3311.23</f>
        <v>3311.23</v>
      </c>
      <c r="S88" s="80">
        <f>8070.91</f>
        <v>8070.91</v>
      </c>
      <c r="T88" s="83">
        <f t="shared" si="31"/>
        <v>6605.42</v>
      </c>
      <c r="U88" s="83">
        <f t="shared" si="32"/>
        <v>20357.68</v>
      </c>
      <c r="V88" s="81">
        <f t="shared" si="24"/>
        <v>8.7522519840727321E-3</v>
      </c>
      <c r="W88" s="83">
        <v>3574.71</v>
      </c>
      <c r="X88" s="83">
        <v>2069.9499999999998</v>
      </c>
      <c r="Y88" s="83">
        <v>960.76</v>
      </c>
      <c r="Z88" s="17"/>
    </row>
    <row r="89" spans="1:26" x14ac:dyDescent="0.25">
      <c r="A89" s="3" t="s">
        <v>98</v>
      </c>
      <c r="B89" s="6">
        <f t="shared" ref="B89:T89" si="42">((B86)+(B87))+(B88)</f>
        <v>5006.24</v>
      </c>
      <c r="C89" s="6">
        <f t="shared" si="42"/>
        <v>4620.95</v>
      </c>
      <c r="D89" s="6">
        <f t="shared" si="42"/>
        <v>4212.09</v>
      </c>
      <c r="E89" s="6">
        <f t="shared" si="42"/>
        <v>7072.7999999999993</v>
      </c>
      <c r="F89" s="80">
        <f t="shared" si="39"/>
        <v>20912.079999999998</v>
      </c>
      <c r="G89" s="84">
        <f t="shared" si="42"/>
        <v>4803.13</v>
      </c>
      <c r="H89" s="84">
        <f t="shared" si="42"/>
        <v>6396.47</v>
      </c>
      <c r="I89" s="84">
        <f t="shared" si="42"/>
        <v>5308.9400000000005</v>
      </c>
      <c r="J89" s="84">
        <f t="shared" si="42"/>
        <v>12373.25</v>
      </c>
      <c r="K89" s="80">
        <f t="shared" si="40"/>
        <v>28881.79</v>
      </c>
      <c r="L89" s="84">
        <f t="shared" si="42"/>
        <v>17448.86</v>
      </c>
      <c r="M89" s="84">
        <f t="shared" si="42"/>
        <v>14323.58</v>
      </c>
      <c r="N89" s="84">
        <f t="shared" si="42"/>
        <v>18703.190000000002</v>
      </c>
      <c r="O89" s="84">
        <f t="shared" si="42"/>
        <v>12502.92</v>
      </c>
      <c r="P89" s="80">
        <f t="shared" si="41"/>
        <v>62978.55</v>
      </c>
      <c r="Q89" s="84">
        <f t="shared" si="42"/>
        <v>8729.68</v>
      </c>
      <c r="R89" s="84">
        <f t="shared" si="42"/>
        <v>14622.97</v>
      </c>
      <c r="S89" s="84">
        <f t="shared" si="42"/>
        <v>18106.66</v>
      </c>
      <c r="T89" s="84">
        <f t="shared" si="42"/>
        <v>23639.129999999997</v>
      </c>
      <c r="U89" s="80">
        <f>SUM(U86:U88)</f>
        <v>65098.44</v>
      </c>
      <c r="V89" s="81">
        <f t="shared" si="24"/>
        <v>2.7987371382693891E-2</v>
      </c>
      <c r="W89" s="80">
        <f t="shared" ref="W89:Y89" si="43">SUM(W86:W88)</f>
        <v>11146.380000000001</v>
      </c>
      <c r="X89" s="80">
        <f t="shared" si="43"/>
        <v>5527.46</v>
      </c>
      <c r="Y89" s="80">
        <f t="shared" si="43"/>
        <v>6965.29</v>
      </c>
      <c r="Z89" s="17"/>
    </row>
    <row r="90" spans="1:26" x14ac:dyDescent="0.25">
      <c r="A90" s="3" t="s">
        <v>99</v>
      </c>
      <c r="B90" s="5">
        <f>1099.69</f>
        <v>1099.69</v>
      </c>
      <c r="C90" s="5">
        <f>895.91</f>
        <v>895.91</v>
      </c>
      <c r="D90" s="5">
        <f>896</f>
        <v>896</v>
      </c>
      <c r="E90" s="5">
        <f>935.94</f>
        <v>935.94</v>
      </c>
      <c r="F90" s="80">
        <f t="shared" si="39"/>
        <v>3827.54</v>
      </c>
      <c r="G90" s="80">
        <f>1177.07</f>
        <v>1177.07</v>
      </c>
      <c r="H90" s="80">
        <f>813.95</f>
        <v>813.95</v>
      </c>
      <c r="I90" s="80">
        <f>819.04</f>
        <v>819.04</v>
      </c>
      <c r="J90" s="80">
        <f>1956.05</f>
        <v>1956.05</v>
      </c>
      <c r="K90" s="80">
        <f t="shared" si="40"/>
        <v>4766.1099999999997</v>
      </c>
      <c r="L90" s="80">
        <f>3200.75</f>
        <v>3200.75</v>
      </c>
      <c r="M90" s="80">
        <f>3267.64</f>
        <v>3267.64</v>
      </c>
      <c r="N90" s="80">
        <f>3048.02</f>
        <v>3048.02</v>
      </c>
      <c r="O90" s="80">
        <f>2815.31</f>
        <v>2815.31</v>
      </c>
      <c r="P90" s="80">
        <f t="shared" si="41"/>
        <v>12331.72</v>
      </c>
      <c r="Q90" s="80">
        <f>2861.71</f>
        <v>2861.71</v>
      </c>
      <c r="R90" s="80">
        <f>5028.17</f>
        <v>5028.17</v>
      </c>
      <c r="S90" s="80">
        <f>2859.4</f>
        <v>2859.4</v>
      </c>
      <c r="T90" s="80">
        <f t="shared" si="31"/>
        <v>2800.93</v>
      </c>
      <c r="U90" s="80">
        <f t="shared" si="32"/>
        <v>13550.210000000001</v>
      </c>
      <c r="V90" s="81">
        <f t="shared" si="24"/>
        <v>5.8255583326342775E-3</v>
      </c>
      <c r="W90" s="80">
        <v>983.96</v>
      </c>
      <c r="X90" s="80">
        <v>983.05</v>
      </c>
      <c r="Y90" s="80">
        <v>833.92</v>
      </c>
      <c r="Z90" s="17"/>
    </row>
    <row r="91" spans="1:26" x14ac:dyDescent="0.25">
      <c r="A91" s="3" t="s">
        <v>100</v>
      </c>
      <c r="B91" s="4"/>
      <c r="C91" s="4"/>
      <c r="D91" s="4"/>
      <c r="E91" s="4"/>
      <c r="F91" s="80">
        <f t="shared" si="39"/>
        <v>0</v>
      </c>
      <c r="G91" s="82"/>
      <c r="H91" s="82"/>
      <c r="I91" s="82"/>
      <c r="J91" s="82"/>
      <c r="K91" s="80">
        <f t="shared" si="40"/>
        <v>0</v>
      </c>
      <c r="L91" s="82"/>
      <c r="M91" s="82"/>
      <c r="N91" s="82"/>
      <c r="O91" s="82"/>
      <c r="P91" s="80">
        <f t="shared" si="41"/>
        <v>0</v>
      </c>
      <c r="Q91" s="82"/>
      <c r="R91" s="80">
        <f>5489</f>
        <v>5489</v>
      </c>
      <c r="S91" s="82"/>
      <c r="T91" s="80">
        <f t="shared" si="31"/>
        <v>0</v>
      </c>
      <c r="U91" s="80">
        <f t="shared" si="32"/>
        <v>5489</v>
      </c>
      <c r="V91" s="81">
        <f t="shared" si="24"/>
        <v>2.3598519644957199E-3</v>
      </c>
      <c r="W91" s="82"/>
      <c r="X91" s="82"/>
      <c r="Y91" s="82"/>
      <c r="Z91" s="17"/>
    </row>
    <row r="92" spans="1:26" x14ac:dyDescent="0.25">
      <c r="A92" s="3" t="s">
        <v>101</v>
      </c>
      <c r="B92" s="5">
        <f>86.85</f>
        <v>86.85</v>
      </c>
      <c r="C92" s="5">
        <f>89.85</f>
        <v>89.85</v>
      </c>
      <c r="D92" s="5">
        <f>92.92</f>
        <v>92.92</v>
      </c>
      <c r="E92" s="5">
        <f>239.96</f>
        <v>239.96</v>
      </c>
      <c r="F92" s="80">
        <f t="shared" si="39"/>
        <v>509.58000000000004</v>
      </c>
      <c r="G92" s="80">
        <f>408.25</f>
        <v>408.25</v>
      </c>
      <c r="H92" s="80">
        <f>137.85</f>
        <v>137.85</v>
      </c>
      <c r="I92" s="80">
        <f>647.55</f>
        <v>647.54999999999995</v>
      </c>
      <c r="J92" s="80">
        <f>577.78</f>
        <v>577.78</v>
      </c>
      <c r="K92" s="80">
        <f t="shared" si="40"/>
        <v>1771.43</v>
      </c>
      <c r="L92" s="80">
        <f>786.38</f>
        <v>786.38</v>
      </c>
      <c r="M92" s="80">
        <f>465.58</f>
        <v>465.58</v>
      </c>
      <c r="N92" s="80">
        <f>463.58</f>
        <v>463.58</v>
      </c>
      <c r="O92" s="80">
        <f>2899.69</f>
        <v>2899.69</v>
      </c>
      <c r="P92" s="80">
        <f t="shared" si="41"/>
        <v>4615.2299999999996</v>
      </c>
      <c r="Q92" s="80">
        <f>2871.72</f>
        <v>2871.72</v>
      </c>
      <c r="R92" s="80">
        <f>1630.12</f>
        <v>1630.12</v>
      </c>
      <c r="S92" s="80">
        <f>1008.9</f>
        <v>1008.9</v>
      </c>
      <c r="T92" s="80">
        <f t="shared" si="31"/>
        <v>1008.54</v>
      </c>
      <c r="U92" s="80">
        <f t="shared" si="32"/>
        <v>6519.28</v>
      </c>
      <c r="V92" s="81">
        <f t="shared" si="24"/>
        <v>2.8027938996352079E-3</v>
      </c>
      <c r="W92" s="80">
        <v>410.67</v>
      </c>
      <c r="X92" s="80">
        <v>95</v>
      </c>
      <c r="Y92" s="80">
        <v>502.87</v>
      </c>
      <c r="Z92" s="17"/>
    </row>
    <row r="93" spans="1:26" x14ac:dyDescent="0.25">
      <c r="A93" s="3" t="s">
        <v>102</v>
      </c>
      <c r="B93" s="4"/>
      <c r="C93" s="5">
        <f>203.18</f>
        <v>203.18</v>
      </c>
      <c r="D93" s="5">
        <f>30</f>
        <v>30</v>
      </c>
      <c r="E93" s="5">
        <f>36</f>
        <v>36</v>
      </c>
      <c r="F93" s="80">
        <f t="shared" si="39"/>
        <v>269.18</v>
      </c>
      <c r="G93" s="80">
        <f>42</f>
        <v>42</v>
      </c>
      <c r="H93" s="80">
        <f>43.63</f>
        <v>43.63</v>
      </c>
      <c r="I93" s="80">
        <f>27</f>
        <v>27</v>
      </c>
      <c r="J93" s="80">
        <f>21</f>
        <v>21</v>
      </c>
      <c r="K93" s="80">
        <f t="shared" si="40"/>
        <v>133.63</v>
      </c>
      <c r="L93" s="80">
        <f>27</f>
        <v>27</v>
      </c>
      <c r="M93" s="80">
        <f>18</f>
        <v>18</v>
      </c>
      <c r="N93" s="82"/>
      <c r="O93" s="82"/>
      <c r="P93" s="80">
        <f t="shared" si="41"/>
        <v>45</v>
      </c>
      <c r="Q93" s="82"/>
      <c r="R93" s="82"/>
      <c r="S93" s="82"/>
      <c r="T93" s="80">
        <f t="shared" si="31"/>
        <v>0</v>
      </c>
      <c r="U93" s="80">
        <f t="shared" si="32"/>
        <v>0</v>
      </c>
      <c r="V93" s="81">
        <f t="shared" si="24"/>
        <v>0</v>
      </c>
      <c r="W93" s="82"/>
      <c r="X93" s="82"/>
      <c r="Y93" s="82"/>
      <c r="Z93" s="17"/>
    </row>
    <row r="94" spans="1:26" x14ac:dyDescent="0.25">
      <c r="A94" s="3" t="s">
        <v>103</v>
      </c>
      <c r="B94" s="5">
        <f>117.78</f>
        <v>117.78</v>
      </c>
      <c r="C94" s="5">
        <f>232.4</f>
        <v>232.4</v>
      </c>
      <c r="D94" s="5">
        <f>328.81</f>
        <v>328.81</v>
      </c>
      <c r="E94" s="5">
        <f>74.76</f>
        <v>74.760000000000005</v>
      </c>
      <c r="F94" s="80">
        <f t="shared" si="39"/>
        <v>753.75</v>
      </c>
      <c r="G94" s="82"/>
      <c r="H94" s="82"/>
      <c r="I94" s="82"/>
      <c r="J94" s="82"/>
      <c r="K94" s="80">
        <f t="shared" si="40"/>
        <v>0</v>
      </c>
      <c r="L94" s="82"/>
      <c r="M94" s="82"/>
      <c r="N94" s="82"/>
      <c r="O94" s="82"/>
      <c r="P94" s="80">
        <f t="shared" si="41"/>
        <v>0</v>
      </c>
      <c r="Q94" s="82"/>
      <c r="R94" s="82"/>
      <c r="S94" s="82"/>
      <c r="T94" s="80">
        <f t="shared" si="31"/>
        <v>0</v>
      </c>
      <c r="U94" s="80">
        <f t="shared" si="32"/>
        <v>0</v>
      </c>
      <c r="V94" s="81">
        <f t="shared" si="24"/>
        <v>0</v>
      </c>
      <c r="W94" s="82"/>
      <c r="X94" s="82"/>
      <c r="Y94" s="82"/>
      <c r="Z94" s="17"/>
    </row>
    <row r="95" spans="1:26" x14ac:dyDescent="0.25">
      <c r="A95" s="3" t="s">
        <v>104</v>
      </c>
      <c r="B95" s="5">
        <f>18.29</f>
        <v>18.29</v>
      </c>
      <c r="C95" s="5">
        <f>30.39</f>
        <v>30.39</v>
      </c>
      <c r="D95" s="5">
        <f>121.47</f>
        <v>121.47</v>
      </c>
      <c r="E95" s="5">
        <f>5921.89</f>
        <v>5921.89</v>
      </c>
      <c r="F95" s="80">
        <f t="shared" si="39"/>
        <v>6092.04</v>
      </c>
      <c r="G95" s="80">
        <f>20.98</f>
        <v>20.98</v>
      </c>
      <c r="H95" s="80">
        <f>524.86</f>
        <v>524.86</v>
      </c>
      <c r="I95" s="80">
        <f>30.75</f>
        <v>30.75</v>
      </c>
      <c r="J95" s="82"/>
      <c r="K95" s="80">
        <f t="shared" si="40"/>
        <v>576.59</v>
      </c>
      <c r="L95" s="82"/>
      <c r="M95" s="82"/>
      <c r="N95" s="82"/>
      <c r="O95" s="80">
        <f>3495.51</f>
        <v>3495.51</v>
      </c>
      <c r="P95" s="80">
        <f t="shared" si="41"/>
        <v>3495.51</v>
      </c>
      <c r="Q95" s="80">
        <f>1638.22</f>
        <v>1638.22</v>
      </c>
      <c r="R95" s="80">
        <f>942.85</f>
        <v>942.85</v>
      </c>
      <c r="S95" s="80">
        <f>6276.16</f>
        <v>6276.16</v>
      </c>
      <c r="T95" s="80">
        <f t="shared" si="31"/>
        <v>12917.529999999999</v>
      </c>
      <c r="U95" s="80">
        <f t="shared" si="32"/>
        <v>21774.76</v>
      </c>
      <c r="V95" s="81">
        <f t="shared" si="24"/>
        <v>9.3614884609988739E-3</v>
      </c>
      <c r="W95" s="80">
        <v>2329.64</v>
      </c>
      <c r="X95" s="80">
        <v>5640.01</v>
      </c>
      <c r="Y95" s="80">
        <v>4947.88</v>
      </c>
      <c r="Z95" s="17"/>
    </row>
    <row r="96" spans="1:26" x14ac:dyDescent="0.25">
      <c r="A96" s="3" t="s">
        <v>105</v>
      </c>
      <c r="B96" s="4"/>
      <c r="C96" s="4"/>
      <c r="D96" s="4"/>
      <c r="E96" s="4"/>
      <c r="F96" s="80">
        <f t="shared" si="39"/>
        <v>0</v>
      </c>
      <c r="G96" s="82"/>
      <c r="H96" s="82"/>
      <c r="I96" s="80">
        <f>0</f>
        <v>0</v>
      </c>
      <c r="J96" s="82"/>
      <c r="K96" s="80">
        <f t="shared" si="40"/>
        <v>0</v>
      </c>
      <c r="L96" s="82"/>
      <c r="M96" s="82"/>
      <c r="N96" s="82"/>
      <c r="O96" s="82"/>
      <c r="P96" s="80">
        <f t="shared" si="41"/>
        <v>0</v>
      </c>
      <c r="Q96" s="82"/>
      <c r="R96" s="82"/>
      <c r="S96" s="82"/>
      <c r="T96" s="80">
        <f t="shared" si="31"/>
        <v>0</v>
      </c>
      <c r="U96" s="80">
        <f t="shared" si="32"/>
        <v>0</v>
      </c>
      <c r="V96" s="81">
        <f t="shared" si="24"/>
        <v>0</v>
      </c>
      <c r="W96" s="82"/>
      <c r="X96" s="82"/>
      <c r="Y96" s="82"/>
      <c r="Z96" s="17"/>
    </row>
    <row r="97" spans="1:26" x14ac:dyDescent="0.25">
      <c r="A97" s="3" t="s">
        <v>106</v>
      </c>
      <c r="B97" s="5">
        <f>368.17</f>
        <v>368.17</v>
      </c>
      <c r="C97" s="5">
        <f>1629.24</f>
        <v>1629.24</v>
      </c>
      <c r="D97" s="5">
        <f>21.12</f>
        <v>21.12</v>
      </c>
      <c r="E97" s="4"/>
      <c r="F97" s="80">
        <f t="shared" si="39"/>
        <v>2018.53</v>
      </c>
      <c r="G97" s="82"/>
      <c r="H97" s="82"/>
      <c r="I97" s="82"/>
      <c r="J97" s="82"/>
      <c r="K97" s="80">
        <f t="shared" si="40"/>
        <v>0</v>
      </c>
      <c r="L97" s="82"/>
      <c r="M97" s="82"/>
      <c r="N97" s="82"/>
      <c r="O97" s="82"/>
      <c r="P97" s="80">
        <f t="shared" si="41"/>
        <v>0</v>
      </c>
      <c r="Q97" s="82"/>
      <c r="R97" s="82"/>
      <c r="S97" s="82"/>
      <c r="T97" s="80">
        <f t="shared" si="31"/>
        <v>0</v>
      </c>
      <c r="U97" s="80">
        <f t="shared" si="32"/>
        <v>0</v>
      </c>
      <c r="V97" s="81">
        <f t="shared" si="24"/>
        <v>0</v>
      </c>
      <c r="W97" s="82"/>
      <c r="X97" s="82"/>
      <c r="Y97" s="82"/>
      <c r="Z97" s="17"/>
    </row>
    <row r="98" spans="1:26" x14ac:dyDescent="0.25">
      <c r="A98" s="3" t="s">
        <v>107</v>
      </c>
      <c r="B98" s="4"/>
      <c r="C98" s="5">
        <f>291.53</f>
        <v>291.52999999999997</v>
      </c>
      <c r="D98" s="5">
        <f>212.36</f>
        <v>212.36</v>
      </c>
      <c r="E98" s="4"/>
      <c r="F98" s="80">
        <f t="shared" si="39"/>
        <v>503.89</v>
      </c>
      <c r="G98" s="82"/>
      <c r="H98" s="82"/>
      <c r="I98" s="82"/>
      <c r="J98" s="82"/>
      <c r="K98" s="80">
        <f t="shared" si="40"/>
        <v>0</v>
      </c>
      <c r="L98" s="82"/>
      <c r="M98" s="82"/>
      <c r="N98" s="82"/>
      <c r="O98" s="82"/>
      <c r="P98" s="80">
        <f t="shared" si="41"/>
        <v>0</v>
      </c>
      <c r="Q98" s="82"/>
      <c r="R98" s="82"/>
      <c r="S98" s="82"/>
      <c r="T98" s="83">
        <f t="shared" si="31"/>
        <v>0</v>
      </c>
      <c r="U98" s="83">
        <f t="shared" si="32"/>
        <v>0</v>
      </c>
      <c r="V98" s="81">
        <f t="shared" si="24"/>
        <v>0</v>
      </c>
      <c r="W98" s="86"/>
      <c r="X98" s="86"/>
      <c r="Y98" s="86"/>
      <c r="Z98" s="17"/>
    </row>
    <row r="99" spans="1:26" x14ac:dyDescent="0.25">
      <c r="A99" s="3" t="s">
        <v>108</v>
      </c>
      <c r="B99" s="6">
        <f t="shared" ref="B99:T99" si="44">(((((((B91)+(B92))+(B93))+(B94))+(B95))+(B96))+(B97))+(B98)</f>
        <v>591.09</v>
      </c>
      <c r="C99" s="6">
        <f t="shared" si="44"/>
        <v>2476.59</v>
      </c>
      <c r="D99" s="6">
        <f t="shared" si="44"/>
        <v>806.68000000000006</v>
      </c>
      <c r="E99" s="6">
        <f t="shared" si="44"/>
        <v>6272.6100000000006</v>
      </c>
      <c r="F99" s="80">
        <f>SUM(F91:F98)</f>
        <v>10146.969999999999</v>
      </c>
      <c r="G99" s="84">
        <f t="shared" si="44"/>
        <v>471.23</v>
      </c>
      <c r="H99" s="84">
        <f t="shared" si="44"/>
        <v>706.34</v>
      </c>
      <c r="I99" s="84">
        <f t="shared" si="44"/>
        <v>705.3</v>
      </c>
      <c r="J99" s="84">
        <f t="shared" si="44"/>
        <v>598.78</v>
      </c>
      <c r="K99" s="80">
        <f>SUM(K91:K98)</f>
        <v>2481.65</v>
      </c>
      <c r="L99" s="84">
        <f t="shared" si="44"/>
        <v>813.38</v>
      </c>
      <c r="M99" s="84">
        <f t="shared" si="44"/>
        <v>483.58</v>
      </c>
      <c r="N99" s="84">
        <f t="shared" si="44"/>
        <v>463.58</v>
      </c>
      <c r="O99" s="84">
        <f t="shared" si="44"/>
        <v>6395.2000000000007</v>
      </c>
      <c r="P99" s="80">
        <f>SUM(P91:P98)</f>
        <v>8155.74</v>
      </c>
      <c r="Q99" s="84">
        <f t="shared" si="44"/>
        <v>4509.9399999999996</v>
      </c>
      <c r="R99" s="84">
        <f t="shared" si="44"/>
        <v>8061.97</v>
      </c>
      <c r="S99" s="84">
        <f t="shared" si="44"/>
        <v>7285.0599999999995</v>
      </c>
      <c r="T99" s="84">
        <f t="shared" si="44"/>
        <v>13926.07</v>
      </c>
      <c r="U99" s="80">
        <f>SUM(U91:U98)</f>
        <v>33783.039999999994</v>
      </c>
      <c r="V99" s="81">
        <f t="shared" si="24"/>
        <v>1.4524134325129799E-2</v>
      </c>
      <c r="W99" s="80">
        <f t="shared" ref="W99:Y99" si="45">SUM(W91:W98)</f>
        <v>2740.31</v>
      </c>
      <c r="X99" s="80">
        <f t="shared" si="45"/>
        <v>5735.01</v>
      </c>
      <c r="Y99" s="80">
        <f t="shared" si="45"/>
        <v>5450.75</v>
      </c>
      <c r="Z99" s="17"/>
    </row>
    <row r="100" spans="1:26" x14ac:dyDescent="0.25">
      <c r="A100" s="3" t="s">
        <v>109</v>
      </c>
      <c r="B100" s="5">
        <f>4497.08</f>
        <v>4497.08</v>
      </c>
      <c r="C100" s="5">
        <f>844.68</f>
        <v>844.68</v>
      </c>
      <c r="D100" s="5">
        <f>2705.81</f>
        <v>2705.81</v>
      </c>
      <c r="E100" s="5">
        <f>1019.05</f>
        <v>1019.05</v>
      </c>
      <c r="F100" s="80">
        <f t="shared" si="39"/>
        <v>9066.619999999999</v>
      </c>
      <c r="G100" s="80">
        <f>3642.93</f>
        <v>3642.93</v>
      </c>
      <c r="H100" s="80">
        <f>2264.05</f>
        <v>2264.0500000000002</v>
      </c>
      <c r="I100" s="80">
        <f>3223.32</f>
        <v>3223.32</v>
      </c>
      <c r="J100" s="80">
        <f>702.59</f>
        <v>702.59</v>
      </c>
      <c r="K100" s="80">
        <f t="shared" si="40"/>
        <v>9832.89</v>
      </c>
      <c r="L100" s="80">
        <f>4118.5</f>
        <v>4118.5</v>
      </c>
      <c r="M100" s="80">
        <f>1614.07</f>
        <v>1614.07</v>
      </c>
      <c r="N100" s="80">
        <f>5920.43</f>
        <v>5920.43</v>
      </c>
      <c r="O100" s="80">
        <f>1577.97</f>
        <v>1577.97</v>
      </c>
      <c r="P100" s="80">
        <f t="shared" si="41"/>
        <v>13230.97</v>
      </c>
      <c r="Q100" s="80">
        <f>4003.7</f>
        <v>4003.7</v>
      </c>
      <c r="R100" s="80">
        <f>4951.06</f>
        <v>4951.0600000000004</v>
      </c>
      <c r="S100" s="80">
        <f>5337.94</f>
        <v>5337.94</v>
      </c>
      <c r="T100" s="80">
        <f t="shared" si="31"/>
        <v>6193</v>
      </c>
      <c r="U100" s="80">
        <f t="shared" si="32"/>
        <v>20485.7</v>
      </c>
      <c r="V100" s="81">
        <f t="shared" si="24"/>
        <v>8.8072908342266294E-3</v>
      </c>
      <c r="W100" s="80">
        <v>1963.5</v>
      </c>
      <c r="X100" s="80">
        <v>2314.69</v>
      </c>
      <c r="Y100" s="80">
        <v>1914.81</v>
      </c>
      <c r="Z100" s="17"/>
    </row>
    <row r="101" spans="1:26" x14ac:dyDescent="0.25">
      <c r="A101" s="3" t="s">
        <v>110</v>
      </c>
      <c r="B101" s="4"/>
      <c r="C101" s="4"/>
      <c r="D101" s="4"/>
      <c r="E101" s="4"/>
      <c r="F101" s="80">
        <f t="shared" si="39"/>
        <v>0</v>
      </c>
      <c r="G101" s="82"/>
      <c r="H101" s="82"/>
      <c r="I101" s="80">
        <f>87.65</f>
        <v>87.65</v>
      </c>
      <c r="J101" s="80">
        <f>1302.65</f>
        <v>1302.6500000000001</v>
      </c>
      <c r="K101" s="80">
        <f t="shared" si="40"/>
        <v>1390.3000000000002</v>
      </c>
      <c r="L101" s="80">
        <f>1250.58</f>
        <v>1250.58</v>
      </c>
      <c r="M101" s="80">
        <f>1255.95</f>
        <v>1255.95</v>
      </c>
      <c r="N101" s="80">
        <f>1290.99</f>
        <v>1290.99</v>
      </c>
      <c r="O101" s="80">
        <f>1311.54</f>
        <v>1311.54</v>
      </c>
      <c r="P101" s="80">
        <f t="shared" si="41"/>
        <v>5109.0599999999995</v>
      </c>
      <c r="Q101" s="80">
        <f>1323.26</f>
        <v>1323.26</v>
      </c>
      <c r="R101" s="80">
        <f>2048.34</f>
        <v>2048.34</v>
      </c>
      <c r="S101" s="80">
        <f>682.38</f>
        <v>682.38</v>
      </c>
      <c r="T101" s="80">
        <f t="shared" si="31"/>
        <v>1090.5899999999999</v>
      </c>
      <c r="U101" s="80">
        <f t="shared" si="32"/>
        <v>5144.5700000000006</v>
      </c>
      <c r="V101" s="81">
        <f t="shared" si="24"/>
        <v>2.2117732958618595E-3</v>
      </c>
      <c r="W101" s="80"/>
      <c r="X101" s="80">
        <v>727.06</v>
      </c>
      <c r="Y101" s="80">
        <v>363.53</v>
      </c>
      <c r="Z101" s="17"/>
    </row>
    <row r="102" spans="1:26" x14ac:dyDescent="0.25">
      <c r="A102" s="3" t="s">
        <v>111</v>
      </c>
      <c r="B102" s="5">
        <f>1760.5</f>
        <v>1760.5</v>
      </c>
      <c r="C102" s="5">
        <f>1334.5</f>
        <v>1334.5</v>
      </c>
      <c r="D102" s="5">
        <f>895.9</f>
        <v>895.9</v>
      </c>
      <c r="E102" s="5">
        <f>3776.08</f>
        <v>3776.08</v>
      </c>
      <c r="F102" s="80">
        <f t="shared" si="39"/>
        <v>7766.98</v>
      </c>
      <c r="G102" s="80">
        <f>2561.4</f>
        <v>2561.4</v>
      </c>
      <c r="H102" s="80">
        <f>2168.09</f>
        <v>2168.09</v>
      </c>
      <c r="I102" s="80">
        <f>1353.83</f>
        <v>1353.83</v>
      </c>
      <c r="J102" s="80">
        <f>1943.27</f>
        <v>1943.27</v>
      </c>
      <c r="K102" s="80">
        <f t="shared" si="40"/>
        <v>8026.59</v>
      </c>
      <c r="L102" s="80">
        <f>2499.97</f>
        <v>2499.9699999999998</v>
      </c>
      <c r="M102" s="80">
        <f>3252.72</f>
        <v>3252.72</v>
      </c>
      <c r="N102" s="80">
        <f>1290.04</f>
        <v>1290.04</v>
      </c>
      <c r="O102" s="80">
        <f>7276.36</f>
        <v>7276.36</v>
      </c>
      <c r="P102" s="80">
        <f t="shared" si="41"/>
        <v>14319.09</v>
      </c>
      <c r="Q102" s="80">
        <f>4106.08</f>
        <v>4106.08</v>
      </c>
      <c r="R102" s="80">
        <f>3159.07</f>
        <v>3159.07</v>
      </c>
      <c r="S102" s="80">
        <f>1141.99</f>
        <v>1141.99</v>
      </c>
      <c r="T102" s="80">
        <f t="shared" si="31"/>
        <v>2760.81</v>
      </c>
      <c r="U102" s="80">
        <f t="shared" si="32"/>
        <v>11167.949999999999</v>
      </c>
      <c r="V102" s="81">
        <f t="shared" si="24"/>
        <v>4.8013679626325327E-3</v>
      </c>
      <c r="W102" s="80">
        <v>920.27</v>
      </c>
      <c r="X102" s="80">
        <v>920.27</v>
      </c>
      <c r="Y102" s="80">
        <v>920.27</v>
      </c>
      <c r="Z102" s="17"/>
    </row>
    <row r="103" spans="1:26" x14ac:dyDescent="0.25">
      <c r="A103" s="3" t="s">
        <v>112</v>
      </c>
      <c r="B103" s="4"/>
      <c r="C103" s="5">
        <f>20</f>
        <v>20</v>
      </c>
      <c r="D103" s="4"/>
      <c r="E103" s="4"/>
      <c r="F103" s="80">
        <f t="shared" si="39"/>
        <v>20</v>
      </c>
      <c r="G103" s="82"/>
      <c r="H103" s="80">
        <f>201.31</f>
        <v>201.31</v>
      </c>
      <c r="I103" s="82"/>
      <c r="J103" s="82"/>
      <c r="K103" s="80">
        <f t="shared" si="40"/>
        <v>201.31</v>
      </c>
      <c r="L103" s="82"/>
      <c r="M103" s="82"/>
      <c r="N103" s="82"/>
      <c r="O103" s="82"/>
      <c r="P103" s="80">
        <f t="shared" si="41"/>
        <v>0</v>
      </c>
      <c r="Q103" s="82"/>
      <c r="R103" s="82"/>
      <c r="S103" s="82"/>
      <c r="T103" s="80">
        <f t="shared" si="31"/>
        <v>0</v>
      </c>
      <c r="U103" s="80">
        <f t="shared" si="32"/>
        <v>0</v>
      </c>
      <c r="V103" s="81">
        <f t="shared" si="24"/>
        <v>0</v>
      </c>
      <c r="W103" s="82"/>
      <c r="X103" s="82"/>
      <c r="Y103" s="82"/>
      <c r="Z103" s="17"/>
    </row>
    <row r="104" spans="1:26" x14ac:dyDescent="0.25">
      <c r="A104" s="3" t="s">
        <v>113</v>
      </c>
      <c r="B104" s="5">
        <f>531.06</f>
        <v>531.05999999999995</v>
      </c>
      <c r="C104" s="5">
        <f>3186.36</f>
        <v>3186.36</v>
      </c>
      <c r="D104" s="5">
        <f>1593.18</f>
        <v>1593.18</v>
      </c>
      <c r="E104" s="5">
        <f>1663.96</f>
        <v>1663.96</v>
      </c>
      <c r="F104" s="80">
        <f t="shared" si="39"/>
        <v>6974.56</v>
      </c>
      <c r="G104" s="80">
        <f>2106.44</f>
        <v>2106.44</v>
      </c>
      <c r="H104" s="80">
        <f>2708.28</f>
        <v>2708.28</v>
      </c>
      <c r="I104" s="80">
        <f>2708.28</f>
        <v>2708.28</v>
      </c>
      <c r="J104" s="80">
        <f>2652.58</f>
        <v>2652.58</v>
      </c>
      <c r="K104" s="80">
        <f t="shared" si="40"/>
        <v>10175.58</v>
      </c>
      <c r="L104" s="80">
        <f>327.57</f>
        <v>327.57</v>
      </c>
      <c r="M104" s="80">
        <f>0.09</f>
        <v>0.09</v>
      </c>
      <c r="N104" s="80">
        <f>0.09</f>
        <v>0.09</v>
      </c>
      <c r="O104" s="80">
        <f>2183.79</f>
        <v>2183.79</v>
      </c>
      <c r="P104" s="80">
        <f t="shared" si="41"/>
        <v>2511.54</v>
      </c>
      <c r="Q104" s="80">
        <f>4626.48</f>
        <v>4626.4799999999996</v>
      </c>
      <c r="R104" s="80">
        <f>4626.48</f>
        <v>4626.4799999999996</v>
      </c>
      <c r="S104" s="80">
        <f>4626.48</f>
        <v>4626.4799999999996</v>
      </c>
      <c r="T104" s="83">
        <f t="shared" si="31"/>
        <v>3084.32</v>
      </c>
      <c r="U104" s="83">
        <f t="shared" si="32"/>
        <v>16963.759999999998</v>
      </c>
      <c r="V104" s="81">
        <f t="shared" si="24"/>
        <v>7.2931248608551482E-3</v>
      </c>
      <c r="W104" s="83">
        <v>1542.16</v>
      </c>
      <c r="X104" s="83">
        <v>1542.16</v>
      </c>
      <c r="Y104" s="83"/>
      <c r="Z104" s="17"/>
    </row>
    <row r="105" spans="1:26" x14ac:dyDescent="0.25">
      <c r="A105" s="3" t="s">
        <v>114</v>
      </c>
      <c r="B105" s="6">
        <f t="shared" ref="B105:T105" si="46">(((B101)+(B102))+(B103))+(B104)</f>
        <v>2291.56</v>
      </c>
      <c r="C105" s="6">
        <f t="shared" si="46"/>
        <v>4540.8600000000006</v>
      </c>
      <c r="D105" s="6">
        <f t="shared" si="46"/>
        <v>2489.08</v>
      </c>
      <c r="E105" s="6">
        <f t="shared" si="46"/>
        <v>5440.04</v>
      </c>
      <c r="F105" s="80">
        <f t="shared" si="39"/>
        <v>14761.54</v>
      </c>
      <c r="G105" s="84">
        <f t="shared" si="46"/>
        <v>4667.84</v>
      </c>
      <c r="H105" s="84">
        <f t="shared" si="46"/>
        <v>5077.68</v>
      </c>
      <c r="I105" s="84">
        <f t="shared" si="46"/>
        <v>4149.76</v>
      </c>
      <c r="J105" s="84">
        <f t="shared" si="46"/>
        <v>5898.5</v>
      </c>
      <c r="K105" s="80">
        <f t="shared" si="40"/>
        <v>19793.78</v>
      </c>
      <c r="L105" s="84">
        <f t="shared" si="46"/>
        <v>4078.12</v>
      </c>
      <c r="M105" s="84">
        <f t="shared" si="46"/>
        <v>4508.76</v>
      </c>
      <c r="N105" s="84">
        <f t="shared" si="46"/>
        <v>2581.12</v>
      </c>
      <c r="O105" s="84">
        <f t="shared" si="46"/>
        <v>10771.689999999999</v>
      </c>
      <c r="P105" s="80">
        <f t="shared" si="41"/>
        <v>21939.69</v>
      </c>
      <c r="Q105" s="84">
        <f t="shared" si="46"/>
        <v>10055.82</v>
      </c>
      <c r="R105" s="84">
        <f t="shared" si="46"/>
        <v>9833.89</v>
      </c>
      <c r="S105" s="84">
        <f t="shared" si="46"/>
        <v>6450.8499999999995</v>
      </c>
      <c r="T105" s="84">
        <f t="shared" si="46"/>
        <v>6935.7199999999993</v>
      </c>
      <c r="U105" s="80">
        <f>SUM(U101:U104)</f>
        <v>33276.28</v>
      </c>
      <c r="V105" s="81">
        <f t="shared" si="24"/>
        <v>1.4306266119349542E-2</v>
      </c>
      <c r="W105" s="80">
        <f t="shared" ref="W105:Y105" si="47">SUM(W101:W104)</f>
        <v>2462.4300000000003</v>
      </c>
      <c r="X105" s="80">
        <f t="shared" si="47"/>
        <v>3189.49</v>
      </c>
      <c r="Y105" s="80">
        <f t="shared" si="47"/>
        <v>1283.8</v>
      </c>
      <c r="Z105" s="17"/>
    </row>
    <row r="106" spans="1:26" x14ac:dyDescent="0.25">
      <c r="A106" s="3" t="s">
        <v>115</v>
      </c>
      <c r="B106" s="4"/>
      <c r="C106" s="5">
        <f>137.5</f>
        <v>137.5</v>
      </c>
      <c r="D106" s="5">
        <f>5650</f>
        <v>5650</v>
      </c>
      <c r="E106" s="5">
        <f>3005.82</f>
        <v>3005.82</v>
      </c>
      <c r="F106" s="80">
        <f t="shared" si="39"/>
        <v>8793.32</v>
      </c>
      <c r="G106" s="82"/>
      <c r="H106" s="80">
        <f>5301.86</f>
        <v>5301.86</v>
      </c>
      <c r="I106" s="80">
        <f>10922.5</f>
        <v>10922.5</v>
      </c>
      <c r="J106" s="80">
        <f>-1582.45</f>
        <v>-1582.45</v>
      </c>
      <c r="K106" s="80">
        <f t="shared" si="40"/>
        <v>14641.91</v>
      </c>
      <c r="L106" s="80">
        <f>2415.78</f>
        <v>2415.7800000000002</v>
      </c>
      <c r="M106" s="80">
        <f>5446.95</f>
        <v>5446.95</v>
      </c>
      <c r="N106" s="80">
        <f>15839.97</f>
        <v>15839.97</v>
      </c>
      <c r="O106" s="80">
        <f>2286.98</f>
        <v>2286.98</v>
      </c>
      <c r="P106" s="80">
        <f t="shared" si="41"/>
        <v>25989.679999999997</v>
      </c>
      <c r="Q106" s="80">
        <f>1557</f>
        <v>1557</v>
      </c>
      <c r="R106" s="80">
        <f>1232</f>
        <v>1232</v>
      </c>
      <c r="S106" s="80">
        <f>4093</f>
        <v>4093</v>
      </c>
      <c r="T106" s="80">
        <f t="shared" si="31"/>
        <v>12384.98</v>
      </c>
      <c r="U106" s="80">
        <f t="shared" si="32"/>
        <v>19266.98</v>
      </c>
      <c r="V106" s="81">
        <f t="shared" si="24"/>
        <v>8.2833340504463015E-3</v>
      </c>
      <c r="W106" s="80">
        <v>3805</v>
      </c>
      <c r="X106" s="80">
        <v>4439.99</v>
      </c>
      <c r="Y106" s="80">
        <v>4139.99</v>
      </c>
      <c r="Z106" s="17"/>
    </row>
    <row r="107" spans="1:26" x14ac:dyDescent="0.25">
      <c r="A107" s="3" t="s">
        <v>116</v>
      </c>
      <c r="B107" s="5">
        <f>284.56</f>
        <v>284.56</v>
      </c>
      <c r="C107" s="5">
        <f>2056.4</f>
        <v>2056.4</v>
      </c>
      <c r="D107" s="5">
        <f>220.11</f>
        <v>220.11</v>
      </c>
      <c r="E107" s="5">
        <f>404.98</f>
        <v>404.98</v>
      </c>
      <c r="F107" s="80">
        <f t="shared" si="39"/>
        <v>2966.05</v>
      </c>
      <c r="G107" s="82"/>
      <c r="H107" s="80">
        <f>76.2</f>
        <v>76.2</v>
      </c>
      <c r="I107" s="80">
        <f>2.05</f>
        <v>2.0499999999999998</v>
      </c>
      <c r="J107" s="80">
        <f>2964.13</f>
        <v>2964.13</v>
      </c>
      <c r="K107" s="80">
        <f t="shared" si="40"/>
        <v>3042.38</v>
      </c>
      <c r="L107" s="80">
        <f>15235.32</f>
        <v>15235.32</v>
      </c>
      <c r="M107" s="82"/>
      <c r="N107" s="80">
        <f>6504.81</f>
        <v>6504.81</v>
      </c>
      <c r="O107" s="80">
        <f>267.43</f>
        <v>267.43</v>
      </c>
      <c r="P107" s="80">
        <f t="shared" si="41"/>
        <v>22007.56</v>
      </c>
      <c r="Q107" s="80">
        <f>2319.65</f>
        <v>2319.65</v>
      </c>
      <c r="R107" s="80">
        <f>540.23</f>
        <v>540.23</v>
      </c>
      <c r="S107" s="80">
        <f>6401.74</f>
        <v>6401.74</v>
      </c>
      <c r="T107" s="80">
        <f t="shared" si="31"/>
        <v>0</v>
      </c>
      <c r="U107" s="80">
        <f t="shared" si="32"/>
        <v>9261.619999999999</v>
      </c>
      <c r="V107" s="81">
        <f t="shared" si="24"/>
        <v>3.9817912463860168E-3</v>
      </c>
      <c r="W107" s="80"/>
      <c r="X107" s="80"/>
      <c r="Y107" s="80"/>
      <c r="Z107" s="17"/>
    </row>
    <row r="108" spans="1:26" x14ac:dyDescent="0.25">
      <c r="A108" s="3" t="s">
        <v>117</v>
      </c>
      <c r="B108" s="5">
        <f>21905.94</f>
        <v>21905.94</v>
      </c>
      <c r="C108" s="5">
        <f>34174.66</f>
        <v>34174.660000000003</v>
      </c>
      <c r="D108" s="5">
        <f>33466</f>
        <v>33466</v>
      </c>
      <c r="E108" s="5">
        <f>52905.85</f>
        <v>52905.85</v>
      </c>
      <c r="F108" s="80">
        <f t="shared" si="39"/>
        <v>142452.45000000001</v>
      </c>
      <c r="G108" s="80">
        <f>53809.26</f>
        <v>53809.26</v>
      </c>
      <c r="H108" s="82"/>
      <c r="I108" s="80">
        <f>1915.16</f>
        <v>1915.16</v>
      </c>
      <c r="J108" s="80">
        <f>1804.44</f>
        <v>1804.44</v>
      </c>
      <c r="K108" s="80">
        <f t="shared" si="40"/>
        <v>57528.860000000008</v>
      </c>
      <c r="L108" s="80">
        <f>61.25</f>
        <v>61.25</v>
      </c>
      <c r="M108" s="80">
        <f>1469.5</f>
        <v>1469.5</v>
      </c>
      <c r="N108" s="80">
        <f>1401.11</f>
        <v>1401.11</v>
      </c>
      <c r="O108" s="80">
        <f>15300.35</f>
        <v>15300.35</v>
      </c>
      <c r="P108" s="80">
        <f t="shared" si="41"/>
        <v>18232.21</v>
      </c>
      <c r="Q108" s="80">
        <f>17026.35</f>
        <v>17026.349999999999</v>
      </c>
      <c r="R108" s="80">
        <f>19560.25</f>
        <v>19560.25</v>
      </c>
      <c r="S108" s="80">
        <f>20833.55</f>
        <v>20833.55</v>
      </c>
      <c r="T108" s="80">
        <f t="shared" si="31"/>
        <v>34645.85</v>
      </c>
      <c r="U108" s="80">
        <f t="shared" si="32"/>
        <v>92066</v>
      </c>
      <c r="V108" s="81">
        <f t="shared" si="24"/>
        <v>3.9581368366417007E-2</v>
      </c>
      <c r="W108" s="80">
        <v>12737.59</v>
      </c>
      <c r="X108" s="80">
        <v>13272.48</v>
      </c>
      <c r="Y108" s="80">
        <v>8635.7800000000007</v>
      </c>
      <c r="Z108" s="17"/>
    </row>
    <row r="109" spans="1:26" x14ac:dyDescent="0.25">
      <c r="A109" s="3" t="s">
        <v>118</v>
      </c>
      <c r="B109" s="4"/>
      <c r="C109" s="4"/>
      <c r="D109" s="4"/>
      <c r="E109" s="4"/>
      <c r="F109" s="80">
        <f t="shared" si="39"/>
        <v>0</v>
      </c>
      <c r="G109" s="82"/>
      <c r="H109" s="80">
        <f>4422.87</f>
        <v>4422.87</v>
      </c>
      <c r="I109" s="80">
        <f>5130.86</f>
        <v>5130.8599999999997</v>
      </c>
      <c r="J109" s="80">
        <f>8962.73</f>
        <v>8962.73</v>
      </c>
      <c r="K109" s="80">
        <f t="shared" si="40"/>
        <v>18516.46</v>
      </c>
      <c r="L109" s="80">
        <f>9420.93</f>
        <v>9420.93</v>
      </c>
      <c r="M109" s="80">
        <f>8813.25</f>
        <v>8813.25</v>
      </c>
      <c r="N109" s="80">
        <f>7107.98</f>
        <v>7107.98</v>
      </c>
      <c r="O109" s="80">
        <f>7454.19</f>
        <v>7454.19</v>
      </c>
      <c r="P109" s="80">
        <f t="shared" si="41"/>
        <v>32796.35</v>
      </c>
      <c r="Q109" s="80">
        <f>7854.57</f>
        <v>7854.57</v>
      </c>
      <c r="R109" s="80">
        <f>5685.44</f>
        <v>5685.44</v>
      </c>
      <c r="S109" s="80">
        <f>8563.9</f>
        <v>8563.9</v>
      </c>
      <c r="T109" s="80">
        <f t="shared" si="31"/>
        <v>8924.0499999999993</v>
      </c>
      <c r="U109" s="80">
        <f t="shared" si="32"/>
        <v>31027.959999999995</v>
      </c>
      <c r="V109" s="81">
        <f t="shared" si="24"/>
        <v>1.3339659748641758E-2</v>
      </c>
      <c r="W109" s="80">
        <v>2611.87</v>
      </c>
      <c r="X109" s="80">
        <v>3148.3</v>
      </c>
      <c r="Y109" s="80">
        <v>3163.88</v>
      </c>
      <c r="Z109" s="17"/>
    </row>
    <row r="110" spans="1:26" x14ac:dyDescent="0.25">
      <c r="A110" s="3" t="s">
        <v>119</v>
      </c>
      <c r="B110" s="4"/>
      <c r="C110" s="4"/>
      <c r="D110" s="4"/>
      <c r="E110" s="4"/>
      <c r="F110" s="80">
        <f t="shared" si="39"/>
        <v>0</v>
      </c>
      <c r="G110" s="82"/>
      <c r="H110" s="80">
        <f>41370</f>
        <v>41370</v>
      </c>
      <c r="I110" s="80">
        <f>53900.17</f>
        <v>53900.17</v>
      </c>
      <c r="J110" s="80">
        <f>121494.07</f>
        <v>121494.07</v>
      </c>
      <c r="K110" s="80">
        <f t="shared" si="40"/>
        <v>216764.24</v>
      </c>
      <c r="L110" s="80">
        <f>108202.87</f>
        <v>108202.87</v>
      </c>
      <c r="M110" s="80">
        <f>90753.96</f>
        <v>90753.96</v>
      </c>
      <c r="N110" s="80">
        <f>93896.94</f>
        <v>93896.94</v>
      </c>
      <c r="O110" s="80">
        <f>98423.39</f>
        <v>98423.39</v>
      </c>
      <c r="P110" s="80">
        <f t="shared" si="41"/>
        <v>391277.16000000003</v>
      </c>
      <c r="Q110" s="80">
        <f>91276.55</f>
        <v>91276.55</v>
      </c>
      <c r="R110" s="80">
        <f>84874.36</f>
        <v>84874.36</v>
      </c>
      <c r="S110" s="80">
        <f>114609.99</f>
        <v>114609.99</v>
      </c>
      <c r="T110" s="83">
        <f t="shared" si="31"/>
        <v>119543.86</v>
      </c>
      <c r="U110" s="83">
        <f t="shared" si="32"/>
        <v>410304.76</v>
      </c>
      <c r="V110" s="81">
        <f t="shared" si="24"/>
        <v>0.17639979849297593</v>
      </c>
      <c r="W110" s="83">
        <v>34904.78</v>
      </c>
      <c r="X110" s="83">
        <v>42203.69</v>
      </c>
      <c r="Y110" s="83">
        <v>42435.39</v>
      </c>
      <c r="Z110" s="17"/>
    </row>
    <row r="111" spans="1:26" x14ac:dyDescent="0.25">
      <c r="A111" s="3" t="s">
        <v>120</v>
      </c>
      <c r="B111" s="6">
        <f t="shared" ref="B111:T111" si="48">(((((((((((B81)+(B85))+(B89))+(B90))+(B99))+(B100))+(B105))+(B106))+(B107))+(B108))+(B109))+(B110)</f>
        <v>43546.41</v>
      </c>
      <c r="C111" s="6">
        <f t="shared" si="48"/>
        <v>58027.820000000007</v>
      </c>
      <c r="D111" s="6">
        <f t="shared" si="48"/>
        <v>62055.950000000004</v>
      </c>
      <c r="E111" s="6">
        <f t="shared" si="48"/>
        <v>87297.09</v>
      </c>
      <c r="F111" s="80">
        <f t="shared" si="39"/>
        <v>250927.27000000002</v>
      </c>
      <c r="G111" s="84">
        <f t="shared" si="48"/>
        <v>76251.460000000006</v>
      </c>
      <c r="H111" s="84">
        <f t="shared" si="48"/>
        <v>71681.42</v>
      </c>
      <c r="I111" s="84">
        <f t="shared" si="48"/>
        <v>97468.3</v>
      </c>
      <c r="J111" s="84">
        <f t="shared" si="48"/>
        <v>162933.37</v>
      </c>
      <c r="K111" s="80">
        <f t="shared" si="40"/>
        <v>408334.55</v>
      </c>
      <c r="L111" s="84">
        <f t="shared" si="48"/>
        <v>182323.63</v>
      </c>
      <c r="M111" s="84">
        <f t="shared" si="48"/>
        <v>139580.68</v>
      </c>
      <c r="N111" s="84">
        <f t="shared" si="48"/>
        <v>184392.45</v>
      </c>
      <c r="O111" s="84">
        <f t="shared" si="48"/>
        <v>186850.29</v>
      </c>
      <c r="P111" s="80">
        <f t="shared" si="41"/>
        <v>693147.05</v>
      </c>
      <c r="Q111" s="84">
        <f t="shared" si="48"/>
        <v>176574.84999999998</v>
      </c>
      <c r="R111" s="84">
        <f t="shared" si="48"/>
        <v>190110.96</v>
      </c>
      <c r="S111" s="84">
        <f t="shared" si="48"/>
        <v>212834.51</v>
      </c>
      <c r="T111" s="84">
        <f t="shared" si="48"/>
        <v>258006.09999999998</v>
      </c>
      <c r="U111" s="80">
        <f>U81+U85+U89+U90+U99+U100+U105+U106+U107+U108+U109+U110</f>
        <v>837526.41999999993</v>
      </c>
      <c r="V111" s="81">
        <f t="shared" ref="V111:V135" si="49">U111/U$45</f>
        <v>0.36007257561560707</v>
      </c>
      <c r="W111" s="80">
        <f t="shared" ref="W111:Y111" si="50">W81+W85+W89+W90+W99+W100+W105+W106+W107+W108+W109+W110</f>
        <v>85152.23000000001</v>
      </c>
      <c r="X111" s="80">
        <f t="shared" si="50"/>
        <v>89422.21</v>
      </c>
      <c r="Y111" s="80">
        <f t="shared" si="50"/>
        <v>83431.66</v>
      </c>
      <c r="Z111" s="17"/>
    </row>
    <row r="112" spans="1:26" x14ac:dyDescent="0.25">
      <c r="A112" s="3" t="s">
        <v>121</v>
      </c>
      <c r="B112" s="4"/>
      <c r="C112" s="5">
        <f>526.56</f>
        <v>526.55999999999995</v>
      </c>
      <c r="D112" s="5">
        <f>29.14</f>
        <v>29.14</v>
      </c>
      <c r="E112" s="5">
        <f>96.72</f>
        <v>96.72</v>
      </c>
      <c r="F112" s="80">
        <f t="shared" si="39"/>
        <v>652.41999999999996</v>
      </c>
      <c r="G112" s="80">
        <f>5264.78</f>
        <v>5264.78</v>
      </c>
      <c r="H112" s="80">
        <f>0.2</f>
        <v>0.2</v>
      </c>
      <c r="I112" s="80">
        <f>1472.85</f>
        <v>1472.85</v>
      </c>
      <c r="J112" s="82"/>
      <c r="K112" s="80">
        <f t="shared" si="40"/>
        <v>6737.83</v>
      </c>
      <c r="L112" s="82"/>
      <c r="M112" s="82"/>
      <c r="N112" s="82"/>
      <c r="O112" s="82"/>
      <c r="P112" s="80">
        <f t="shared" si="41"/>
        <v>0</v>
      </c>
      <c r="Q112" s="82"/>
      <c r="R112" s="82"/>
      <c r="S112" s="82"/>
      <c r="T112" s="80">
        <f t="shared" si="31"/>
        <v>0</v>
      </c>
      <c r="U112" s="80">
        <f t="shared" si="32"/>
        <v>0</v>
      </c>
      <c r="V112" s="81">
        <f t="shared" si="49"/>
        <v>0</v>
      </c>
      <c r="W112" s="82"/>
      <c r="X112" s="82"/>
      <c r="Y112" s="82"/>
      <c r="Z112" s="17"/>
    </row>
    <row r="113" spans="1:26" x14ac:dyDescent="0.25">
      <c r="A113" s="3" t="s">
        <v>122</v>
      </c>
      <c r="B113" s="5">
        <f>2401.47</f>
        <v>2401.4699999999998</v>
      </c>
      <c r="C113" s="5">
        <f>1952.33</f>
        <v>1952.33</v>
      </c>
      <c r="D113" s="5">
        <f>3187.98</f>
        <v>3187.98</v>
      </c>
      <c r="E113" s="5">
        <f>2649.61</f>
        <v>2649.61</v>
      </c>
      <c r="F113" s="80">
        <f t="shared" si="39"/>
        <v>10191.39</v>
      </c>
      <c r="G113" s="80">
        <f>4065.8</f>
        <v>4065.8</v>
      </c>
      <c r="H113" s="80">
        <f>590.58</f>
        <v>590.58000000000004</v>
      </c>
      <c r="I113" s="80">
        <f>1107.87</f>
        <v>1107.8699999999999</v>
      </c>
      <c r="J113" s="80">
        <f>1149.58</f>
        <v>1149.58</v>
      </c>
      <c r="K113" s="80">
        <f t="shared" si="40"/>
        <v>6913.83</v>
      </c>
      <c r="L113" s="80">
        <f>1298.19</f>
        <v>1298.19</v>
      </c>
      <c r="M113" s="80">
        <f>1640.5</f>
        <v>1640.5</v>
      </c>
      <c r="N113" s="80">
        <f>2977.35</f>
        <v>2977.35</v>
      </c>
      <c r="O113" s="80">
        <f>3352.22</f>
        <v>3352.22</v>
      </c>
      <c r="P113" s="80">
        <f t="shared" si="41"/>
        <v>9268.26</v>
      </c>
      <c r="Q113" s="80">
        <f>5660.65</f>
        <v>5660.65</v>
      </c>
      <c r="R113" s="80">
        <f>10099.85</f>
        <v>10099.85</v>
      </c>
      <c r="S113" s="80">
        <f>5022</f>
        <v>5022</v>
      </c>
      <c r="T113" s="80">
        <f t="shared" si="31"/>
        <v>3101.44</v>
      </c>
      <c r="U113" s="80">
        <f t="shared" si="32"/>
        <v>23883.94</v>
      </c>
      <c r="V113" s="81">
        <f t="shared" si="49"/>
        <v>1.0268275228438314E-2</v>
      </c>
      <c r="W113" s="80">
        <v>604.57000000000005</v>
      </c>
      <c r="X113" s="80">
        <v>1661.33</v>
      </c>
      <c r="Y113" s="80">
        <v>835.54</v>
      </c>
      <c r="Z113" s="17"/>
    </row>
    <row r="114" spans="1:26" x14ac:dyDescent="0.25">
      <c r="A114" s="3" t="s">
        <v>123</v>
      </c>
      <c r="B114" s="4"/>
      <c r="C114" s="4"/>
      <c r="D114" s="4"/>
      <c r="E114" s="4"/>
      <c r="F114" s="80">
        <f t="shared" si="39"/>
        <v>0</v>
      </c>
      <c r="G114" s="82"/>
      <c r="H114" s="82"/>
      <c r="I114" s="82"/>
      <c r="J114" s="82"/>
      <c r="K114" s="80">
        <f t="shared" si="40"/>
        <v>0</v>
      </c>
      <c r="L114" s="82"/>
      <c r="M114" s="82"/>
      <c r="N114" s="82"/>
      <c r="O114" s="80">
        <f>32.44</f>
        <v>32.44</v>
      </c>
      <c r="P114" s="80">
        <f t="shared" si="41"/>
        <v>32.44</v>
      </c>
      <c r="Q114" s="80">
        <f>916.78</f>
        <v>916.78</v>
      </c>
      <c r="R114" s="80">
        <f>1260.64</f>
        <v>1260.6400000000001</v>
      </c>
      <c r="S114" s="80">
        <f>907.58</f>
        <v>907.58</v>
      </c>
      <c r="T114" s="80">
        <f t="shared" si="31"/>
        <v>568.13</v>
      </c>
      <c r="U114" s="80">
        <f t="shared" si="32"/>
        <v>3653.13</v>
      </c>
      <c r="V114" s="81">
        <f t="shared" si="49"/>
        <v>1.5705676821020677E-3</v>
      </c>
      <c r="W114" s="80">
        <v>0</v>
      </c>
      <c r="X114" s="80">
        <v>168.13</v>
      </c>
      <c r="Y114" s="80">
        <v>400</v>
      </c>
      <c r="Z114" s="17"/>
    </row>
    <row r="115" spans="1:26" x14ac:dyDescent="0.25">
      <c r="A115" s="3" t="s">
        <v>124</v>
      </c>
      <c r="B115" s="5">
        <f>1437.55</f>
        <v>1437.55</v>
      </c>
      <c r="C115" s="5">
        <f>226.51</f>
        <v>226.51</v>
      </c>
      <c r="D115" s="5">
        <f>2254.15</f>
        <v>2254.15</v>
      </c>
      <c r="E115" s="5">
        <f>1358.55</f>
        <v>1358.55</v>
      </c>
      <c r="F115" s="80">
        <f t="shared" si="39"/>
        <v>5276.76</v>
      </c>
      <c r="G115" s="80">
        <f>75.05</f>
        <v>75.05</v>
      </c>
      <c r="H115" s="80">
        <f>771.33</f>
        <v>771.33</v>
      </c>
      <c r="I115" s="80">
        <f>1122.05</f>
        <v>1122.05</v>
      </c>
      <c r="J115" s="80">
        <f>1232.14</f>
        <v>1232.1400000000001</v>
      </c>
      <c r="K115" s="80">
        <f t="shared" si="40"/>
        <v>3200.5699999999997</v>
      </c>
      <c r="L115" s="80">
        <f>870.3</f>
        <v>870.3</v>
      </c>
      <c r="M115" s="80">
        <f>2970.82</f>
        <v>2970.82</v>
      </c>
      <c r="N115" s="80">
        <f>1018.64</f>
        <v>1018.64</v>
      </c>
      <c r="O115" s="80">
        <f>3374.72</f>
        <v>3374.72</v>
      </c>
      <c r="P115" s="80">
        <f t="shared" si="41"/>
        <v>8234.48</v>
      </c>
      <c r="Q115" s="80">
        <f>3372.88</f>
        <v>3372.88</v>
      </c>
      <c r="R115" s="80">
        <f>3634.97</f>
        <v>3634.97</v>
      </c>
      <c r="S115" s="80">
        <f>1907.57</f>
        <v>1907.57</v>
      </c>
      <c r="T115" s="80">
        <f t="shared" si="31"/>
        <v>2104.5</v>
      </c>
      <c r="U115" s="80">
        <f t="shared" si="32"/>
        <v>11019.92</v>
      </c>
      <c r="V115" s="81">
        <f t="shared" si="49"/>
        <v>4.7377263364156812E-3</v>
      </c>
      <c r="W115" s="80">
        <v>790.95</v>
      </c>
      <c r="X115" s="80">
        <v>836.96</v>
      </c>
      <c r="Y115" s="80">
        <v>476.59</v>
      </c>
      <c r="Z115" s="17"/>
    </row>
    <row r="116" spans="1:26" x14ac:dyDescent="0.25">
      <c r="A116" s="3" t="s">
        <v>125</v>
      </c>
      <c r="B116" s="4"/>
      <c r="C116" s="4"/>
      <c r="D116" s="4"/>
      <c r="E116" s="4"/>
      <c r="F116" s="80">
        <f t="shared" si="39"/>
        <v>0</v>
      </c>
      <c r="G116" s="82"/>
      <c r="H116" s="80">
        <f>1427.81</f>
        <v>1427.81</v>
      </c>
      <c r="I116" s="82"/>
      <c r="J116" s="80">
        <f>1195.08</f>
        <v>1195.08</v>
      </c>
      <c r="K116" s="80">
        <f t="shared" si="40"/>
        <v>2622.89</v>
      </c>
      <c r="L116" s="82"/>
      <c r="M116" s="82"/>
      <c r="N116" s="82"/>
      <c r="O116" s="82"/>
      <c r="P116" s="80">
        <f t="shared" si="41"/>
        <v>0</v>
      </c>
      <c r="Q116" s="82"/>
      <c r="R116" s="82"/>
      <c r="S116" s="82"/>
      <c r="T116" s="80">
        <f t="shared" si="31"/>
        <v>0</v>
      </c>
      <c r="U116" s="80">
        <f t="shared" si="32"/>
        <v>0</v>
      </c>
      <c r="V116" s="81">
        <f t="shared" si="49"/>
        <v>0</v>
      </c>
      <c r="W116" s="82"/>
      <c r="X116" s="82"/>
      <c r="Y116" s="82"/>
      <c r="Z116" s="17"/>
    </row>
    <row r="117" spans="1:26" x14ac:dyDescent="0.25">
      <c r="A117" s="3" t="s">
        <v>126</v>
      </c>
      <c r="B117" s="4"/>
      <c r="C117" s="4"/>
      <c r="D117" s="4"/>
      <c r="E117" s="4"/>
      <c r="F117" s="80">
        <f t="shared" si="39"/>
        <v>0</v>
      </c>
      <c r="G117" s="82"/>
      <c r="H117" s="80">
        <f>1151</f>
        <v>1151</v>
      </c>
      <c r="I117" s="80">
        <f>1000</f>
        <v>1000</v>
      </c>
      <c r="J117" s="82"/>
      <c r="K117" s="80">
        <f t="shared" si="40"/>
        <v>2151</v>
      </c>
      <c r="L117" s="80">
        <f>308.1</f>
        <v>308.10000000000002</v>
      </c>
      <c r="M117" s="82"/>
      <c r="N117" s="82"/>
      <c r="O117" s="82"/>
      <c r="P117" s="80">
        <f t="shared" si="41"/>
        <v>308.10000000000002</v>
      </c>
      <c r="Q117" s="82"/>
      <c r="R117" s="80">
        <f>505.32</f>
        <v>505.32</v>
      </c>
      <c r="S117" s="82"/>
      <c r="T117" s="80">
        <f t="shared" si="31"/>
        <v>0</v>
      </c>
      <c r="U117" s="80">
        <f t="shared" si="32"/>
        <v>505.32</v>
      </c>
      <c r="V117" s="81">
        <f t="shared" si="49"/>
        <v>2.1724911544889364E-4</v>
      </c>
      <c r="W117" s="82"/>
      <c r="X117" s="82"/>
      <c r="Y117" s="82"/>
      <c r="Z117" s="17"/>
    </row>
    <row r="118" spans="1:26" x14ac:dyDescent="0.25">
      <c r="A118" s="3" t="s">
        <v>127</v>
      </c>
      <c r="B118" s="4"/>
      <c r="C118" s="4"/>
      <c r="D118" s="4"/>
      <c r="E118" s="4"/>
      <c r="F118" s="80">
        <f t="shared" si="39"/>
        <v>0</v>
      </c>
      <c r="G118" s="82"/>
      <c r="H118" s="82"/>
      <c r="I118" s="82"/>
      <c r="J118" s="82"/>
      <c r="K118" s="80">
        <f t="shared" si="40"/>
        <v>0</v>
      </c>
      <c r="L118" s="82"/>
      <c r="M118" s="82"/>
      <c r="N118" s="82"/>
      <c r="O118" s="82"/>
      <c r="P118" s="80">
        <f t="shared" si="41"/>
        <v>0</v>
      </c>
      <c r="Q118" s="82"/>
      <c r="R118" s="80">
        <f>42.75</f>
        <v>42.75</v>
      </c>
      <c r="S118" s="80">
        <f>58.82</f>
        <v>58.82</v>
      </c>
      <c r="T118" s="80">
        <f t="shared" si="31"/>
        <v>204.66</v>
      </c>
      <c r="U118" s="80">
        <f t="shared" si="32"/>
        <v>306.23</v>
      </c>
      <c r="V118" s="81">
        <f t="shared" si="49"/>
        <v>1.3165557789898423E-4</v>
      </c>
      <c r="W118" s="80">
        <v>120</v>
      </c>
      <c r="X118" s="80">
        <v>33</v>
      </c>
      <c r="Y118" s="80">
        <v>51.66</v>
      </c>
      <c r="Z118" s="17"/>
    </row>
    <row r="119" spans="1:26" x14ac:dyDescent="0.25">
      <c r="A119" s="3" t="s">
        <v>128</v>
      </c>
      <c r="B119" s="4"/>
      <c r="C119" s="4"/>
      <c r="D119" s="4"/>
      <c r="E119" s="4"/>
      <c r="F119" s="80">
        <f t="shared" si="39"/>
        <v>0</v>
      </c>
      <c r="G119" s="82"/>
      <c r="H119" s="82"/>
      <c r="I119" s="82"/>
      <c r="J119" s="82"/>
      <c r="K119" s="80">
        <f t="shared" si="40"/>
        <v>0</v>
      </c>
      <c r="L119" s="82"/>
      <c r="M119" s="82"/>
      <c r="N119" s="82"/>
      <c r="O119" s="82"/>
      <c r="P119" s="80">
        <f t="shared" si="41"/>
        <v>0</v>
      </c>
      <c r="Q119" s="82"/>
      <c r="R119" s="82"/>
      <c r="S119" s="80">
        <f>0</f>
        <v>0</v>
      </c>
      <c r="T119" s="80">
        <f t="shared" si="31"/>
        <v>59.94</v>
      </c>
      <c r="U119" s="80">
        <f t="shared" si="32"/>
        <v>59.94</v>
      </c>
      <c r="V119" s="81">
        <f t="shared" si="49"/>
        <v>2.5769635043154208E-5</v>
      </c>
      <c r="W119" s="80"/>
      <c r="X119" s="80"/>
      <c r="Y119" s="80">
        <v>59.94</v>
      </c>
      <c r="Z119" s="17"/>
    </row>
    <row r="120" spans="1:26" x14ac:dyDescent="0.25">
      <c r="A120" s="3" t="s">
        <v>129</v>
      </c>
      <c r="B120" s="4"/>
      <c r="C120" s="4"/>
      <c r="D120" s="4"/>
      <c r="E120" s="4"/>
      <c r="F120" s="80">
        <f t="shared" si="39"/>
        <v>0</v>
      </c>
      <c r="G120" s="82"/>
      <c r="H120" s="82"/>
      <c r="I120" s="82"/>
      <c r="J120" s="82"/>
      <c r="K120" s="80">
        <f t="shared" si="40"/>
        <v>0</v>
      </c>
      <c r="L120" s="82"/>
      <c r="M120" s="82"/>
      <c r="N120" s="82"/>
      <c r="O120" s="82"/>
      <c r="P120" s="80">
        <f t="shared" si="41"/>
        <v>0</v>
      </c>
      <c r="Q120" s="80">
        <f>0</f>
        <v>0</v>
      </c>
      <c r="R120" s="82"/>
      <c r="S120" s="82"/>
      <c r="T120" s="80">
        <f t="shared" si="31"/>
        <v>0</v>
      </c>
      <c r="U120" s="80">
        <f t="shared" si="32"/>
        <v>0</v>
      </c>
      <c r="V120" s="81">
        <f t="shared" si="49"/>
        <v>0</v>
      </c>
      <c r="W120" s="82"/>
      <c r="X120" s="82"/>
      <c r="Y120" s="82"/>
      <c r="Z120" s="17"/>
    </row>
    <row r="121" spans="1:26" x14ac:dyDescent="0.25">
      <c r="A121" s="3" t="s">
        <v>130</v>
      </c>
      <c r="B121" s="4"/>
      <c r="C121" s="4"/>
      <c r="D121" s="4"/>
      <c r="E121" s="4"/>
      <c r="F121" s="80">
        <f t="shared" si="39"/>
        <v>0</v>
      </c>
      <c r="G121" s="82"/>
      <c r="H121" s="82"/>
      <c r="I121" s="82"/>
      <c r="J121" s="82"/>
      <c r="K121" s="80">
        <f t="shared" si="40"/>
        <v>0</v>
      </c>
      <c r="L121" s="82"/>
      <c r="M121" s="80">
        <f>153.87</f>
        <v>153.87</v>
      </c>
      <c r="N121" s="80">
        <f>1001.17</f>
        <v>1001.17</v>
      </c>
      <c r="O121" s="80">
        <f>134.4</f>
        <v>134.4</v>
      </c>
      <c r="P121" s="80">
        <f t="shared" si="41"/>
        <v>1289.44</v>
      </c>
      <c r="Q121" s="80">
        <f>181.43</f>
        <v>181.43</v>
      </c>
      <c r="R121" s="80">
        <f>29.29</f>
        <v>29.29</v>
      </c>
      <c r="S121" s="80">
        <f>3.05</f>
        <v>3.05</v>
      </c>
      <c r="T121" s="83">
        <f t="shared" si="31"/>
        <v>0</v>
      </c>
      <c r="U121" s="83">
        <f t="shared" si="32"/>
        <v>213.77</v>
      </c>
      <c r="V121" s="81">
        <f t="shared" si="49"/>
        <v>9.1904819539123718E-5</v>
      </c>
      <c r="W121" s="80"/>
      <c r="X121" s="80"/>
      <c r="Y121" s="80"/>
      <c r="Z121" s="17"/>
    </row>
    <row r="122" spans="1:26" x14ac:dyDescent="0.25">
      <c r="A122" s="3" t="s">
        <v>131</v>
      </c>
      <c r="B122" s="6">
        <f t="shared" ref="B122:T122" si="51">(((((((((((B80)+(B111))+(B112))+(B113))+(B114))+(B115))+(B116))+(B117))+(B118))+(B119))+(B120))+(B121)</f>
        <v>78991.760000000009</v>
      </c>
      <c r="C122" s="6">
        <f t="shared" si="51"/>
        <v>85301.209999999992</v>
      </c>
      <c r="D122" s="6">
        <f t="shared" si="51"/>
        <v>94180.099999999991</v>
      </c>
      <c r="E122" s="6">
        <f t="shared" si="51"/>
        <v>128663.7</v>
      </c>
      <c r="F122" s="80">
        <f t="shared" si="39"/>
        <v>387136.77</v>
      </c>
      <c r="G122" s="84">
        <f t="shared" si="51"/>
        <v>120365.31000000001</v>
      </c>
      <c r="H122" s="84">
        <f t="shared" si="51"/>
        <v>109113.95</v>
      </c>
      <c r="I122" s="84">
        <f t="shared" si="51"/>
        <v>136054.15</v>
      </c>
      <c r="J122" s="84">
        <f t="shared" si="51"/>
        <v>190593.8</v>
      </c>
      <c r="K122" s="80">
        <f t="shared" si="40"/>
        <v>556127.21</v>
      </c>
      <c r="L122" s="84">
        <f t="shared" si="51"/>
        <v>220177.82</v>
      </c>
      <c r="M122" s="84">
        <f t="shared" si="51"/>
        <v>175247.69</v>
      </c>
      <c r="N122" s="84">
        <f t="shared" si="51"/>
        <v>220777.13000000006</v>
      </c>
      <c r="O122" s="84">
        <f t="shared" si="51"/>
        <v>249505.5</v>
      </c>
      <c r="P122" s="80">
        <f t="shared" si="41"/>
        <v>865708.14000000013</v>
      </c>
      <c r="Q122" s="84">
        <f t="shared" si="51"/>
        <v>217575.92999999996</v>
      </c>
      <c r="R122" s="84">
        <f t="shared" si="51"/>
        <v>252055.99000000002</v>
      </c>
      <c r="S122" s="84">
        <f t="shared" si="51"/>
        <v>266700.05000000005</v>
      </c>
      <c r="T122" s="84">
        <f t="shared" si="51"/>
        <v>323814.26999999996</v>
      </c>
      <c r="U122" s="87">
        <f>SUM(U111:U121)+U80</f>
        <v>1060146.2399999998</v>
      </c>
      <c r="V122" s="81">
        <f t="shared" si="49"/>
        <v>0.4557821437632994</v>
      </c>
      <c r="W122" s="87">
        <f t="shared" ref="W122:Y122" si="52">SUM(W111:W121)+W80</f>
        <v>109495.23000000001</v>
      </c>
      <c r="X122" s="87">
        <f t="shared" si="52"/>
        <v>112168.76000000002</v>
      </c>
      <c r="Y122" s="87">
        <f t="shared" si="52"/>
        <v>102150.28</v>
      </c>
      <c r="Z122" s="17"/>
    </row>
    <row r="123" spans="1:26" x14ac:dyDescent="0.25">
      <c r="A123" s="3" t="s">
        <v>132</v>
      </c>
      <c r="B123" s="6">
        <f t="shared" ref="B123:T123" si="53">(B66)-(B122)</f>
        <v>1350.3500000000058</v>
      </c>
      <c r="C123" s="6">
        <f t="shared" si="53"/>
        <v>38983.870000000083</v>
      </c>
      <c r="D123" s="6">
        <f t="shared" si="53"/>
        <v>73142.109999999971</v>
      </c>
      <c r="E123" s="6">
        <f t="shared" si="53"/>
        <v>13331.649999999951</v>
      </c>
      <c r="F123" s="80">
        <f t="shared" si="39"/>
        <v>126807.98000000001</v>
      </c>
      <c r="G123" s="84">
        <f t="shared" si="53"/>
        <v>120191.90999999993</v>
      </c>
      <c r="H123" s="84">
        <f t="shared" si="53"/>
        <v>133323.57</v>
      </c>
      <c r="I123" s="84">
        <f t="shared" si="53"/>
        <v>103313.94000000009</v>
      </c>
      <c r="J123" s="84">
        <f t="shared" si="53"/>
        <v>41535.919999999984</v>
      </c>
      <c r="K123" s="80">
        <f t="shared" si="40"/>
        <v>398365.34</v>
      </c>
      <c r="L123" s="84">
        <f t="shared" si="53"/>
        <v>62559.549999999872</v>
      </c>
      <c r="M123" s="84">
        <f t="shared" si="53"/>
        <v>-7825.25</v>
      </c>
      <c r="N123" s="84">
        <f t="shared" si="53"/>
        <v>-88080.129999999946</v>
      </c>
      <c r="O123" s="84">
        <f t="shared" si="53"/>
        <v>-98518.010000000009</v>
      </c>
      <c r="P123" s="80">
        <f t="shared" si="41"/>
        <v>-131863.84000000008</v>
      </c>
      <c r="Q123" s="84">
        <f t="shared" si="53"/>
        <v>19231.800000000076</v>
      </c>
      <c r="R123" s="84">
        <f t="shared" si="53"/>
        <v>-71664.979999999923</v>
      </c>
      <c r="S123" s="84">
        <f t="shared" si="53"/>
        <v>15329.919999999925</v>
      </c>
      <c r="T123" s="84">
        <f t="shared" si="53"/>
        <v>-8814.0099999999511</v>
      </c>
      <c r="U123" s="80">
        <f>U66-U122</f>
        <v>-45917.269999999786</v>
      </c>
      <c r="V123" s="81">
        <f t="shared" si="49"/>
        <v>-1.9740929097063195E-2</v>
      </c>
      <c r="W123" s="80">
        <f t="shared" ref="W123:Y123" si="54">W66-W122</f>
        <v>-2457.7399999999616</v>
      </c>
      <c r="X123" s="80">
        <f t="shared" si="54"/>
        <v>50675.609999999971</v>
      </c>
      <c r="Y123" s="80">
        <f t="shared" si="54"/>
        <v>-57031.879999999976</v>
      </c>
      <c r="Z123" s="17"/>
    </row>
    <row r="124" spans="1:26" x14ac:dyDescent="0.25">
      <c r="A124" s="3" t="s">
        <v>133</v>
      </c>
      <c r="B124" s="4"/>
      <c r="C124" s="4"/>
      <c r="D124" s="4"/>
      <c r="E124" s="4"/>
      <c r="F124" s="80">
        <f t="shared" si="39"/>
        <v>0</v>
      </c>
      <c r="G124" s="82"/>
      <c r="H124" s="82"/>
      <c r="I124" s="82"/>
      <c r="J124" s="82"/>
      <c r="K124" s="80">
        <f t="shared" si="40"/>
        <v>0</v>
      </c>
      <c r="L124" s="82"/>
      <c r="M124" s="82"/>
      <c r="N124" s="82"/>
      <c r="O124" s="82"/>
      <c r="P124" s="80">
        <f t="shared" si="41"/>
        <v>0</v>
      </c>
      <c r="Q124" s="82"/>
      <c r="R124" s="82"/>
      <c r="S124" s="82"/>
      <c r="T124" s="80"/>
      <c r="U124" s="80"/>
      <c r="V124" s="81">
        <f t="shared" si="49"/>
        <v>0</v>
      </c>
      <c r="W124" s="82"/>
      <c r="X124" s="82"/>
      <c r="Y124" s="82"/>
      <c r="Z124" s="17"/>
    </row>
    <row r="125" spans="1:26" x14ac:dyDescent="0.25">
      <c r="A125" s="3" t="s">
        <v>134</v>
      </c>
      <c r="B125" s="5">
        <f>0.38</f>
        <v>0.38</v>
      </c>
      <c r="C125" s="5">
        <f>0.14</f>
        <v>0.14000000000000001</v>
      </c>
      <c r="D125" s="5">
        <f>0.04</f>
        <v>0.04</v>
      </c>
      <c r="E125" s="5">
        <f>0.14</f>
        <v>0.14000000000000001</v>
      </c>
      <c r="F125" s="80">
        <f t="shared" si="39"/>
        <v>0.70000000000000007</v>
      </c>
      <c r="G125" s="80">
        <f>0.8</f>
        <v>0.8</v>
      </c>
      <c r="H125" s="80">
        <f>1.21</f>
        <v>1.21</v>
      </c>
      <c r="I125" s="80">
        <f>0.53</f>
        <v>0.53</v>
      </c>
      <c r="J125" s="80">
        <f>0.97</f>
        <v>0.97</v>
      </c>
      <c r="K125" s="80">
        <f t="shared" si="40"/>
        <v>3.51</v>
      </c>
      <c r="L125" s="80">
        <f>1.54</f>
        <v>1.54</v>
      </c>
      <c r="M125" s="80">
        <f>2.63</f>
        <v>2.63</v>
      </c>
      <c r="N125" s="80">
        <f>3.55</f>
        <v>3.55</v>
      </c>
      <c r="O125" s="80">
        <f>2.38</f>
        <v>2.38</v>
      </c>
      <c r="P125" s="80">
        <f t="shared" si="41"/>
        <v>10.1</v>
      </c>
      <c r="Q125" s="80">
        <f>0.4</f>
        <v>0.4</v>
      </c>
      <c r="R125" s="80">
        <f>0.48</f>
        <v>0.48</v>
      </c>
      <c r="S125" s="80">
        <f>0.52</f>
        <v>0.52</v>
      </c>
      <c r="T125" s="80">
        <f t="shared" si="31"/>
        <v>0.04</v>
      </c>
      <c r="U125" s="80">
        <f t="shared" si="32"/>
        <v>1.44</v>
      </c>
      <c r="V125" s="81">
        <f t="shared" si="49"/>
        <v>6.1909033136706808E-7</v>
      </c>
      <c r="W125" s="80">
        <v>0.02</v>
      </c>
      <c r="X125" s="80">
        <v>0.01</v>
      </c>
      <c r="Y125" s="80">
        <v>0.01</v>
      </c>
      <c r="Z125" s="17"/>
    </row>
    <row r="126" spans="1:26" x14ac:dyDescent="0.25">
      <c r="A126" s="3" t="s">
        <v>135</v>
      </c>
      <c r="B126" s="4"/>
      <c r="C126" s="4"/>
      <c r="D126" s="4"/>
      <c r="E126" s="4"/>
      <c r="F126" s="80">
        <f t="shared" si="39"/>
        <v>0</v>
      </c>
      <c r="G126" s="82"/>
      <c r="H126" s="82"/>
      <c r="I126" s="82"/>
      <c r="J126" s="82"/>
      <c r="K126" s="80">
        <f t="shared" si="40"/>
        <v>0</v>
      </c>
      <c r="L126" s="82"/>
      <c r="M126" s="82"/>
      <c r="N126" s="82"/>
      <c r="O126" s="82"/>
      <c r="P126" s="80">
        <f t="shared" si="41"/>
        <v>0</v>
      </c>
      <c r="Q126" s="82"/>
      <c r="R126" s="82"/>
      <c r="S126" s="80">
        <f>25374.17</f>
        <v>25374.17</v>
      </c>
      <c r="T126" s="80">
        <f t="shared" si="31"/>
        <v>0</v>
      </c>
      <c r="U126" s="80">
        <f t="shared" si="32"/>
        <v>25374.17</v>
      </c>
      <c r="V126" s="81">
        <f t="shared" si="49"/>
        <v>1.090896063435022E-2</v>
      </c>
      <c r="W126" s="80"/>
      <c r="X126" s="80"/>
      <c r="Y126" s="80"/>
      <c r="Z126" s="17"/>
    </row>
    <row r="127" spans="1:26" x14ac:dyDescent="0.25">
      <c r="A127" s="3" t="s">
        <v>136</v>
      </c>
      <c r="B127" s="4"/>
      <c r="C127" s="4"/>
      <c r="D127" s="4"/>
      <c r="E127" s="4"/>
      <c r="F127" s="80">
        <f t="shared" si="39"/>
        <v>0</v>
      </c>
      <c r="G127" s="82"/>
      <c r="H127" s="82"/>
      <c r="I127" s="82"/>
      <c r="J127" s="82"/>
      <c r="K127" s="80">
        <f t="shared" si="40"/>
        <v>0</v>
      </c>
      <c r="L127" s="82"/>
      <c r="M127" s="82"/>
      <c r="N127" s="82"/>
      <c r="O127" s="80">
        <f>26300</f>
        <v>26300</v>
      </c>
      <c r="P127" s="80">
        <f t="shared" si="41"/>
        <v>26300</v>
      </c>
      <c r="Q127" s="82"/>
      <c r="R127" s="82"/>
      <c r="S127" s="82"/>
      <c r="T127" s="83">
        <f t="shared" si="31"/>
        <v>0</v>
      </c>
      <c r="U127" s="83">
        <f t="shared" si="32"/>
        <v>0</v>
      </c>
      <c r="V127" s="81">
        <f t="shared" si="49"/>
        <v>0</v>
      </c>
      <c r="W127" s="86"/>
      <c r="X127" s="86"/>
      <c r="Y127" s="86"/>
      <c r="Z127" s="17"/>
    </row>
    <row r="128" spans="1:26" x14ac:dyDescent="0.25">
      <c r="A128" s="3" t="s">
        <v>137</v>
      </c>
      <c r="B128" s="6">
        <f t="shared" ref="B128:T128" si="55">((B125)+(B126))+(B127)</f>
        <v>0.38</v>
      </c>
      <c r="C128" s="6">
        <f t="shared" si="55"/>
        <v>0.14000000000000001</v>
      </c>
      <c r="D128" s="6">
        <f t="shared" si="55"/>
        <v>0.04</v>
      </c>
      <c r="E128" s="6">
        <f t="shared" si="55"/>
        <v>0.14000000000000001</v>
      </c>
      <c r="F128" s="80">
        <f t="shared" si="39"/>
        <v>0.70000000000000007</v>
      </c>
      <c r="G128" s="84">
        <f t="shared" si="55"/>
        <v>0.8</v>
      </c>
      <c r="H128" s="84">
        <f t="shared" si="55"/>
        <v>1.21</v>
      </c>
      <c r="I128" s="84">
        <f t="shared" si="55"/>
        <v>0.53</v>
      </c>
      <c r="J128" s="84">
        <f t="shared" si="55"/>
        <v>0.97</v>
      </c>
      <c r="K128" s="80">
        <f t="shared" si="40"/>
        <v>3.51</v>
      </c>
      <c r="L128" s="84">
        <f t="shared" si="55"/>
        <v>1.54</v>
      </c>
      <c r="M128" s="84">
        <f t="shared" si="55"/>
        <v>2.63</v>
      </c>
      <c r="N128" s="84">
        <f t="shared" si="55"/>
        <v>3.55</v>
      </c>
      <c r="O128" s="84">
        <f t="shared" si="55"/>
        <v>26302.38</v>
      </c>
      <c r="P128" s="80">
        <f t="shared" si="41"/>
        <v>26310.100000000002</v>
      </c>
      <c r="Q128" s="84">
        <f t="shared" si="55"/>
        <v>0.4</v>
      </c>
      <c r="R128" s="84">
        <f t="shared" si="55"/>
        <v>0.48</v>
      </c>
      <c r="S128" s="84">
        <f t="shared" si="55"/>
        <v>25374.69</v>
      </c>
      <c r="T128" s="84">
        <f t="shared" si="55"/>
        <v>0.04</v>
      </c>
      <c r="U128" s="80">
        <f>SUM(U125:U127)</f>
        <v>25375.609999999997</v>
      </c>
      <c r="V128" s="81">
        <f t="shared" si="49"/>
        <v>1.0909579724681586E-2</v>
      </c>
      <c r="W128" s="80">
        <f t="shared" ref="W128:Y128" si="56">SUM(W125:W127)</f>
        <v>0.02</v>
      </c>
      <c r="X128" s="80">
        <f t="shared" si="56"/>
        <v>0.01</v>
      </c>
      <c r="Y128" s="80">
        <f t="shared" si="56"/>
        <v>0.01</v>
      </c>
      <c r="Z128" s="17"/>
    </row>
    <row r="129" spans="1:26" x14ac:dyDescent="0.25">
      <c r="A129" s="3" t="s">
        <v>138</v>
      </c>
      <c r="B129" s="4"/>
      <c r="C129" s="4"/>
      <c r="D129" s="4"/>
      <c r="E129" s="4"/>
      <c r="F129" s="80">
        <f t="shared" si="39"/>
        <v>0</v>
      </c>
      <c r="G129" s="82"/>
      <c r="H129" s="82"/>
      <c r="I129" s="82"/>
      <c r="J129" s="82"/>
      <c r="K129" s="80">
        <f t="shared" si="40"/>
        <v>0</v>
      </c>
      <c r="L129" s="82"/>
      <c r="M129" s="82"/>
      <c r="N129" s="82"/>
      <c r="O129" s="82"/>
      <c r="P129" s="80">
        <f t="shared" si="41"/>
        <v>0</v>
      </c>
      <c r="Q129" s="82"/>
      <c r="R129" s="82"/>
      <c r="S129" s="82"/>
      <c r="T129" s="80"/>
      <c r="U129" s="80"/>
      <c r="V129" s="81">
        <f t="shared" si="49"/>
        <v>0</v>
      </c>
      <c r="W129" s="82"/>
      <c r="X129" s="82"/>
      <c r="Y129" s="82"/>
      <c r="Z129" s="17"/>
    </row>
    <row r="130" spans="1:26" x14ac:dyDescent="0.25">
      <c r="A130" s="3" t="s">
        <v>139</v>
      </c>
      <c r="B130" s="5">
        <f>95.9</f>
        <v>95.9</v>
      </c>
      <c r="C130" s="5">
        <f>138.69</f>
        <v>138.69</v>
      </c>
      <c r="D130" s="5">
        <f>262.26</f>
        <v>262.26</v>
      </c>
      <c r="E130" s="5">
        <f>79.83</f>
        <v>79.83</v>
      </c>
      <c r="F130" s="80">
        <f t="shared" si="39"/>
        <v>576.68000000000006</v>
      </c>
      <c r="G130" s="82"/>
      <c r="H130" s="82"/>
      <c r="I130" s="82"/>
      <c r="J130" s="82"/>
      <c r="K130" s="80">
        <f t="shared" si="40"/>
        <v>0</v>
      </c>
      <c r="L130" s="82"/>
      <c r="M130" s="80">
        <f>2.79</f>
        <v>2.79</v>
      </c>
      <c r="N130" s="82"/>
      <c r="O130" s="82"/>
      <c r="P130" s="80">
        <f t="shared" si="41"/>
        <v>2.79</v>
      </c>
      <c r="Q130" s="82"/>
      <c r="R130" s="82"/>
      <c r="S130" s="82"/>
      <c r="T130" s="80">
        <f t="shared" si="31"/>
        <v>0</v>
      </c>
      <c r="U130" s="80">
        <f t="shared" si="32"/>
        <v>0</v>
      </c>
      <c r="V130" s="81">
        <f t="shared" si="49"/>
        <v>0</v>
      </c>
      <c r="W130" s="82"/>
      <c r="X130" s="82"/>
      <c r="Y130" s="82"/>
      <c r="Z130" s="17"/>
    </row>
    <row r="131" spans="1:26" x14ac:dyDescent="0.25">
      <c r="A131" s="3" t="s">
        <v>140</v>
      </c>
      <c r="B131" s="4"/>
      <c r="C131" s="4"/>
      <c r="D131" s="4"/>
      <c r="E131" s="4"/>
      <c r="F131" s="80">
        <f t="shared" si="39"/>
        <v>0</v>
      </c>
      <c r="G131" s="82"/>
      <c r="H131" s="82"/>
      <c r="I131" s="82"/>
      <c r="J131" s="80">
        <f>89155.92</f>
        <v>89155.92</v>
      </c>
      <c r="K131" s="80">
        <f t="shared" si="40"/>
        <v>89155.92</v>
      </c>
      <c r="L131" s="82"/>
      <c r="M131" s="82"/>
      <c r="N131" s="82"/>
      <c r="O131" s="80">
        <f>10569.56</f>
        <v>10569.56</v>
      </c>
      <c r="P131" s="80">
        <f t="shared" si="41"/>
        <v>10569.56</v>
      </c>
      <c r="Q131" s="82"/>
      <c r="R131" s="82"/>
      <c r="S131" s="82"/>
      <c r="T131" s="80">
        <f t="shared" si="31"/>
        <v>0</v>
      </c>
      <c r="U131" s="80">
        <f t="shared" si="32"/>
        <v>0</v>
      </c>
      <c r="V131" s="81">
        <f t="shared" si="49"/>
        <v>0</v>
      </c>
      <c r="W131" s="82"/>
      <c r="X131" s="82"/>
      <c r="Y131" s="82"/>
      <c r="Z131" s="17"/>
    </row>
    <row r="132" spans="1:26" x14ac:dyDescent="0.25">
      <c r="A132" s="3" t="s">
        <v>141</v>
      </c>
      <c r="B132" s="5">
        <f>563.99</f>
        <v>563.99</v>
      </c>
      <c r="C132" s="5">
        <f>-5589.25</f>
        <v>-5589.25</v>
      </c>
      <c r="D132" s="5">
        <f>-3813.74</f>
        <v>-3813.74</v>
      </c>
      <c r="E132" s="4"/>
      <c r="F132" s="80">
        <f t="shared" si="39"/>
        <v>-8839</v>
      </c>
      <c r="G132" s="82"/>
      <c r="H132" s="82"/>
      <c r="I132" s="82"/>
      <c r="J132" s="82"/>
      <c r="K132" s="80">
        <f t="shared" si="40"/>
        <v>0</v>
      </c>
      <c r="L132" s="82"/>
      <c r="M132" s="82"/>
      <c r="N132" s="82"/>
      <c r="O132" s="82"/>
      <c r="P132" s="80">
        <f t="shared" si="41"/>
        <v>0</v>
      </c>
      <c r="Q132" s="82"/>
      <c r="R132" s="82"/>
      <c r="S132" s="82"/>
      <c r="T132" s="83">
        <f t="shared" si="31"/>
        <v>0</v>
      </c>
      <c r="U132" s="83">
        <f t="shared" si="32"/>
        <v>0</v>
      </c>
      <c r="V132" s="81">
        <f t="shared" si="49"/>
        <v>0</v>
      </c>
      <c r="W132" s="82"/>
      <c r="X132" s="82"/>
      <c r="Y132" s="82"/>
      <c r="Z132" s="17"/>
    </row>
    <row r="133" spans="1:26" x14ac:dyDescent="0.25">
      <c r="A133" s="3" t="s">
        <v>142</v>
      </c>
      <c r="B133" s="6">
        <f t="shared" ref="B133:S133" si="57">((B130)+(B131))+(B132)</f>
        <v>659.89</v>
      </c>
      <c r="C133" s="6">
        <f t="shared" si="57"/>
        <v>-5450.56</v>
      </c>
      <c r="D133" s="6">
        <f t="shared" si="57"/>
        <v>-3551.4799999999996</v>
      </c>
      <c r="E133" s="6">
        <f t="shared" si="57"/>
        <v>79.83</v>
      </c>
      <c r="F133" s="80">
        <f t="shared" si="39"/>
        <v>-8262.32</v>
      </c>
      <c r="G133" s="84">
        <f t="shared" si="57"/>
        <v>0</v>
      </c>
      <c r="H133" s="84">
        <f t="shared" si="57"/>
        <v>0</v>
      </c>
      <c r="I133" s="84">
        <f t="shared" si="57"/>
        <v>0</v>
      </c>
      <c r="J133" s="84">
        <f t="shared" si="57"/>
        <v>89155.92</v>
      </c>
      <c r="K133" s="80">
        <f t="shared" si="40"/>
        <v>89155.92</v>
      </c>
      <c r="L133" s="84">
        <f t="shared" si="57"/>
        <v>0</v>
      </c>
      <c r="M133" s="84">
        <f t="shared" si="57"/>
        <v>2.79</v>
      </c>
      <c r="N133" s="84">
        <f t="shared" si="57"/>
        <v>0</v>
      </c>
      <c r="O133" s="84">
        <f t="shared" si="57"/>
        <v>10569.56</v>
      </c>
      <c r="P133" s="80">
        <f t="shared" si="41"/>
        <v>10572.35</v>
      </c>
      <c r="Q133" s="84">
        <f t="shared" si="57"/>
        <v>0</v>
      </c>
      <c r="R133" s="84">
        <f t="shared" si="57"/>
        <v>0</v>
      </c>
      <c r="S133" s="84">
        <f t="shared" si="57"/>
        <v>0</v>
      </c>
      <c r="T133" s="84">
        <f t="shared" ref="T133" si="58">((T130)+(T131))+(T132)</f>
        <v>0</v>
      </c>
      <c r="U133" s="87">
        <f>SUM(U130:U132)</f>
        <v>0</v>
      </c>
      <c r="V133" s="81">
        <f t="shared" si="49"/>
        <v>0</v>
      </c>
      <c r="W133" s="87">
        <f t="shared" ref="W133:Y133" si="59">SUM(W130:W132)</f>
        <v>0</v>
      </c>
      <c r="X133" s="87">
        <f t="shared" si="59"/>
        <v>0</v>
      </c>
      <c r="Y133" s="87">
        <f t="shared" si="59"/>
        <v>0</v>
      </c>
      <c r="Z133" s="17"/>
    </row>
    <row r="134" spans="1:26" x14ac:dyDescent="0.25">
      <c r="A134" s="3" t="s">
        <v>143</v>
      </c>
      <c r="B134" s="6">
        <f t="shared" ref="B134:S134" si="60">(B128)-(B133)</f>
        <v>-659.51</v>
      </c>
      <c r="C134" s="6">
        <f t="shared" si="60"/>
        <v>5450.7000000000007</v>
      </c>
      <c r="D134" s="6">
        <f t="shared" si="60"/>
        <v>3551.5199999999995</v>
      </c>
      <c r="E134" s="6">
        <f t="shared" si="60"/>
        <v>-79.69</v>
      </c>
      <c r="F134" s="80">
        <f t="shared" si="39"/>
        <v>8263.0199999999986</v>
      </c>
      <c r="G134" s="84">
        <f t="shared" si="60"/>
        <v>0.8</v>
      </c>
      <c r="H134" s="84">
        <f t="shared" si="60"/>
        <v>1.21</v>
      </c>
      <c r="I134" s="84">
        <f t="shared" si="60"/>
        <v>0.53</v>
      </c>
      <c r="J134" s="84">
        <f t="shared" si="60"/>
        <v>-89154.95</v>
      </c>
      <c r="K134" s="80">
        <f t="shared" si="40"/>
        <v>-89152.41</v>
      </c>
      <c r="L134" s="84">
        <f t="shared" si="60"/>
        <v>1.54</v>
      </c>
      <c r="M134" s="84">
        <f t="shared" si="60"/>
        <v>-0.16000000000000014</v>
      </c>
      <c r="N134" s="84">
        <f t="shared" si="60"/>
        <v>3.55</v>
      </c>
      <c r="O134" s="84">
        <f t="shared" si="60"/>
        <v>15732.820000000002</v>
      </c>
      <c r="P134" s="80">
        <f t="shared" si="41"/>
        <v>15737.750000000002</v>
      </c>
      <c r="Q134" s="84">
        <f t="shared" si="60"/>
        <v>0.4</v>
      </c>
      <c r="R134" s="84">
        <f t="shared" si="60"/>
        <v>0.48</v>
      </c>
      <c r="S134" s="84">
        <f t="shared" si="60"/>
        <v>25374.69</v>
      </c>
      <c r="T134" s="84">
        <f t="shared" ref="T134" si="61">(T128)-(T133)</f>
        <v>0.04</v>
      </c>
      <c r="U134" s="87">
        <f>U128+U133</f>
        <v>25375.609999999997</v>
      </c>
      <c r="V134" s="81">
        <f t="shared" si="49"/>
        <v>1.0909579724681586E-2</v>
      </c>
      <c r="W134" s="87">
        <f t="shared" ref="W134:Y134" si="62">W128+W133</f>
        <v>0.02</v>
      </c>
      <c r="X134" s="87">
        <f t="shared" si="62"/>
        <v>0.01</v>
      </c>
      <c r="Y134" s="87">
        <f t="shared" si="62"/>
        <v>0.01</v>
      </c>
      <c r="Z134" s="17"/>
    </row>
    <row r="135" spans="1:26" x14ac:dyDescent="0.25">
      <c r="A135" s="3" t="s">
        <v>144</v>
      </c>
      <c r="B135" s="7">
        <f t="shared" ref="B135:S135" si="63">(B123)+(B134)</f>
        <v>690.84000000000583</v>
      </c>
      <c r="C135" s="7">
        <f t="shared" si="63"/>
        <v>44434.57000000008</v>
      </c>
      <c r="D135" s="7">
        <f t="shared" si="63"/>
        <v>76693.629999999976</v>
      </c>
      <c r="E135" s="7">
        <f t="shared" si="63"/>
        <v>13251.95999999995</v>
      </c>
      <c r="F135" s="80">
        <f t="shared" si="39"/>
        <v>135071.00000000003</v>
      </c>
      <c r="G135" s="92">
        <f t="shared" si="63"/>
        <v>120192.70999999993</v>
      </c>
      <c r="H135" s="92">
        <f t="shared" si="63"/>
        <v>133324.78</v>
      </c>
      <c r="I135" s="92">
        <f t="shared" si="63"/>
        <v>103314.47000000009</v>
      </c>
      <c r="J135" s="92">
        <f t="shared" si="63"/>
        <v>-47619.030000000013</v>
      </c>
      <c r="K135" s="80">
        <f t="shared" si="40"/>
        <v>309212.93</v>
      </c>
      <c r="L135" s="92">
        <f t="shared" si="63"/>
        <v>62561.089999999873</v>
      </c>
      <c r="M135" s="92">
        <f t="shared" si="63"/>
        <v>-7825.41</v>
      </c>
      <c r="N135" s="92">
        <f t="shared" si="63"/>
        <v>-88076.579999999944</v>
      </c>
      <c r="O135" s="92">
        <f t="shared" si="63"/>
        <v>-82785.19</v>
      </c>
      <c r="P135" s="80">
        <f t="shared" si="41"/>
        <v>-116126.09000000007</v>
      </c>
      <c r="Q135" s="92">
        <f t="shared" si="63"/>
        <v>19232.200000000077</v>
      </c>
      <c r="R135" s="92">
        <f t="shared" si="63"/>
        <v>-71664.499999999927</v>
      </c>
      <c r="S135" s="92">
        <f t="shared" si="63"/>
        <v>40704.609999999928</v>
      </c>
      <c r="T135" s="92">
        <f t="shared" ref="T135" si="64">(T123)+(T134)</f>
        <v>-8813.9699999999502</v>
      </c>
      <c r="U135" s="80">
        <f>U123+U134</f>
        <v>-20541.659999999789</v>
      </c>
      <c r="V135" s="81">
        <f t="shared" si="49"/>
        <v>-8.8313493723816087E-3</v>
      </c>
      <c r="W135" s="80">
        <f t="shared" ref="W135:Y135" si="65">W123+W134</f>
        <v>-2457.7199999999616</v>
      </c>
      <c r="X135" s="80">
        <f t="shared" si="65"/>
        <v>50675.619999999974</v>
      </c>
      <c r="Y135" s="80">
        <f t="shared" si="65"/>
        <v>-57031.869999999974</v>
      </c>
      <c r="Z135" s="17"/>
    </row>
    <row r="136" spans="1:26" x14ac:dyDescent="0.25">
      <c r="A136" s="3"/>
      <c r="B136" s="4"/>
      <c r="C136" s="4"/>
      <c r="D136" s="4"/>
      <c r="E136" s="4"/>
      <c r="F136" s="82"/>
      <c r="G136" s="82"/>
      <c r="H136" s="82"/>
      <c r="I136" s="82"/>
      <c r="J136" s="82"/>
      <c r="K136" s="82"/>
      <c r="L136" s="82"/>
      <c r="M136" s="82"/>
      <c r="N136" s="82"/>
      <c r="O136" s="82"/>
      <c r="P136" s="82"/>
      <c r="Q136" s="82"/>
      <c r="R136" s="82"/>
      <c r="S136" s="82"/>
      <c r="T136" s="82"/>
      <c r="U136" s="82"/>
      <c r="V136" s="81"/>
      <c r="W136" s="17"/>
      <c r="X136" s="17"/>
      <c r="Y136" s="17"/>
      <c r="Z136" s="17"/>
    </row>
    <row r="137" spans="1:26" x14ac:dyDescent="0.25">
      <c r="F137" s="17"/>
      <c r="G137" s="17"/>
      <c r="H137" s="17"/>
      <c r="I137" s="17"/>
      <c r="J137" s="17"/>
      <c r="K137" s="17"/>
      <c r="L137" s="17"/>
      <c r="M137" s="17"/>
      <c r="N137" s="17"/>
      <c r="O137" s="17"/>
      <c r="P137" s="17"/>
      <c r="Q137" s="17"/>
      <c r="R137" s="17"/>
      <c r="S137" s="17"/>
      <c r="T137" s="17"/>
      <c r="U137" s="17"/>
      <c r="V137" s="81"/>
      <c r="W137" s="17"/>
      <c r="X137" s="17"/>
      <c r="Y137" s="17"/>
      <c r="Z137" s="17"/>
    </row>
    <row r="139" spans="1:26" x14ac:dyDescent="0.25">
      <c r="A139" s="274" t="s">
        <v>145</v>
      </c>
      <c r="B139" s="264"/>
      <c r="C139" s="264"/>
      <c r="D139" s="264"/>
      <c r="E139" s="264"/>
      <c r="F139" s="264"/>
      <c r="G139" s="264"/>
      <c r="H139" s="264"/>
      <c r="I139" s="264"/>
      <c r="J139" s="264"/>
      <c r="K139" s="264"/>
      <c r="L139" s="264"/>
      <c r="M139" s="264"/>
      <c r="N139" s="264"/>
      <c r="O139" s="264"/>
      <c r="P139" s="264"/>
      <c r="Q139" s="264"/>
      <c r="R139" s="264"/>
      <c r="S139" s="264"/>
      <c r="T139" s="264"/>
      <c r="U139" s="264"/>
    </row>
  </sheetData>
  <mergeCells count="5">
    <mergeCell ref="A139:U139"/>
    <mergeCell ref="A1:U1"/>
    <mergeCell ref="A2:U2"/>
    <mergeCell ref="A3:U3"/>
    <mergeCell ref="W4:Y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5BD2-D1B3-4829-AA9E-04CB29713A94}">
  <dimension ref="A1:C98"/>
  <sheetViews>
    <sheetView workbookViewId="0">
      <selection sqref="A1:C1"/>
    </sheetView>
  </sheetViews>
  <sheetFormatPr defaultColWidth="8.85546875" defaultRowHeight="15" x14ac:dyDescent="0.25"/>
  <cols>
    <col min="1" max="1" width="58.42578125" customWidth="1"/>
    <col min="2" max="3" width="10.28515625" customWidth="1"/>
  </cols>
  <sheetData>
    <row r="1" spans="1:3" ht="18" x14ac:dyDescent="0.25">
      <c r="A1" s="275" t="s">
        <v>146</v>
      </c>
      <c r="B1" s="264"/>
      <c r="C1" s="264"/>
    </row>
    <row r="2" spans="1:3" ht="18" x14ac:dyDescent="0.25">
      <c r="A2" s="275" t="s">
        <v>321</v>
      </c>
      <c r="B2" s="264"/>
      <c r="C2" s="264"/>
    </row>
    <row r="3" spans="1:3" x14ac:dyDescent="0.25">
      <c r="A3" s="276" t="s">
        <v>322</v>
      </c>
      <c r="B3" s="264"/>
      <c r="C3" s="264"/>
    </row>
    <row r="5" spans="1:3" x14ac:dyDescent="0.25">
      <c r="A5" s="1"/>
      <c r="B5" s="277" t="s">
        <v>15</v>
      </c>
      <c r="C5" s="278"/>
    </row>
    <row r="6" spans="1:3" ht="36.75" x14ac:dyDescent="0.25">
      <c r="A6" s="1"/>
      <c r="B6" s="2" t="s">
        <v>323</v>
      </c>
      <c r="C6" s="2" t="s">
        <v>324</v>
      </c>
    </row>
    <row r="7" spans="1:3" x14ac:dyDescent="0.25">
      <c r="A7" s="3" t="s">
        <v>325</v>
      </c>
      <c r="B7" s="4"/>
      <c r="C7" s="4"/>
    </row>
    <row r="8" spans="1:3" x14ac:dyDescent="0.25">
      <c r="A8" s="3" t="s">
        <v>326</v>
      </c>
      <c r="B8" s="4"/>
      <c r="C8" s="4"/>
    </row>
    <row r="9" spans="1:3" x14ac:dyDescent="0.25">
      <c r="A9" s="3" t="s">
        <v>327</v>
      </c>
      <c r="B9" s="4"/>
      <c r="C9" s="4"/>
    </row>
    <row r="10" spans="1:3" x14ac:dyDescent="0.25">
      <c r="A10" s="3" t="s">
        <v>328</v>
      </c>
      <c r="B10" s="5">
        <f>0</f>
        <v>0</v>
      </c>
      <c r="C10" s="4"/>
    </row>
    <row r="11" spans="1:3" x14ac:dyDescent="0.25">
      <c r="A11" s="3" t="s">
        <v>329</v>
      </c>
      <c r="B11" s="5">
        <f>0</f>
        <v>0</v>
      </c>
      <c r="C11" s="5">
        <f>0</f>
        <v>0</v>
      </c>
    </row>
    <row r="12" spans="1:3" x14ac:dyDescent="0.25">
      <c r="A12" s="3" t="s">
        <v>330</v>
      </c>
      <c r="B12" s="5">
        <f>501.25</f>
        <v>501.25</v>
      </c>
      <c r="C12" s="5">
        <f>50004.81</f>
        <v>50004.81</v>
      </c>
    </row>
    <row r="13" spans="1:3" x14ac:dyDescent="0.25">
      <c r="A13" s="3" t="s">
        <v>331</v>
      </c>
      <c r="B13" s="5">
        <f>48621.2</f>
        <v>48621.2</v>
      </c>
      <c r="C13" s="5">
        <f>47017.24</f>
        <v>47017.24</v>
      </c>
    </row>
    <row r="14" spans="1:3" x14ac:dyDescent="0.25">
      <c r="A14" s="3" t="s">
        <v>332</v>
      </c>
      <c r="B14" s="5">
        <f>0</f>
        <v>0</v>
      </c>
      <c r="C14" s="5">
        <f>900</f>
        <v>900</v>
      </c>
    </row>
    <row r="15" spans="1:3" x14ac:dyDescent="0.25">
      <c r="A15" s="3" t="s">
        <v>333</v>
      </c>
      <c r="B15" s="7">
        <f>((((B10)+(B11))+(B12))+(B13))+(B14)</f>
        <v>49122.45</v>
      </c>
      <c r="C15" s="7">
        <f>((((C10)+(C11))+(C12))+(C13))+(C14)</f>
        <v>97922.049999999988</v>
      </c>
    </row>
    <row r="16" spans="1:3" x14ac:dyDescent="0.25">
      <c r="A16" s="3" t="s">
        <v>334</v>
      </c>
      <c r="B16" s="4"/>
      <c r="C16" s="4"/>
    </row>
    <row r="17" spans="1:3" x14ac:dyDescent="0.25">
      <c r="A17" s="3" t="s">
        <v>335</v>
      </c>
      <c r="B17" s="5">
        <f>176485.4</f>
        <v>176485.4</v>
      </c>
      <c r="C17" s="5">
        <f>158704.13</f>
        <v>158704.13</v>
      </c>
    </row>
    <row r="18" spans="1:3" x14ac:dyDescent="0.25">
      <c r="A18" s="3" t="s">
        <v>336</v>
      </c>
      <c r="B18" s="7">
        <f>B17</f>
        <v>176485.4</v>
      </c>
      <c r="C18" s="7">
        <f>C17</f>
        <v>158704.13</v>
      </c>
    </row>
    <row r="19" spans="1:3" x14ac:dyDescent="0.25">
      <c r="A19" s="3" t="s">
        <v>337</v>
      </c>
      <c r="B19" s="4"/>
      <c r="C19" s="4"/>
    </row>
    <row r="20" spans="1:3" x14ac:dyDescent="0.25">
      <c r="A20" s="3" t="s">
        <v>338</v>
      </c>
      <c r="B20" s="5">
        <f>12998.17</f>
        <v>12998.17</v>
      </c>
      <c r="C20" s="5">
        <f>0</f>
        <v>0</v>
      </c>
    </row>
    <row r="21" spans="1:3" x14ac:dyDescent="0.25">
      <c r="A21" s="3" t="s">
        <v>339</v>
      </c>
      <c r="B21" s="5">
        <f>0</f>
        <v>0</v>
      </c>
      <c r="C21" s="5">
        <f>0</f>
        <v>0</v>
      </c>
    </row>
    <row r="22" spans="1:3" x14ac:dyDescent="0.25">
      <c r="A22" s="3" t="s">
        <v>340</v>
      </c>
      <c r="B22" s="5">
        <f>0</f>
        <v>0</v>
      </c>
      <c r="C22" s="5">
        <f>0</f>
        <v>0</v>
      </c>
    </row>
    <row r="23" spans="1:3" x14ac:dyDescent="0.25">
      <c r="A23" s="3" t="s">
        <v>341</v>
      </c>
      <c r="B23" s="5">
        <f>0</f>
        <v>0</v>
      </c>
      <c r="C23" s="5">
        <f>0</f>
        <v>0</v>
      </c>
    </row>
    <row r="24" spans="1:3" x14ac:dyDescent="0.25">
      <c r="A24" s="3" t="s">
        <v>342</v>
      </c>
      <c r="B24" s="5">
        <f>11886.32</f>
        <v>11886.32</v>
      </c>
      <c r="C24" s="4"/>
    </row>
    <row r="25" spans="1:3" x14ac:dyDescent="0.25">
      <c r="A25" s="3" t="s">
        <v>343</v>
      </c>
      <c r="B25" s="5">
        <f>284398.09</f>
        <v>284398.09000000003</v>
      </c>
      <c r="C25" s="5">
        <f>313525.6</f>
        <v>313525.59999999998</v>
      </c>
    </row>
    <row r="26" spans="1:3" x14ac:dyDescent="0.25">
      <c r="A26" s="3" t="s">
        <v>344</v>
      </c>
      <c r="B26" s="5">
        <f>94614</f>
        <v>94614</v>
      </c>
      <c r="C26" s="4"/>
    </row>
    <row r="27" spans="1:3" x14ac:dyDescent="0.25">
      <c r="A27" s="3" t="s">
        <v>345</v>
      </c>
      <c r="B27" s="7">
        <f>(((B23)+(B24))+(B25))+(B26)</f>
        <v>390898.41000000003</v>
      </c>
      <c r="C27" s="7">
        <f>(((C23)+(C24))+(C25))+(C26)</f>
        <v>313525.59999999998</v>
      </c>
    </row>
    <row r="28" spans="1:3" x14ac:dyDescent="0.25">
      <c r="A28" s="3" t="s">
        <v>346</v>
      </c>
      <c r="B28" s="5">
        <f>0</f>
        <v>0</v>
      </c>
      <c r="C28" s="4"/>
    </row>
    <row r="29" spans="1:3" x14ac:dyDescent="0.25">
      <c r="A29" s="3" t="s">
        <v>347</v>
      </c>
      <c r="B29" s="5">
        <f>482.35</f>
        <v>482.35</v>
      </c>
      <c r="C29" s="5">
        <f>482.35</f>
        <v>482.35</v>
      </c>
    </row>
    <row r="30" spans="1:3" x14ac:dyDescent="0.25">
      <c r="A30" s="3" t="s">
        <v>348</v>
      </c>
      <c r="B30" s="5">
        <f>10</f>
        <v>10</v>
      </c>
      <c r="C30" s="5">
        <f>0</f>
        <v>0</v>
      </c>
    </row>
    <row r="31" spans="1:3" x14ac:dyDescent="0.25">
      <c r="A31" s="3" t="s">
        <v>349</v>
      </c>
      <c r="B31" s="5">
        <f>27000</f>
        <v>27000</v>
      </c>
      <c r="C31" s="5">
        <f>27000</f>
        <v>27000</v>
      </c>
    </row>
    <row r="32" spans="1:3" x14ac:dyDescent="0.25">
      <c r="A32" s="3" t="s">
        <v>350</v>
      </c>
      <c r="B32" s="7">
        <f>(((((((B20)+(B21))+(B22))+(B27))+(B28))+(B29))+(B30))+(B31)</f>
        <v>431388.93</v>
      </c>
      <c r="C32" s="7">
        <f>(((((((C20)+(C21))+(C22))+(C27))+(C28))+(C29))+(C30))+(C31)</f>
        <v>341007.94999999995</v>
      </c>
    </row>
    <row r="33" spans="1:3" x14ac:dyDescent="0.25">
      <c r="A33" s="3" t="s">
        <v>351</v>
      </c>
      <c r="B33" s="7">
        <f>((B15)+(B18))+(B32)</f>
        <v>656996.78</v>
      </c>
      <c r="C33" s="7">
        <f>((C15)+(C18))+(C32)</f>
        <v>597634.12999999989</v>
      </c>
    </row>
    <row r="34" spans="1:3" x14ac:dyDescent="0.25">
      <c r="A34" s="3" t="s">
        <v>352</v>
      </c>
      <c r="B34" s="4"/>
      <c r="C34" s="4"/>
    </row>
    <row r="35" spans="1:3" x14ac:dyDescent="0.25">
      <c r="A35" s="3" t="s">
        <v>353</v>
      </c>
      <c r="B35" s="5">
        <f>14069.56</f>
        <v>14069.56</v>
      </c>
      <c r="C35" s="5">
        <f>14069.56</f>
        <v>14069.56</v>
      </c>
    </row>
    <row r="36" spans="1:3" x14ac:dyDescent="0.25">
      <c r="A36" s="3" t="s">
        <v>354</v>
      </c>
      <c r="B36" s="5">
        <f>31641.77</f>
        <v>31641.77</v>
      </c>
      <c r="C36" s="5">
        <f>31641.77</f>
        <v>31641.77</v>
      </c>
    </row>
    <row r="37" spans="1:3" x14ac:dyDescent="0.25">
      <c r="A37" s="3" t="s">
        <v>355</v>
      </c>
      <c r="B37" s="5">
        <f>26826.32</f>
        <v>26826.32</v>
      </c>
      <c r="C37" s="5">
        <f>26826.32</f>
        <v>26826.32</v>
      </c>
    </row>
    <row r="38" spans="1:3" x14ac:dyDescent="0.25">
      <c r="A38" s="3" t="s">
        <v>356</v>
      </c>
      <c r="B38" s="5">
        <f>27187.83</f>
        <v>27187.83</v>
      </c>
      <c r="C38" s="5">
        <f>27187.83</f>
        <v>27187.83</v>
      </c>
    </row>
    <row r="39" spans="1:3" x14ac:dyDescent="0.25">
      <c r="A39" s="3" t="s">
        <v>357</v>
      </c>
      <c r="B39" s="5">
        <f>-99725.48</f>
        <v>-99725.48</v>
      </c>
      <c r="C39" s="5">
        <f>-99725.48</f>
        <v>-99725.48</v>
      </c>
    </row>
    <row r="40" spans="1:3" x14ac:dyDescent="0.25">
      <c r="A40" s="3" t="s">
        <v>358</v>
      </c>
      <c r="B40" s="7">
        <f>((((B35)+(B36))+(B37))+(B38))+(B39)</f>
        <v>0</v>
      </c>
      <c r="C40" s="7">
        <f>((((C35)+(C36))+(C37))+(C38))+(C39)</f>
        <v>0</v>
      </c>
    </row>
    <row r="41" spans="1:3" x14ac:dyDescent="0.25">
      <c r="A41" s="3" t="s">
        <v>359</v>
      </c>
      <c r="B41" s="4"/>
      <c r="C41" s="4"/>
    </row>
    <row r="42" spans="1:3" x14ac:dyDescent="0.25">
      <c r="A42" s="3" t="s">
        <v>360</v>
      </c>
      <c r="B42" s="5">
        <f>8799.4</f>
        <v>8799.4</v>
      </c>
      <c r="C42" s="5">
        <f>8799.4</f>
        <v>8799.4</v>
      </c>
    </row>
    <row r="43" spans="1:3" x14ac:dyDescent="0.25">
      <c r="A43" s="3" t="s">
        <v>361</v>
      </c>
      <c r="B43" s="7">
        <f>B42</f>
        <v>8799.4</v>
      </c>
      <c r="C43" s="7">
        <f>C42</f>
        <v>8799.4</v>
      </c>
    </row>
    <row r="44" spans="1:3" x14ac:dyDescent="0.25">
      <c r="A44" s="3" t="s">
        <v>362</v>
      </c>
      <c r="B44" s="7">
        <f>((B33)+(B40))+(B43)</f>
        <v>665796.18000000005</v>
      </c>
      <c r="C44" s="7">
        <f>((C33)+(C40))+(C43)</f>
        <v>606433.52999999991</v>
      </c>
    </row>
    <row r="45" spans="1:3" x14ac:dyDescent="0.25">
      <c r="A45" s="3" t="s">
        <v>363</v>
      </c>
      <c r="B45" s="4"/>
      <c r="C45" s="4"/>
    </row>
    <row r="46" spans="1:3" x14ac:dyDescent="0.25">
      <c r="A46" s="3" t="s">
        <v>364</v>
      </c>
      <c r="B46" s="4"/>
      <c r="C46" s="4"/>
    </row>
    <row r="47" spans="1:3" x14ac:dyDescent="0.25">
      <c r="A47" s="3" t="s">
        <v>365</v>
      </c>
      <c r="B47" s="4"/>
      <c r="C47" s="4"/>
    </row>
    <row r="48" spans="1:3" x14ac:dyDescent="0.25">
      <c r="A48" s="3" t="s">
        <v>366</v>
      </c>
      <c r="B48" s="4"/>
      <c r="C48" s="4"/>
    </row>
    <row r="49" spans="1:3" x14ac:dyDescent="0.25">
      <c r="A49" s="3" t="s">
        <v>367</v>
      </c>
      <c r="B49" s="5">
        <f>109115.57</f>
        <v>109115.57</v>
      </c>
      <c r="C49" s="5">
        <f>190713.27</f>
        <v>190713.27</v>
      </c>
    </row>
    <row r="50" spans="1:3" x14ac:dyDescent="0.25">
      <c r="A50" s="3" t="s">
        <v>368</v>
      </c>
      <c r="B50" s="7">
        <f>B49</f>
        <v>109115.57</v>
      </c>
      <c r="C50" s="7">
        <f>C49</f>
        <v>190713.27</v>
      </c>
    </row>
    <row r="51" spans="1:3" x14ac:dyDescent="0.25">
      <c r="A51" s="3" t="s">
        <v>369</v>
      </c>
      <c r="B51" s="4"/>
      <c r="C51" s="4"/>
    </row>
    <row r="52" spans="1:3" x14ac:dyDescent="0.25">
      <c r="A52" s="3" t="s">
        <v>370</v>
      </c>
      <c r="B52" s="5">
        <f>0</f>
        <v>0</v>
      </c>
      <c r="C52" s="5">
        <f>0</f>
        <v>0</v>
      </c>
    </row>
    <row r="53" spans="1:3" x14ac:dyDescent="0.25">
      <c r="A53" s="3" t="s">
        <v>371</v>
      </c>
      <c r="B53" s="5">
        <f>0</f>
        <v>0</v>
      </c>
      <c r="C53" s="5">
        <f>-126.74</f>
        <v>-126.74</v>
      </c>
    </row>
    <row r="54" spans="1:3" x14ac:dyDescent="0.25">
      <c r="A54" s="3" t="s">
        <v>372</v>
      </c>
      <c r="B54" s="7">
        <f>(B52)+(B53)</f>
        <v>0</v>
      </c>
      <c r="C54" s="7">
        <f>(C52)+(C53)</f>
        <v>-126.74</v>
      </c>
    </row>
    <row r="55" spans="1:3" x14ac:dyDescent="0.25">
      <c r="A55" s="3" t="s">
        <v>373</v>
      </c>
      <c r="B55" s="5">
        <f>54948.1</f>
        <v>54948.1</v>
      </c>
      <c r="C55" s="5">
        <f>64379.74</f>
        <v>64379.74</v>
      </c>
    </row>
    <row r="56" spans="1:3" x14ac:dyDescent="0.25">
      <c r="A56" s="3" t="s">
        <v>374</v>
      </c>
      <c r="B56" s="5">
        <f>0</f>
        <v>0</v>
      </c>
      <c r="C56" s="5">
        <f>211.6</f>
        <v>211.6</v>
      </c>
    </row>
    <row r="57" spans="1:3" x14ac:dyDescent="0.25">
      <c r="A57" s="3" t="s">
        <v>375</v>
      </c>
      <c r="B57" s="5">
        <f>0</f>
        <v>0</v>
      </c>
      <c r="C57" s="5">
        <f>1755.3</f>
        <v>1755.3</v>
      </c>
    </row>
    <row r="58" spans="1:3" x14ac:dyDescent="0.25">
      <c r="A58" s="3" t="s">
        <v>376</v>
      </c>
      <c r="B58" s="5">
        <f>1112.19</f>
        <v>1112.19</v>
      </c>
      <c r="C58" s="5">
        <f>0</f>
        <v>0</v>
      </c>
    </row>
    <row r="59" spans="1:3" x14ac:dyDescent="0.25">
      <c r="A59" s="3" t="s">
        <v>377</v>
      </c>
      <c r="B59" s="5">
        <f>20258.17</f>
        <v>20258.169999999998</v>
      </c>
      <c r="C59" s="4"/>
    </row>
    <row r="60" spans="1:3" x14ac:dyDescent="0.25">
      <c r="A60" s="3" t="s">
        <v>378</v>
      </c>
      <c r="B60" s="5">
        <f>7114.47</f>
        <v>7114.47</v>
      </c>
      <c r="C60" s="4"/>
    </row>
    <row r="61" spans="1:3" x14ac:dyDescent="0.25">
      <c r="A61" s="3" t="s">
        <v>379</v>
      </c>
      <c r="B61" s="5">
        <f>32497.46</f>
        <v>32497.46</v>
      </c>
      <c r="C61" s="4"/>
    </row>
    <row r="62" spans="1:3" x14ac:dyDescent="0.25">
      <c r="A62" s="3" t="s">
        <v>380</v>
      </c>
      <c r="B62" s="7">
        <f>(((((((B54)+(B55))+(B56))+(B57))+(B58))+(B59))+(B60))+(B61)</f>
        <v>115930.38999999998</v>
      </c>
      <c r="C62" s="7">
        <f>(((((((C54)+(C55))+(C56))+(C57))+(C58))+(C59))+(C60))+(C61)</f>
        <v>66219.899999999994</v>
      </c>
    </row>
    <row r="63" spans="1:3" x14ac:dyDescent="0.25">
      <c r="A63" s="3" t="s">
        <v>381</v>
      </c>
      <c r="B63" s="4"/>
      <c r="C63" s="4"/>
    </row>
    <row r="64" spans="1:3" x14ac:dyDescent="0.25">
      <c r="A64" s="3" t="s">
        <v>382</v>
      </c>
      <c r="B64" s="4"/>
      <c r="C64" s="4"/>
    </row>
    <row r="65" spans="1:3" x14ac:dyDescent="0.25">
      <c r="A65" s="3" t="s">
        <v>383</v>
      </c>
      <c r="B65" s="5">
        <f>0</f>
        <v>0</v>
      </c>
      <c r="C65" s="5">
        <f>0</f>
        <v>0</v>
      </c>
    </row>
    <row r="66" spans="1:3" x14ac:dyDescent="0.25">
      <c r="A66" s="3" t="s">
        <v>384</v>
      </c>
      <c r="B66" s="5">
        <f>113361.74</f>
        <v>113361.74</v>
      </c>
      <c r="C66" s="5">
        <f>0</f>
        <v>0</v>
      </c>
    </row>
    <row r="67" spans="1:3" x14ac:dyDescent="0.25">
      <c r="A67" s="3" t="s">
        <v>385</v>
      </c>
      <c r="B67" s="5">
        <f>0</f>
        <v>0</v>
      </c>
      <c r="C67" s="5">
        <f>0</f>
        <v>0</v>
      </c>
    </row>
    <row r="68" spans="1:3" x14ac:dyDescent="0.25">
      <c r="A68" s="3" t="s">
        <v>386</v>
      </c>
      <c r="B68" s="5">
        <f>0</f>
        <v>0</v>
      </c>
      <c r="C68" s="5">
        <f>0</f>
        <v>0</v>
      </c>
    </row>
    <row r="69" spans="1:3" x14ac:dyDescent="0.25">
      <c r="A69" s="3" t="s">
        <v>387</v>
      </c>
      <c r="B69" s="7">
        <f>((((B64)+(B65))+(B66))+(B67))+(B68)</f>
        <v>113361.74</v>
      </c>
      <c r="C69" s="7">
        <f>((((C64)+(C65))+(C66))+(C67))+(C68)</f>
        <v>0</v>
      </c>
    </row>
    <row r="70" spans="1:3" x14ac:dyDescent="0.25">
      <c r="A70" s="3" t="s">
        <v>388</v>
      </c>
      <c r="B70" s="5">
        <f>0</f>
        <v>0</v>
      </c>
      <c r="C70" s="5">
        <f>0</f>
        <v>0</v>
      </c>
    </row>
    <row r="71" spans="1:3" x14ac:dyDescent="0.25">
      <c r="A71" s="3" t="s">
        <v>389</v>
      </c>
      <c r="B71" s="5">
        <f>3272.74</f>
        <v>3272.74</v>
      </c>
      <c r="C71" s="5">
        <f>2858.74</f>
        <v>2858.74</v>
      </c>
    </row>
    <row r="72" spans="1:3" x14ac:dyDescent="0.25">
      <c r="A72" s="3" t="s">
        <v>390</v>
      </c>
      <c r="B72" s="4"/>
      <c r="C72" s="4"/>
    </row>
    <row r="73" spans="1:3" x14ac:dyDescent="0.25">
      <c r="A73" s="3" t="s">
        <v>391</v>
      </c>
      <c r="B73" s="5">
        <f>6441.26</f>
        <v>6441.26</v>
      </c>
      <c r="C73" s="5">
        <f>12472.06</f>
        <v>12472.06</v>
      </c>
    </row>
    <row r="74" spans="1:3" x14ac:dyDescent="0.25">
      <c r="A74" s="3" t="s">
        <v>392</v>
      </c>
      <c r="B74" s="7">
        <f>(B72)+(B73)</f>
        <v>6441.26</v>
      </c>
      <c r="C74" s="7">
        <f>(C72)+(C73)</f>
        <v>12472.06</v>
      </c>
    </row>
    <row r="75" spans="1:3" x14ac:dyDescent="0.25">
      <c r="A75" s="3" t="s">
        <v>393</v>
      </c>
      <c r="B75" s="7">
        <f>(((B69)+(B70))+(B71))+(B74)</f>
        <v>123075.74</v>
      </c>
      <c r="C75" s="7">
        <f>(((C69)+(C70))+(C71))+(C74)</f>
        <v>15330.8</v>
      </c>
    </row>
    <row r="76" spans="1:3" x14ac:dyDescent="0.25">
      <c r="A76" s="3" t="s">
        <v>394</v>
      </c>
      <c r="B76" s="7">
        <f>((B50)+(B62))+(B75)</f>
        <v>348121.7</v>
      </c>
      <c r="C76" s="7">
        <f>((C50)+(C62))+(C75)</f>
        <v>272263.96999999997</v>
      </c>
    </row>
    <row r="77" spans="1:3" x14ac:dyDescent="0.25">
      <c r="A77" s="3" t="s">
        <v>395</v>
      </c>
      <c r="B77" s="4"/>
      <c r="C77" s="4"/>
    </row>
    <row r="78" spans="1:3" x14ac:dyDescent="0.25">
      <c r="A78" s="3" t="s">
        <v>396</v>
      </c>
      <c r="B78" s="5">
        <f>10610.65</f>
        <v>10610.65</v>
      </c>
      <c r="C78" s="5">
        <f>16610.65</f>
        <v>16610.650000000001</v>
      </c>
    </row>
    <row r="79" spans="1:3" x14ac:dyDescent="0.25">
      <c r="A79" s="3" t="s">
        <v>397</v>
      </c>
      <c r="B79" s="5">
        <f>2505.57</f>
        <v>2505.5700000000002</v>
      </c>
      <c r="C79" s="4"/>
    </row>
    <row r="80" spans="1:3" x14ac:dyDescent="0.25">
      <c r="A80" s="3" t="s">
        <v>398</v>
      </c>
      <c r="B80" s="5">
        <f>94904.01</f>
        <v>94904.01</v>
      </c>
      <c r="C80" s="4"/>
    </row>
    <row r="81" spans="1:3" x14ac:dyDescent="0.25">
      <c r="A81" s="3" t="s">
        <v>399</v>
      </c>
      <c r="B81" s="5">
        <f>0</f>
        <v>0</v>
      </c>
      <c r="C81" s="5">
        <f>59513.46</f>
        <v>59513.46</v>
      </c>
    </row>
    <row r="82" spans="1:3" x14ac:dyDescent="0.25">
      <c r="A82" s="3" t="s">
        <v>400</v>
      </c>
      <c r="B82" s="5">
        <f>0</f>
        <v>0</v>
      </c>
      <c r="C82" s="5">
        <f>29625.88</f>
        <v>29625.88</v>
      </c>
    </row>
    <row r="83" spans="1:3" x14ac:dyDescent="0.25">
      <c r="A83" s="3" t="s">
        <v>401</v>
      </c>
      <c r="B83" s="5">
        <f>0</f>
        <v>0</v>
      </c>
      <c r="C83" s="5">
        <f>0</f>
        <v>0</v>
      </c>
    </row>
    <row r="84" spans="1:3" x14ac:dyDescent="0.25">
      <c r="A84" s="3" t="s">
        <v>402</v>
      </c>
      <c r="B84" s="5">
        <f>44579.38</f>
        <v>44579.38</v>
      </c>
      <c r="C84" s="4"/>
    </row>
    <row r="85" spans="1:3" x14ac:dyDescent="0.25">
      <c r="A85" s="3" t="s">
        <v>403</v>
      </c>
      <c r="B85" s="7">
        <f>((((((B78)+(B79))+(B80))+(B81))+(B82))+(B83))+(B84)</f>
        <v>152599.60999999999</v>
      </c>
      <c r="C85" s="7">
        <f>((((((C78)+(C79))+(C80))+(C81))+(C82))+(C83))+(C84)</f>
        <v>105749.99</v>
      </c>
    </row>
    <row r="86" spans="1:3" x14ac:dyDescent="0.25">
      <c r="A86" s="3" t="s">
        <v>404</v>
      </c>
      <c r="B86" s="7">
        <f>(B76)+(B85)</f>
        <v>500721.31</v>
      </c>
      <c r="C86" s="7">
        <f>(C76)+(C85)</f>
        <v>378013.95999999996</v>
      </c>
    </row>
    <row r="87" spans="1:3" x14ac:dyDescent="0.25">
      <c r="A87" s="3" t="s">
        <v>405</v>
      </c>
      <c r="B87" s="4"/>
      <c r="C87" s="4"/>
    </row>
    <row r="88" spans="1:3" x14ac:dyDescent="0.25">
      <c r="A88" s="3" t="s">
        <v>406</v>
      </c>
      <c r="B88" s="5">
        <f>446.85</f>
        <v>446.85</v>
      </c>
      <c r="C88" s="5">
        <f>0</f>
        <v>0</v>
      </c>
    </row>
    <row r="89" spans="1:3" x14ac:dyDescent="0.25">
      <c r="A89" s="3" t="s">
        <v>407</v>
      </c>
      <c r="B89" s="5">
        <f>242862.61</f>
        <v>242862.61</v>
      </c>
      <c r="C89" s="5">
        <f>358988.7</f>
        <v>358988.7</v>
      </c>
    </row>
    <row r="90" spans="1:3" x14ac:dyDescent="0.25">
      <c r="A90" s="3" t="s">
        <v>408</v>
      </c>
      <c r="B90" s="5">
        <f>-29672.84</f>
        <v>-29672.84</v>
      </c>
      <c r="C90" s="5">
        <f>-7221.52</f>
        <v>-7221.52</v>
      </c>
    </row>
    <row r="91" spans="1:3" x14ac:dyDescent="0.25">
      <c r="A91" s="3" t="s">
        <v>409</v>
      </c>
      <c r="B91" s="5">
        <f>-28020.08</f>
        <v>-28020.080000000002</v>
      </c>
      <c r="C91" s="5">
        <f>-7221.52</f>
        <v>-7221.52</v>
      </c>
    </row>
    <row r="92" spans="1:3" x14ac:dyDescent="0.25">
      <c r="A92" s="3" t="s">
        <v>410</v>
      </c>
      <c r="B92" s="5">
        <f>-20541.67</f>
        <v>-20541.669999999998</v>
      </c>
      <c r="C92" s="5">
        <f>-116126.09</f>
        <v>-116126.09</v>
      </c>
    </row>
    <row r="93" spans="1:3" x14ac:dyDescent="0.25">
      <c r="A93" s="3" t="s">
        <v>411</v>
      </c>
      <c r="B93" s="7">
        <f>((((B88)+(B89))+(B90))+(B91))+(B92)</f>
        <v>165074.87</v>
      </c>
      <c r="C93" s="7">
        <f>((((C88)+(C89))+(C90))+(C91))+(C92)</f>
        <v>228419.56999999998</v>
      </c>
    </row>
    <row r="94" spans="1:3" x14ac:dyDescent="0.25">
      <c r="A94" s="3" t="s">
        <v>412</v>
      </c>
      <c r="B94" s="7">
        <f>(B86)+(B93)</f>
        <v>665796.17999999993</v>
      </c>
      <c r="C94" s="7">
        <f>(C86)+(C93)</f>
        <v>606433.52999999991</v>
      </c>
    </row>
    <row r="95" spans="1:3" x14ac:dyDescent="0.25">
      <c r="A95" s="3"/>
      <c r="B95" s="4"/>
      <c r="C95" s="4"/>
    </row>
    <row r="98" spans="1:3" x14ac:dyDescent="0.25">
      <c r="A98" s="274" t="s">
        <v>413</v>
      </c>
      <c r="B98" s="264"/>
      <c r="C98" s="264"/>
    </row>
  </sheetData>
  <mergeCells count="5">
    <mergeCell ref="A1:C1"/>
    <mergeCell ref="A2:C2"/>
    <mergeCell ref="A3:C3"/>
    <mergeCell ref="B5:C5"/>
    <mergeCell ref="A98:C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BankPresentation BS</vt:lpstr>
      <vt:lpstr>Bank Presentation IS</vt:lpstr>
      <vt:lpstr>IS v PY</vt:lpstr>
      <vt:lpstr>Financial Trend.Budget</vt:lpstr>
      <vt:lpstr>2024 Budget</vt:lpstr>
      <vt:lpstr>2024 Monthly</vt:lpstr>
      <vt:lpstr>Sales Detail</vt:lpstr>
      <vt:lpstr>Mktg.Advert</vt:lpstr>
      <vt:lpstr>Travel</vt:lpstr>
      <vt:lpstr>Financial fees</vt:lpstr>
      <vt:lpstr>DandS</vt:lpstr>
      <vt:lpstr>Weekly cash flow</vt:lpstr>
      <vt:lpstr>FF</vt:lpstr>
      <vt:lpstr>Sales by Segment</vt:lpstr>
      <vt:lpstr>Payroll</vt:lpstr>
      <vt:lpstr>QB</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mark clark</cp:lastModifiedBy>
  <cp:lastPrinted>2024-08-15T20:01:35Z</cp:lastPrinted>
  <dcterms:created xsi:type="dcterms:W3CDTF">2022-11-26T17:28:41Z</dcterms:created>
  <dcterms:modified xsi:type="dcterms:W3CDTF">2024-10-17T21:27:22Z</dcterms:modified>
</cp:coreProperties>
</file>