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59187e96f9a85847/Clark ^0 Assoc/Bravado/"/>
    </mc:Choice>
  </mc:AlternateContent>
  <xr:revisionPtr revIDLastSave="43" documentId="8_{8C69F96B-598A-49D0-A6D7-6FC17DB56D46}" xr6:coauthVersionLast="47" xr6:coauthVersionMax="47" xr10:uidLastSave="{2D73CA7C-CF86-4DB1-851F-CED2A7CCC4C2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1" l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82" i="1"/>
  <c r="P79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51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M34" i="1"/>
  <c r="M35" i="1"/>
  <c r="M36" i="1"/>
  <c r="M37" i="1"/>
  <c r="M38" i="1"/>
  <c r="M39" i="1"/>
  <c r="M40" i="1"/>
  <c r="M41" i="1"/>
  <c r="N41" i="1" s="1"/>
  <c r="M42" i="1"/>
  <c r="M43" i="1"/>
  <c r="M44" i="1"/>
  <c r="M45" i="1"/>
  <c r="M46" i="1"/>
  <c r="M47" i="1"/>
  <c r="M48" i="1"/>
  <c r="N38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3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" i="1"/>
  <c r="M96" i="1"/>
  <c r="G96" i="1"/>
  <c r="F96" i="1"/>
  <c r="D96" i="1"/>
  <c r="H96" i="1" s="1"/>
  <c r="M95" i="1"/>
  <c r="G95" i="1"/>
  <c r="F95" i="1"/>
  <c r="D95" i="1"/>
  <c r="M94" i="1"/>
  <c r="G94" i="1"/>
  <c r="F94" i="1"/>
  <c r="H94" i="1" s="1"/>
  <c r="J94" i="1" s="1"/>
  <c r="D94" i="1"/>
  <c r="M93" i="1"/>
  <c r="G93" i="1"/>
  <c r="F93" i="1"/>
  <c r="D93" i="1"/>
  <c r="M92" i="1"/>
  <c r="G92" i="1"/>
  <c r="H92" i="1" s="1"/>
  <c r="J92" i="1" s="1"/>
  <c r="F92" i="1"/>
  <c r="D92" i="1"/>
  <c r="N91" i="1"/>
  <c r="M91" i="1"/>
  <c r="H91" i="1"/>
  <c r="J91" i="1" s="1"/>
  <c r="G91" i="1"/>
  <c r="F91" i="1"/>
  <c r="D91" i="1"/>
  <c r="M90" i="1"/>
  <c r="N90" i="1" s="1"/>
  <c r="G90" i="1"/>
  <c r="F90" i="1"/>
  <c r="D90" i="1"/>
  <c r="H90" i="1" s="1"/>
  <c r="J90" i="1" s="1"/>
  <c r="M89" i="1"/>
  <c r="G89" i="1"/>
  <c r="F89" i="1"/>
  <c r="D89" i="1"/>
  <c r="H89" i="1" s="1"/>
  <c r="J89" i="1" s="1"/>
  <c r="M88" i="1"/>
  <c r="G88" i="1"/>
  <c r="F88" i="1"/>
  <c r="D88" i="1"/>
  <c r="M87" i="1"/>
  <c r="H87" i="1"/>
  <c r="J87" i="1" s="1"/>
  <c r="G87" i="1"/>
  <c r="F87" i="1"/>
  <c r="D87" i="1"/>
  <c r="M86" i="1"/>
  <c r="G86" i="1"/>
  <c r="H86" i="1" s="1"/>
  <c r="J86" i="1" s="1"/>
  <c r="F86" i="1"/>
  <c r="D86" i="1"/>
  <c r="M85" i="1"/>
  <c r="H85" i="1"/>
  <c r="G85" i="1"/>
  <c r="F85" i="1"/>
  <c r="D85" i="1"/>
  <c r="M84" i="1"/>
  <c r="G84" i="1"/>
  <c r="F84" i="1"/>
  <c r="D84" i="1"/>
  <c r="M83" i="1"/>
  <c r="N83" i="1" s="1"/>
  <c r="G83" i="1"/>
  <c r="F83" i="1"/>
  <c r="H83" i="1" s="1"/>
  <c r="J83" i="1" s="1"/>
  <c r="D83" i="1"/>
  <c r="M82" i="1"/>
  <c r="G82" i="1"/>
  <c r="F82" i="1"/>
  <c r="D82" i="1"/>
  <c r="M79" i="1"/>
  <c r="G79" i="1"/>
  <c r="F79" i="1"/>
  <c r="H79" i="1" s="1"/>
  <c r="J79" i="1" s="1"/>
  <c r="M78" i="1"/>
  <c r="G78" i="1"/>
  <c r="H78" i="1" s="1"/>
  <c r="J78" i="1" s="1"/>
  <c r="F78" i="1"/>
  <c r="M77" i="1"/>
  <c r="G77" i="1"/>
  <c r="F77" i="1"/>
  <c r="H77" i="1" s="1"/>
  <c r="J77" i="1" s="1"/>
  <c r="M76" i="1"/>
  <c r="H76" i="1"/>
  <c r="G76" i="1"/>
  <c r="F76" i="1"/>
  <c r="M75" i="1"/>
  <c r="G75" i="1"/>
  <c r="F75" i="1"/>
  <c r="H75" i="1" s="1"/>
  <c r="J75" i="1" s="1"/>
  <c r="M74" i="1"/>
  <c r="G74" i="1"/>
  <c r="H74" i="1" s="1"/>
  <c r="J74" i="1" s="1"/>
  <c r="F74" i="1"/>
  <c r="M73" i="1"/>
  <c r="G73" i="1"/>
  <c r="F73" i="1"/>
  <c r="H73" i="1" s="1"/>
  <c r="J73" i="1" s="1"/>
  <c r="M72" i="1"/>
  <c r="H72" i="1"/>
  <c r="G72" i="1"/>
  <c r="F72" i="1"/>
  <c r="M71" i="1"/>
  <c r="G71" i="1"/>
  <c r="F71" i="1"/>
  <c r="H71" i="1" s="1"/>
  <c r="J71" i="1" s="1"/>
  <c r="M70" i="1"/>
  <c r="G70" i="1"/>
  <c r="H70" i="1" s="1"/>
  <c r="J70" i="1" s="1"/>
  <c r="F70" i="1"/>
  <c r="M69" i="1"/>
  <c r="G69" i="1"/>
  <c r="F69" i="1"/>
  <c r="H69" i="1" s="1"/>
  <c r="J69" i="1" s="1"/>
  <c r="M68" i="1"/>
  <c r="H68" i="1"/>
  <c r="G68" i="1"/>
  <c r="F68" i="1"/>
  <c r="M67" i="1"/>
  <c r="G67" i="1"/>
  <c r="F67" i="1"/>
  <c r="H67" i="1" s="1"/>
  <c r="J67" i="1" s="1"/>
  <c r="M66" i="1"/>
  <c r="G66" i="1"/>
  <c r="H66" i="1" s="1"/>
  <c r="J66" i="1" s="1"/>
  <c r="F66" i="1"/>
  <c r="M65" i="1"/>
  <c r="G65" i="1"/>
  <c r="F65" i="1"/>
  <c r="H65" i="1" s="1"/>
  <c r="J65" i="1" s="1"/>
  <c r="M64" i="1"/>
  <c r="H64" i="1"/>
  <c r="J64" i="1" s="1"/>
  <c r="G64" i="1"/>
  <c r="F64" i="1"/>
  <c r="M63" i="1"/>
  <c r="G63" i="1"/>
  <c r="F63" i="1"/>
  <c r="H63" i="1" s="1"/>
  <c r="J63" i="1" s="1"/>
  <c r="M62" i="1"/>
  <c r="H62" i="1"/>
  <c r="J62" i="1" s="1"/>
  <c r="G62" i="1"/>
  <c r="F62" i="1"/>
  <c r="M61" i="1"/>
  <c r="G61" i="1"/>
  <c r="F61" i="1"/>
  <c r="H61" i="1" s="1"/>
  <c r="J61" i="1" s="1"/>
  <c r="M60" i="1"/>
  <c r="G60" i="1"/>
  <c r="F60" i="1"/>
  <c r="H60" i="1" s="1"/>
  <c r="M59" i="1"/>
  <c r="H59" i="1"/>
  <c r="J59" i="1" s="1"/>
  <c r="G59" i="1"/>
  <c r="F59" i="1"/>
  <c r="M58" i="1"/>
  <c r="G58" i="1"/>
  <c r="F58" i="1"/>
  <c r="H58" i="1" s="1"/>
  <c r="J58" i="1" s="1"/>
  <c r="M57" i="1"/>
  <c r="G57" i="1"/>
  <c r="F57" i="1"/>
  <c r="H57" i="1" s="1"/>
  <c r="J57" i="1" s="1"/>
  <c r="M56" i="1"/>
  <c r="G56" i="1"/>
  <c r="F56" i="1"/>
  <c r="H56" i="1" s="1"/>
  <c r="M55" i="1"/>
  <c r="G55" i="1"/>
  <c r="F55" i="1"/>
  <c r="H55" i="1" s="1"/>
  <c r="J55" i="1" s="1"/>
  <c r="M54" i="1"/>
  <c r="H54" i="1"/>
  <c r="J54" i="1" s="1"/>
  <c r="G54" i="1"/>
  <c r="F54" i="1"/>
  <c r="M53" i="1"/>
  <c r="G53" i="1"/>
  <c r="F53" i="1"/>
  <c r="H53" i="1" s="1"/>
  <c r="J53" i="1" s="1"/>
  <c r="M52" i="1"/>
  <c r="G52" i="1"/>
  <c r="F52" i="1"/>
  <c r="H52" i="1" s="1"/>
  <c r="M51" i="1"/>
  <c r="G51" i="1"/>
  <c r="F51" i="1"/>
  <c r="H51" i="1" s="1"/>
  <c r="J51" i="1" s="1"/>
  <c r="G48" i="1"/>
  <c r="F48" i="1"/>
  <c r="D48" i="1"/>
  <c r="H48" i="1" s="1"/>
  <c r="J48" i="1" s="1"/>
  <c r="G47" i="1"/>
  <c r="F47" i="1"/>
  <c r="D47" i="1"/>
  <c r="G46" i="1"/>
  <c r="F46" i="1"/>
  <c r="H46" i="1" s="1"/>
  <c r="J46" i="1" s="1"/>
  <c r="D46" i="1"/>
  <c r="G45" i="1"/>
  <c r="F45" i="1"/>
  <c r="D45" i="1"/>
  <c r="H45" i="1" s="1"/>
  <c r="J45" i="1" s="1"/>
  <c r="N44" i="1"/>
  <c r="G44" i="1"/>
  <c r="F44" i="1"/>
  <c r="H44" i="1" s="1"/>
  <c r="J44" i="1" s="1"/>
  <c r="D44" i="1"/>
  <c r="G43" i="1"/>
  <c r="F43" i="1"/>
  <c r="D43" i="1"/>
  <c r="H43" i="1" s="1"/>
  <c r="J43" i="1" s="1"/>
  <c r="G42" i="1"/>
  <c r="F42" i="1"/>
  <c r="D42" i="1"/>
  <c r="H42" i="1" s="1"/>
  <c r="J42" i="1" s="1"/>
  <c r="G41" i="1"/>
  <c r="F41" i="1"/>
  <c r="D41" i="1"/>
  <c r="H41" i="1" s="1"/>
  <c r="J41" i="1" s="1"/>
  <c r="G40" i="1"/>
  <c r="F40" i="1"/>
  <c r="D40" i="1"/>
  <c r="H39" i="1"/>
  <c r="J39" i="1" s="1"/>
  <c r="G39" i="1"/>
  <c r="F39" i="1"/>
  <c r="D39" i="1"/>
  <c r="H38" i="1"/>
  <c r="J38" i="1" s="1"/>
  <c r="G38" i="1"/>
  <c r="F38" i="1"/>
  <c r="D38" i="1"/>
  <c r="G37" i="1"/>
  <c r="F37" i="1"/>
  <c r="D37" i="1"/>
  <c r="H37" i="1" s="1"/>
  <c r="J37" i="1" s="1"/>
  <c r="N36" i="1"/>
  <c r="H36" i="1"/>
  <c r="J36" i="1" s="1"/>
  <c r="G36" i="1"/>
  <c r="F36" i="1"/>
  <c r="D36" i="1"/>
  <c r="N35" i="1"/>
  <c r="J35" i="1"/>
  <c r="G35" i="1"/>
  <c r="F35" i="1"/>
  <c r="D35" i="1"/>
  <c r="H35" i="1" s="1"/>
  <c r="N34" i="1"/>
  <c r="P34" i="1" s="1"/>
  <c r="J34" i="1"/>
  <c r="G34" i="1"/>
  <c r="F34" i="1"/>
  <c r="D34" i="1"/>
  <c r="H34" i="1" s="1"/>
  <c r="M31" i="1"/>
  <c r="N31" i="1" s="1"/>
  <c r="J31" i="1"/>
  <c r="G31" i="1"/>
  <c r="F31" i="1"/>
  <c r="H31" i="1" s="1"/>
  <c r="M30" i="1"/>
  <c r="G30" i="1"/>
  <c r="F30" i="1"/>
  <c r="H30" i="1" s="1"/>
  <c r="J30" i="1" s="1"/>
  <c r="M29" i="1"/>
  <c r="N29" i="1" s="1"/>
  <c r="G29" i="1"/>
  <c r="F29" i="1"/>
  <c r="H29" i="1" s="1"/>
  <c r="J29" i="1" s="1"/>
  <c r="N28" i="1"/>
  <c r="M28" i="1"/>
  <c r="G28" i="1"/>
  <c r="F28" i="1"/>
  <c r="H28" i="1" s="1"/>
  <c r="J28" i="1" s="1"/>
  <c r="M27" i="1"/>
  <c r="N27" i="1" s="1"/>
  <c r="J27" i="1"/>
  <c r="G27" i="1"/>
  <c r="F27" i="1"/>
  <c r="H27" i="1" s="1"/>
  <c r="M26" i="1"/>
  <c r="G26" i="1"/>
  <c r="F26" i="1"/>
  <c r="H26" i="1" s="1"/>
  <c r="J26" i="1" s="1"/>
  <c r="M25" i="1"/>
  <c r="G25" i="1"/>
  <c r="F25" i="1"/>
  <c r="H25" i="1" s="1"/>
  <c r="J25" i="1" s="1"/>
  <c r="M24" i="1"/>
  <c r="G24" i="1"/>
  <c r="F24" i="1"/>
  <c r="H24" i="1" s="1"/>
  <c r="J24" i="1" s="1"/>
  <c r="M23" i="1"/>
  <c r="N23" i="1" s="1"/>
  <c r="G23" i="1"/>
  <c r="F23" i="1"/>
  <c r="H23" i="1" s="1"/>
  <c r="J23" i="1" s="1"/>
  <c r="M22" i="1"/>
  <c r="N22" i="1" s="1"/>
  <c r="J22" i="1"/>
  <c r="G22" i="1"/>
  <c r="F22" i="1"/>
  <c r="H22" i="1" s="1"/>
  <c r="M21" i="1"/>
  <c r="N21" i="1" s="1"/>
  <c r="G21" i="1"/>
  <c r="F21" i="1"/>
  <c r="H21" i="1" s="1"/>
  <c r="J21" i="1" s="1"/>
  <c r="M20" i="1"/>
  <c r="G20" i="1"/>
  <c r="F20" i="1"/>
  <c r="H20" i="1" s="1"/>
  <c r="J20" i="1" s="1"/>
  <c r="M19" i="1"/>
  <c r="J19" i="1"/>
  <c r="G19" i="1"/>
  <c r="F19" i="1"/>
  <c r="H19" i="1" s="1"/>
  <c r="M18" i="1"/>
  <c r="N18" i="1" s="1"/>
  <c r="J18" i="1"/>
  <c r="G18" i="1"/>
  <c r="F18" i="1"/>
  <c r="H18" i="1" s="1"/>
  <c r="M17" i="1"/>
  <c r="N17" i="1" s="1"/>
  <c r="G17" i="1"/>
  <c r="F17" i="1"/>
  <c r="H17" i="1" s="1"/>
  <c r="J17" i="1" s="1"/>
  <c r="M16" i="1"/>
  <c r="G16" i="1"/>
  <c r="F16" i="1"/>
  <c r="H16" i="1" s="1"/>
  <c r="J16" i="1" s="1"/>
  <c r="M15" i="1"/>
  <c r="G15" i="1"/>
  <c r="F15" i="1"/>
  <c r="H15" i="1" s="1"/>
  <c r="J15" i="1" s="1"/>
  <c r="M14" i="1"/>
  <c r="N14" i="1" s="1"/>
  <c r="G14" i="1"/>
  <c r="F14" i="1"/>
  <c r="H14" i="1" s="1"/>
  <c r="J14" i="1" s="1"/>
  <c r="M13" i="1"/>
  <c r="N13" i="1" s="1"/>
  <c r="G13" i="1"/>
  <c r="F13" i="1"/>
  <c r="H13" i="1" s="1"/>
  <c r="J13" i="1" s="1"/>
  <c r="M12" i="1"/>
  <c r="G12" i="1"/>
  <c r="F12" i="1"/>
  <c r="H12" i="1" s="1"/>
  <c r="J12" i="1" s="1"/>
  <c r="M11" i="1"/>
  <c r="G11" i="1"/>
  <c r="F11" i="1"/>
  <c r="H11" i="1" s="1"/>
  <c r="J11" i="1" s="1"/>
  <c r="M10" i="1"/>
  <c r="N10" i="1" s="1"/>
  <c r="J10" i="1"/>
  <c r="G10" i="1"/>
  <c r="F10" i="1"/>
  <c r="H10" i="1" s="1"/>
  <c r="M9" i="1"/>
  <c r="N9" i="1" s="1"/>
  <c r="G9" i="1"/>
  <c r="F9" i="1"/>
  <c r="H9" i="1" s="1"/>
  <c r="J9" i="1" s="1"/>
  <c r="N8" i="1"/>
  <c r="M8" i="1"/>
  <c r="G8" i="1"/>
  <c r="F8" i="1"/>
  <c r="H8" i="1" s="1"/>
  <c r="J8" i="1" s="1"/>
  <c r="M7" i="1"/>
  <c r="G7" i="1"/>
  <c r="F7" i="1"/>
  <c r="H7" i="1" s="1"/>
  <c r="J7" i="1" s="1"/>
  <c r="M6" i="1"/>
  <c r="G6" i="1"/>
  <c r="F6" i="1"/>
  <c r="H6" i="1" s="1"/>
  <c r="J6" i="1" s="1"/>
  <c r="M5" i="1"/>
  <c r="N5" i="1" s="1"/>
  <c r="G5" i="1"/>
  <c r="F5" i="1"/>
  <c r="H5" i="1" s="1"/>
  <c r="J5" i="1" s="1"/>
  <c r="N4" i="1"/>
  <c r="M4" i="1"/>
  <c r="G4" i="1"/>
  <c r="F4" i="1"/>
  <c r="H4" i="1" s="1"/>
  <c r="J4" i="1" s="1"/>
  <c r="M3" i="1"/>
  <c r="G3" i="1"/>
  <c r="F3" i="1"/>
  <c r="H3" i="1" s="1"/>
  <c r="J3" i="1" s="1"/>
  <c r="J56" i="1" l="1"/>
  <c r="N56" i="1"/>
  <c r="J52" i="1"/>
  <c r="N52" i="1"/>
  <c r="J60" i="1"/>
  <c r="N60" i="1"/>
  <c r="N37" i="1"/>
  <c r="N59" i="1"/>
  <c r="J72" i="1"/>
  <c r="N72" i="1"/>
  <c r="N64" i="1"/>
  <c r="N51" i="1"/>
  <c r="N61" i="1"/>
  <c r="N87" i="1"/>
  <c r="N57" i="1"/>
  <c r="J76" i="1"/>
  <c r="N76" i="1"/>
  <c r="N43" i="1"/>
  <c r="N7" i="1"/>
  <c r="N12" i="1"/>
  <c r="N26" i="1"/>
  <c r="N63" i="1"/>
  <c r="N11" i="1"/>
  <c r="N16" i="1"/>
  <c r="N30" i="1"/>
  <c r="N39" i="1"/>
  <c r="N53" i="1"/>
  <c r="N89" i="1"/>
  <c r="J68" i="1"/>
  <c r="N68" i="1"/>
  <c r="N3" i="1"/>
  <c r="N15" i="1"/>
  <c r="N20" i="1"/>
  <c r="N25" i="1"/>
  <c r="N42" i="1"/>
  <c r="N46" i="1"/>
  <c r="N55" i="1"/>
  <c r="N67" i="1"/>
  <c r="N71" i="1"/>
  <c r="N75" i="1"/>
  <c r="N79" i="1"/>
  <c r="N85" i="1"/>
  <c r="J85" i="1"/>
  <c r="N6" i="1"/>
  <c r="N19" i="1"/>
  <c r="N24" i="1"/>
  <c r="H40" i="1"/>
  <c r="H47" i="1"/>
  <c r="J47" i="1" s="1"/>
  <c r="N48" i="1"/>
  <c r="H82" i="1"/>
  <c r="H84" i="1"/>
  <c r="J84" i="1" s="1"/>
  <c r="H93" i="1"/>
  <c r="H88" i="1"/>
  <c r="N94" i="1"/>
  <c r="N96" i="1"/>
  <c r="J96" i="1"/>
  <c r="N86" i="1"/>
  <c r="N54" i="1"/>
  <c r="N58" i="1"/>
  <c r="N62" i="1"/>
  <c r="N66" i="1"/>
  <c r="N70" i="1"/>
  <c r="N74" i="1"/>
  <c r="N78" i="1"/>
  <c r="N65" i="1"/>
  <c r="N69" i="1"/>
  <c r="N73" i="1"/>
  <c r="N77" i="1"/>
  <c r="N84" i="1"/>
  <c r="H95" i="1"/>
  <c r="N45" i="1"/>
  <c r="N92" i="1"/>
  <c r="J88" i="1" l="1"/>
  <c r="N88" i="1"/>
  <c r="J95" i="1"/>
  <c r="N95" i="1"/>
  <c r="N93" i="1"/>
  <c r="J93" i="1"/>
  <c r="J40" i="1"/>
  <c r="N40" i="1"/>
  <c r="N82" i="1"/>
  <c r="J82" i="1"/>
  <c r="N47" i="1"/>
</calcChain>
</file>

<file path=xl/sharedStrings.xml><?xml version="1.0" encoding="utf-8"?>
<sst xmlns="http://schemas.openxmlformats.org/spreadsheetml/2006/main" count="151" uniqueCount="70">
  <si>
    <t>Faire</t>
  </si>
  <si>
    <t>Prod Cost</t>
  </si>
  <si>
    <t>Inbound Freight</t>
  </si>
  <si>
    <t>6-pack Cost</t>
  </si>
  <si>
    <t>Packaging</t>
  </si>
  <si>
    <t>Faire Com 15%</t>
  </si>
  <si>
    <t>CC Fee 3.5% +.30</t>
  </si>
  <si>
    <t>COGS</t>
  </si>
  <si>
    <t>Price</t>
  </si>
  <si>
    <t>Profit</t>
  </si>
  <si>
    <t>Margin w/com</t>
  </si>
  <si>
    <t>Margin w/o/com</t>
  </si>
  <si>
    <t>10% Disco</t>
  </si>
  <si>
    <t>Disco Profit</t>
  </si>
  <si>
    <t>Black Garlic 6-pack</t>
  </si>
  <si>
    <t>Creamy 6-pack</t>
  </si>
  <si>
    <t>Pine Hab 6-pack</t>
  </si>
  <si>
    <t>Serrano 6-pack</t>
  </si>
  <si>
    <t>Blueberry 6-pack</t>
  </si>
  <si>
    <t>ACG 6-pack</t>
  </si>
  <si>
    <t>Manuka 6-pack</t>
  </si>
  <si>
    <t>Aka Miso 6-pack</t>
  </si>
  <si>
    <t>GAMS 6-pack</t>
  </si>
  <si>
    <t>Ancho Masala 6-pack</t>
  </si>
  <si>
    <t>Black Garlic 12-pack</t>
  </si>
  <si>
    <t>Creamy 12-pack</t>
  </si>
  <si>
    <t>Pine Hab 12-pack</t>
  </si>
  <si>
    <t>Serrano 12-pack</t>
  </si>
  <si>
    <t>Blueberry 12-pack</t>
  </si>
  <si>
    <t>ACG 12-pack</t>
  </si>
  <si>
    <t>Manuka 12-pack</t>
  </si>
  <si>
    <t>Aka Miso 12-pack</t>
  </si>
  <si>
    <t>GAMS 12-pack</t>
  </si>
  <si>
    <t>Ancho Masala 12-pack</t>
  </si>
  <si>
    <t>Jalapeno Seasoning</t>
  </si>
  <si>
    <t>Arbol Seasoning</t>
  </si>
  <si>
    <t>Pine Mix</t>
  </si>
  <si>
    <t>Lime &amp; Yuzu Mix</t>
  </si>
  <si>
    <t>Ruby Red Mix</t>
  </si>
  <si>
    <t>4 Pack</t>
  </si>
  <si>
    <t>Super Hot</t>
  </si>
  <si>
    <t>Reaper Bundle</t>
  </si>
  <si>
    <t>Famous Bundle</t>
  </si>
  <si>
    <t>Kehe</t>
  </si>
  <si>
    <t>inbound Freight</t>
  </si>
  <si>
    <t>Swell 2%</t>
  </si>
  <si>
    <t>Bi Connect 2%</t>
  </si>
  <si>
    <t>Net15 2%</t>
  </si>
  <si>
    <t>Margin</t>
  </si>
  <si>
    <t>15% Disco</t>
  </si>
  <si>
    <t>Black Garlic</t>
  </si>
  <si>
    <t>Creamy</t>
  </si>
  <si>
    <t>Pine Hab</t>
  </si>
  <si>
    <t>Serrano</t>
  </si>
  <si>
    <t>Blueberry</t>
  </si>
  <si>
    <t>ACG</t>
  </si>
  <si>
    <t>Manuka</t>
  </si>
  <si>
    <t>Aka Miso</t>
  </si>
  <si>
    <t>GAMS</t>
  </si>
  <si>
    <t>Ancho Masala</t>
  </si>
  <si>
    <t>Classic Marg</t>
  </si>
  <si>
    <t>Wholesale Direct</t>
  </si>
  <si>
    <t>Outbound Freight</t>
  </si>
  <si>
    <t>CC Fee 2.4% +.30</t>
  </si>
  <si>
    <t>Margin w/OBF</t>
  </si>
  <si>
    <t>Margin w/o/OBF</t>
  </si>
  <si>
    <t>Kehe Pre 9/22 PC</t>
  </si>
  <si>
    <t>Yuzu Mix</t>
  </si>
  <si>
    <t>live now</t>
  </si>
  <si>
    <t>effective 9/22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</si>
</sst>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FF"/>
      <name val="Arial"/>
    </font>
    <font>
      <sz val="10"/>
      <color rgb="FFFF0000"/>
      <name val="Arial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2" fillId="2" borderId="0" xfId="0" applyFont="1" applyFill="1"/>
    <xf numFmtId="0" fontId="4" fillId="4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4" fontId="5" fillId="4" borderId="0" xfId="0" applyNumberFormat="1" applyFont="1" applyFill="1" applyAlignment="1">
      <alignment horizontal="right"/>
    </xf>
    <xf numFmtId="39" fontId="2" fillId="0" borderId="0" xfId="0" applyNumberFormat="1" applyFont="1" applyAlignment="1">
      <alignment horizontal="right"/>
    </xf>
    <xf numFmtId="39" fontId="3" fillId="0" borderId="0" xfId="0" applyNumberFormat="1" applyFont="1"/>
    <xf numFmtId="39" fontId="0" fillId="0" borderId="0" xfId="0" applyNumberFormat="1"/>
    <xf numFmtId="39" fontId="6" fillId="0" borderId="0" xfId="0" applyNumberFormat="1" applyFont="1" applyAlignment="1">
      <alignment horizontal="right"/>
    </xf>
    <xf numFmtId="165" fontId="4" fillId="4" borderId="0" xfId="0" applyNumberFormat="1" applyFont="1" applyFill="1" applyAlignment="1">
      <alignment horizontal="right"/>
    </xf>
  </cellXfs>
  <cellStyles count="1">
    <cellStyle name="Normal" xfId="0" builtinId="0"/>
  </cellStyles>
  <dxfs count="27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Q96"/>
  <sheetViews>
    <sheetView tabSelected="1" workbookViewId="0">
      <pane xSplit="1" topLeftCell="B1" activePane="topRight" state="frozen"/>
      <selection pane="topRight" activeCell="O83" sqref="O83"/>
    </sheetView>
  </sheetViews>
  <sheetFormatPr defaultColWidth="12.5703125" defaultRowHeight="15.75" customHeight="1" x14ac:dyDescent="0.2"/>
  <cols>
    <col min="1" max="1" width="17.42578125" customWidth="1"/>
    <col min="3" max="3" width="19.28515625" customWidth="1"/>
    <col min="6" max="6" width="15.85546875" customWidth="1"/>
    <col min="7" max="7" width="16.5703125" customWidth="1"/>
    <col min="12" max="12" width="16.140625" customWidth="1"/>
    <col min="16" max="16" width="14.42578125" customWidth="1"/>
  </cols>
  <sheetData>
    <row r="2" spans="1:17" ht="12.7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 t="s">
        <v>13</v>
      </c>
      <c r="O2" s="1" t="s">
        <v>10</v>
      </c>
      <c r="P2" s="1" t="s">
        <v>11</v>
      </c>
      <c r="Q2" s="1" t="s">
        <v>68</v>
      </c>
    </row>
    <row r="3" spans="1:17" ht="12.75" x14ac:dyDescent="0.2">
      <c r="A3" s="3" t="s">
        <v>14</v>
      </c>
      <c r="B3" s="8">
        <v>14.52</v>
      </c>
      <c r="C3" s="8">
        <v>0.36</v>
      </c>
      <c r="D3" s="9">
        <v>0.5</v>
      </c>
      <c r="E3" s="8">
        <v>0.35</v>
      </c>
      <c r="F3" s="8">
        <f t="shared" ref="F3:F31" si="0">I3*0.15</f>
        <v>5.9579999999999993</v>
      </c>
      <c r="G3" s="8">
        <f t="shared" ref="G3:G31" si="1">(I3*0.035)+0.3</f>
        <v>1.6902000000000001</v>
      </c>
      <c r="H3" s="8">
        <f t="shared" ref="H3:H31" si="2">SUM(B3:G3)</f>
        <v>23.3782</v>
      </c>
      <c r="I3" s="8">
        <v>39.72</v>
      </c>
      <c r="J3" s="8">
        <f t="shared" ref="J3:J31" si="3">I3-H3</f>
        <v>16.341799999999999</v>
      </c>
      <c r="K3" s="12">
        <f>J3/I3</f>
        <v>0.41142497482376633</v>
      </c>
      <c r="L3" s="12">
        <f>(J3+F3)/I3</f>
        <v>0.5614249748237663</v>
      </c>
      <c r="M3" s="8">
        <f t="shared" ref="M3:M31" si="4">I3*0.9</f>
        <v>35.747999999999998</v>
      </c>
      <c r="N3" s="8">
        <f t="shared" ref="N3:N31" si="5">M3-H3</f>
        <v>12.369799999999998</v>
      </c>
      <c r="O3" s="12">
        <f>N3/M3</f>
        <v>0.34602774980418483</v>
      </c>
      <c r="P3" s="12">
        <f>(N3+G3)/M3</f>
        <v>0.39330871657155642</v>
      </c>
    </row>
    <row r="4" spans="1:17" ht="12.75" x14ac:dyDescent="0.2">
      <c r="A4" s="3" t="s">
        <v>15</v>
      </c>
      <c r="B4" s="8">
        <v>11.88</v>
      </c>
      <c r="C4" s="8">
        <v>0.36</v>
      </c>
      <c r="D4" s="9">
        <v>0.5</v>
      </c>
      <c r="E4" s="8">
        <v>0.35</v>
      </c>
      <c r="F4" s="8">
        <f t="shared" si="0"/>
        <v>4.4909999999999997</v>
      </c>
      <c r="G4" s="8">
        <f t="shared" si="1"/>
        <v>1.3479000000000001</v>
      </c>
      <c r="H4" s="8">
        <f t="shared" si="2"/>
        <v>18.928899999999999</v>
      </c>
      <c r="I4" s="8">
        <v>29.94</v>
      </c>
      <c r="J4" s="8">
        <f t="shared" si="3"/>
        <v>11.011100000000003</v>
      </c>
      <c r="K4" s="12">
        <f t="shared" ref="K4:K31" si="6">J4/I4</f>
        <v>0.36777221108884445</v>
      </c>
      <c r="L4" s="12">
        <f t="shared" ref="L4:L31" si="7">(J4+F4)/I4</f>
        <v>0.51777221108884441</v>
      </c>
      <c r="M4" s="8">
        <f t="shared" si="4"/>
        <v>26.946000000000002</v>
      </c>
      <c r="N4" s="8">
        <f t="shared" si="5"/>
        <v>8.0171000000000028</v>
      </c>
      <c r="O4" s="12">
        <f t="shared" ref="O4:O31" si="8">N4/M4</f>
        <v>0.29752467898760493</v>
      </c>
      <c r="P4" s="12">
        <f t="shared" ref="P4:P31" si="9">(N4+G4)/M4</f>
        <v>0.34754694574333861</v>
      </c>
    </row>
    <row r="5" spans="1:17" ht="12.75" x14ac:dyDescent="0.2">
      <c r="A5" s="3" t="s">
        <v>16</v>
      </c>
      <c r="B5" s="8">
        <v>9</v>
      </c>
      <c r="C5" s="8">
        <v>0.36</v>
      </c>
      <c r="D5" s="9">
        <v>0.5</v>
      </c>
      <c r="E5" s="8">
        <v>0.35</v>
      </c>
      <c r="F5" s="8">
        <f t="shared" si="0"/>
        <v>3.8879999999999999</v>
      </c>
      <c r="G5" s="8">
        <f t="shared" si="1"/>
        <v>1.2072000000000001</v>
      </c>
      <c r="H5" s="8">
        <f t="shared" si="2"/>
        <v>15.305199999999999</v>
      </c>
      <c r="I5" s="8">
        <v>25.92</v>
      </c>
      <c r="J5" s="8">
        <f t="shared" si="3"/>
        <v>10.614800000000002</v>
      </c>
      <c r="K5" s="12">
        <f t="shared" si="6"/>
        <v>0.40952160493827167</v>
      </c>
      <c r="L5" s="12">
        <f t="shared" si="7"/>
        <v>0.55952160493827163</v>
      </c>
      <c r="M5" s="8">
        <f t="shared" si="4"/>
        <v>23.328000000000003</v>
      </c>
      <c r="N5" s="8">
        <f t="shared" si="5"/>
        <v>8.0228000000000037</v>
      </c>
      <c r="O5" s="12">
        <f t="shared" si="8"/>
        <v>0.34391289437585748</v>
      </c>
      <c r="P5" s="12">
        <f t="shared" si="9"/>
        <v>0.39566186556927307</v>
      </c>
    </row>
    <row r="6" spans="1:17" ht="12.75" x14ac:dyDescent="0.2">
      <c r="A6" s="3" t="s">
        <v>17</v>
      </c>
      <c r="B6" s="8">
        <v>9.6</v>
      </c>
      <c r="C6" s="8">
        <v>0.36</v>
      </c>
      <c r="D6" s="9">
        <v>0.5</v>
      </c>
      <c r="E6" s="8">
        <v>0.35</v>
      </c>
      <c r="F6" s="8">
        <f t="shared" si="0"/>
        <v>4.1085000000000003</v>
      </c>
      <c r="G6" s="8">
        <f t="shared" si="1"/>
        <v>1.25865</v>
      </c>
      <c r="H6" s="8">
        <f t="shared" si="2"/>
        <v>16.177149999999997</v>
      </c>
      <c r="I6" s="8">
        <v>27.39</v>
      </c>
      <c r="J6" s="8">
        <f t="shared" si="3"/>
        <v>11.212850000000003</v>
      </c>
      <c r="K6" s="12">
        <f t="shared" si="6"/>
        <v>0.40937751004016076</v>
      </c>
      <c r="L6" s="12">
        <f t="shared" si="7"/>
        <v>0.55937751004016067</v>
      </c>
      <c r="M6" s="8">
        <f t="shared" si="4"/>
        <v>24.651</v>
      </c>
      <c r="N6" s="8">
        <f t="shared" si="5"/>
        <v>8.4738500000000023</v>
      </c>
      <c r="O6" s="12">
        <f t="shared" si="8"/>
        <v>0.34375278893351191</v>
      </c>
      <c r="P6" s="12">
        <f t="shared" si="9"/>
        <v>0.39481156951036478</v>
      </c>
    </row>
    <row r="7" spans="1:17" ht="12.75" x14ac:dyDescent="0.2">
      <c r="A7" s="3" t="s">
        <v>18</v>
      </c>
      <c r="B7" s="8">
        <v>9.9600000000000009</v>
      </c>
      <c r="C7" s="8">
        <v>0.36</v>
      </c>
      <c r="D7" s="9">
        <v>0.5</v>
      </c>
      <c r="E7" s="8">
        <v>0.35</v>
      </c>
      <c r="F7" s="8">
        <f t="shared" si="0"/>
        <v>4.2480000000000002</v>
      </c>
      <c r="G7" s="8">
        <f t="shared" si="1"/>
        <v>1.2912000000000001</v>
      </c>
      <c r="H7" s="8">
        <f t="shared" si="2"/>
        <v>16.709199999999999</v>
      </c>
      <c r="I7" s="8">
        <v>28.32</v>
      </c>
      <c r="J7" s="8">
        <f t="shared" si="3"/>
        <v>11.610800000000001</v>
      </c>
      <c r="K7" s="12">
        <f t="shared" si="6"/>
        <v>0.4099858757062147</v>
      </c>
      <c r="L7" s="12">
        <f t="shared" si="7"/>
        <v>0.55998587570621472</v>
      </c>
      <c r="M7" s="8">
        <f t="shared" si="4"/>
        <v>25.488</v>
      </c>
      <c r="N7" s="8">
        <f t="shared" si="5"/>
        <v>8.7788000000000004</v>
      </c>
      <c r="O7" s="12">
        <f t="shared" si="8"/>
        <v>0.34442875078468299</v>
      </c>
      <c r="P7" s="12">
        <f t="shared" si="9"/>
        <v>0.3950878844946642</v>
      </c>
    </row>
    <row r="8" spans="1:17" ht="12.75" x14ac:dyDescent="0.2">
      <c r="A8" s="3" t="s">
        <v>19</v>
      </c>
      <c r="B8" s="8">
        <v>8.8800000000000008</v>
      </c>
      <c r="C8" s="8">
        <v>0.36</v>
      </c>
      <c r="D8" s="9">
        <v>0.5</v>
      </c>
      <c r="E8" s="8">
        <v>0.35</v>
      </c>
      <c r="F8" s="8">
        <f t="shared" si="0"/>
        <v>3.84</v>
      </c>
      <c r="G8" s="8">
        <f t="shared" si="1"/>
        <v>1.1960000000000002</v>
      </c>
      <c r="H8" s="8">
        <f t="shared" si="2"/>
        <v>15.125999999999999</v>
      </c>
      <c r="I8" s="8">
        <v>25.6</v>
      </c>
      <c r="J8" s="8">
        <f t="shared" si="3"/>
        <v>10.474000000000002</v>
      </c>
      <c r="K8" s="12">
        <f t="shared" si="6"/>
        <v>0.40914062500000004</v>
      </c>
      <c r="L8" s="12">
        <f t="shared" si="7"/>
        <v>0.55914062500000006</v>
      </c>
      <c r="M8" s="8">
        <f t="shared" si="4"/>
        <v>23.040000000000003</v>
      </c>
      <c r="N8" s="8">
        <f t="shared" si="5"/>
        <v>7.9140000000000033</v>
      </c>
      <c r="O8" s="12">
        <f t="shared" si="8"/>
        <v>0.34348958333333346</v>
      </c>
      <c r="P8" s="12">
        <f t="shared" si="9"/>
        <v>0.39539930555555564</v>
      </c>
    </row>
    <row r="9" spans="1:17" ht="12.75" x14ac:dyDescent="0.2">
      <c r="A9" s="3" t="s">
        <v>20</v>
      </c>
      <c r="B9" s="8">
        <v>26.7</v>
      </c>
      <c r="C9" s="8">
        <v>0.36</v>
      </c>
      <c r="D9" s="9">
        <v>0.5</v>
      </c>
      <c r="E9" s="8">
        <v>0.35</v>
      </c>
      <c r="F9" s="8">
        <f t="shared" si="0"/>
        <v>10.423499999999999</v>
      </c>
      <c r="G9" s="8">
        <f t="shared" si="1"/>
        <v>2.7321499999999999</v>
      </c>
      <c r="H9" s="8">
        <f t="shared" si="2"/>
        <v>41.065649999999998</v>
      </c>
      <c r="I9" s="8">
        <v>69.489999999999995</v>
      </c>
      <c r="J9" s="8">
        <f t="shared" si="3"/>
        <v>28.424349999999997</v>
      </c>
      <c r="K9" s="12">
        <f t="shared" si="6"/>
        <v>0.40904230824579074</v>
      </c>
      <c r="L9" s="12">
        <f t="shared" si="7"/>
        <v>0.55904230824579071</v>
      </c>
      <c r="M9" s="8">
        <f t="shared" si="4"/>
        <v>62.540999999999997</v>
      </c>
      <c r="N9" s="8">
        <f t="shared" si="5"/>
        <v>21.475349999999999</v>
      </c>
      <c r="O9" s="12">
        <f t="shared" si="8"/>
        <v>0.34338034249532307</v>
      </c>
      <c r="P9" s="12">
        <f t="shared" si="9"/>
        <v>0.38706608464847064</v>
      </c>
    </row>
    <row r="10" spans="1:17" ht="12.75" x14ac:dyDescent="0.2">
      <c r="A10" s="3" t="s">
        <v>21</v>
      </c>
      <c r="B10" s="8">
        <v>13.32</v>
      </c>
      <c r="C10" s="8">
        <v>0.36</v>
      </c>
      <c r="D10" s="9">
        <v>0.5</v>
      </c>
      <c r="E10" s="8">
        <v>0.35</v>
      </c>
      <c r="F10" s="8">
        <f t="shared" si="0"/>
        <v>5.9579999999999993</v>
      </c>
      <c r="G10" s="8">
        <f t="shared" si="1"/>
        <v>1.6902000000000001</v>
      </c>
      <c r="H10" s="8">
        <f t="shared" si="2"/>
        <v>22.1782</v>
      </c>
      <c r="I10" s="8">
        <v>39.72</v>
      </c>
      <c r="J10" s="8">
        <f t="shared" si="3"/>
        <v>17.541799999999999</v>
      </c>
      <c r="K10" s="12">
        <f t="shared" si="6"/>
        <v>0.44163645518630412</v>
      </c>
      <c r="L10" s="12">
        <f t="shared" si="7"/>
        <v>0.59163645518630403</v>
      </c>
      <c r="M10" s="8">
        <f t="shared" si="4"/>
        <v>35.747999999999998</v>
      </c>
      <c r="N10" s="8">
        <f t="shared" si="5"/>
        <v>13.569799999999997</v>
      </c>
      <c r="O10" s="12">
        <f t="shared" si="8"/>
        <v>0.37959606131811563</v>
      </c>
      <c r="P10" s="12">
        <f t="shared" si="9"/>
        <v>0.42687702808548728</v>
      </c>
    </row>
    <row r="11" spans="1:17" ht="12.75" x14ac:dyDescent="0.2">
      <c r="A11" s="3" t="s">
        <v>22</v>
      </c>
      <c r="B11" s="8">
        <v>10.92</v>
      </c>
      <c r="C11" s="8">
        <v>0.36</v>
      </c>
      <c r="D11" s="9">
        <v>0.5</v>
      </c>
      <c r="E11" s="8">
        <v>0.35</v>
      </c>
      <c r="F11" s="8">
        <f t="shared" si="0"/>
        <v>5.9579999999999993</v>
      </c>
      <c r="G11" s="8">
        <f t="shared" si="1"/>
        <v>1.6902000000000001</v>
      </c>
      <c r="H11" s="8">
        <f t="shared" si="2"/>
        <v>19.778199999999998</v>
      </c>
      <c r="I11" s="8">
        <v>39.72</v>
      </c>
      <c r="J11" s="8">
        <f t="shared" si="3"/>
        <v>19.941800000000001</v>
      </c>
      <c r="K11" s="12">
        <f t="shared" si="6"/>
        <v>0.5020594159113797</v>
      </c>
      <c r="L11" s="12">
        <f t="shared" si="7"/>
        <v>0.65205941591137961</v>
      </c>
      <c r="M11" s="8">
        <f t="shared" si="4"/>
        <v>35.747999999999998</v>
      </c>
      <c r="N11" s="8">
        <f t="shared" si="5"/>
        <v>15.969799999999999</v>
      </c>
      <c r="O11" s="12">
        <f t="shared" si="8"/>
        <v>0.4467326843459774</v>
      </c>
      <c r="P11" s="12">
        <f t="shared" si="9"/>
        <v>0.49401365111334905</v>
      </c>
    </row>
    <row r="12" spans="1:17" ht="12.75" x14ac:dyDescent="0.2">
      <c r="A12" s="3" t="s">
        <v>23</v>
      </c>
      <c r="B12" s="8">
        <v>14.46</v>
      </c>
      <c r="C12" s="8">
        <v>0.36</v>
      </c>
      <c r="D12" s="9">
        <v>0.5</v>
      </c>
      <c r="E12" s="8">
        <v>0.35</v>
      </c>
      <c r="F12" s="8">
        <f t="shared" si="0"/>
        <v>5.9579999999999993</v>
      </c>
      <c r="G12" s="8">
        <f t="shared" si="1"/>
        <v>1.6902000000000001</v>
      </c>
      <c r="H12" s="8">
        <f t="shared" si="2"/>
        <v>23.318200000000001</v>
      </c>
      <c r="I12" s="8">
        <v>39.72</v>
      </c>
      <c r="J12" s="8">
        <f t="shared" si="3"/>
        <v>16.401799999999998</v>
      </c>
      <c r="K12" s="12">
        <f t="shared" si="6"/>
        <v>0.41293554884189321</v>
      </c>
      <c r="L12" s="12">
        <f t="shared" si="7"/>
        <v>0.56293554884189323</v>
      </c>
      <c r="M12" s="8">
        <f t="shared" si="4"/>
        <v>35.747999999999998</v>
      </c>
      <c r="N12" s="8">
        <f t="shared" si="5"/>
        <v>12.429799999999997</v>
      </c>
      <c r="O12" s="12">
        <f t="shared" si="8"/>
        <v>0.3477061653798813</v>
      </c>
      <c r="P12" s="12">
        <f t="shared" si="9"/>
        <v>0.39498713214725295</v>
      </c>
    </row>
    <row r="13" spans="1:17" ht="12.75" x14ac:dyDescent="0.2">
      <c r="A13" s="3" t="s">
        <v>24</v>
      </c>
      <c r="B13" s="8">
        <v>29.04</v>
      </c>
      <c r="C13" s="8">
        <v>0.72</v>
      </c>
      <c r="D13" s="10"/>
      <c r="E13" s="8">
        <v>0.6</v>
      </c>
      <c r="F13" s="8">
        <f t="shared" si="0"/>
        <v>11.556000000000001</v>
      </c>
      <c r="G13" s="8">
        <f t="shared" si="1"/>
        <v>2.9964000000000004</v>
      </c>
      <c r="H13" s="8">
        <f t="shared" si="2"/>
        <v>44.912399999999998</v>
      </c>
      <c r="I13" s="8">
        <v>77.040000000000006</v>
      </c>
      <c r="J13" s="8">
        <f t="shared" si="3"/>
        <v>32.127600000000008</v>
      </c>
      <c r="K13" s="12">
        <f t="shared" si="6"/>
        <v>0.41702492211838016</v>
      </c>
      <c r="L13" s="12">
        <f t="shared" si="7"/>
        <v>0.56702492211838018</v>
      </c>
      <c r="M13" s="8">
        <f t="shared" si="4"/>
        <v>69.336000000000013</v>
      </c>
      <c r="N13" s="8">
        <f t="shared" si="5"/>
        <v>24.423600000000015</v>
      </c>
      <c r="O13" s="12">
        <f t="shared" si="8"/>
        <v>0.35224991346486689</v>
      </c>
      <c r="P13" s="12">
        <f t="shared" si="9"/>
        <v>0.39546555901696107</v>
      </c>
    </row>
    <row r="14" spans="1:17" ht="12.75" x14ac:dyDescent="0.2">
      <c r="A14" s="3" t="s">
        <v>25</v>
      </c>
      <c r="B14" s="8">
        <v>23.76</v>
      </c>
      <c r="C14" s="8">
        <v>0.72</v>
      </c>
      <c r="D14" s="10"/>
      <c r="E14" s="8">
        <v>0.6</v>
      </c>
      <c r="F14" s="8">
        <f t="shared" si="0"/>
        <v>8.6219999999999999</v>
      </c>
      <c r="G14" s="8">
        <f t="shared" si="1"/>
        <v>2.3117999999999999</v>
      </c>
      <c r="H14" s="8">
        <f t="shared" si="2"/>
        <v>36.013799999999996</v>
      </c>
      <c r="I14" s="8">
        <v>57.48</v>
      </c>
      <c r="J14" s="8">
        <f t="shared" si="3"/>
        <v>21.466200000000001</v>
      </c>
      <c r="K14" s="12">
        <f t="shared" si="6"/>
        <v>0.37345511482254701</v>
      </c>
      <c r="L14" s="12">
        <f t="shared" si="7"/>
        <v>0.52345511482254703</v>
      </c>
      <c r="M14" s="8">
        <f t="shared" si="4"/>
        <v>51.731999999999999</v>
      </c>
      <c r="N14" s="8">
        <f t="shared" si="5"/>
        <v>15.718200000000003</v>
      </c>
      <c r="O14" s="12">
        <f t="shared" si="8"/>
        <v>0.30383901646949668</v>
      </c>
      <c r="P14" s="12">
        <f t="shared" si="9"/>
        <v>0.34852702389236839</v>
      </c>
    </row>
    <row r="15" spans="1:17" ht="12.75" x14ac:dyDescent="0.2">
      <c r="A15" s="3" t="s">
        <v>26</v>
      </c>
      <c r="B15" s="8">
        <v>18</v>
      </c>
      <c r="C15" s="8">
        <v>0.72</v>
      </c>
      <c r="D15" s="10"/>
      <c r="E15" s="8">
        <v>0.6</v>
      </c>
      <c r="F15" s="8">
        <f t="shared" si="0"/>
        <v>7.1820000000000004</v>
      </c>
      <c r="G15" s="8">
        <f t="shared" si="1"/>
        <v>1.9758000000000002</v>
      </c>
      <c r="H15" s="8">
        <f t="shared" si="2"/>
        <v>28.477800000000002</v>
      </c>
      <c r="I15" s="8">
        <v>47.88</v>
      </c>
      <c r="J15" s="8">
        <f t="shared" si="3"/>
        <v>19.402200000000001</v>
      </c>
      <c r="K15" s="12">
        <f t="shared" si="6"/>
        <v>0.40522556390977443</v>
      </c>
      <c r="L15" s="12">
        <f t="shared" si="7"/>
        <v>0.55522556390977451</v>
      </c>
      <c r="M15" s="8">
        <f t="shared" si="4"/>
        <v>43.092000000000006</v>
      </c>
      <c r="N15" s="8">
        <f t="shared" si="5"/>
        <v>14.614200000000004</v>
      </c>
      <c r="O15" s="12">
        <f t="shared" si="8"/>
        <v>0.33913951545530496</v>
      </c>
      <c r="P15" s="12">
        <f t="shared" si="9"/>
        <v>0.38499025341130605</v>
      </c>
    </row>
    <row r="16" spans="1:17" ht="12.75" x14ac:dyDescent="0.2">
      <c r="A16" s="3" t="s">
        <v>27</v>
      </c>
      <c r="B16" s="8">
        <v>19.2</v>
      </c>
      <c r="C16" s="8">
        <v>0.72</v>
      </c>
      <c r="D16" s="10"/>
      <c r="E16" s="8">
        <v>0.6</v>
      </c>
      <c r="F16" s="8">
        <f t="shared" si="0"/>
        <v>7.7219999999999995</v>
      </c>
      <c r="G16" s="8">
        <f t="shared" si="1"/>
        <v>2.1017999999999999</v>
      </c>
      <c r="H16" s="8">
        <f t="shared" si="2"/>
        <v>30.343799999999998</v>
      </c>
      <c r="I16" s="8">
        <v>51.48</v>
      </c>
      <c r="J16" s="8">
        <f t="shared" si="3"/>
        <v>21.136199999999999</v>
      </c>
      <c r="K16" s="12">
        <f t="shared" si="6"/>
        <v>0.41057109557109556</v>
      </c>
      <c r="L16" s="12">
        <f t="shared" si="7"/>
        <v>0.56057109557109552</v>
      </c>
      <c r="M16" s="8">
        <f t="shared" si="4"/>
        <v>46.332000000000001</v>
      </c>
      <c r="N16" s="8">
        <f t="shared" si="5"/>
        <v>15.988200000000003</v>
      </c>
      <c r="O16" s="12">
        <f t="shared" si="8"/>
        <v>0.34507899507899514</v>
      </c>
      <c r="P16" s="12">
        <f t="shared" si="9"/>
        <v>0.39044289044289049</v>
      </c>
    </row>
    <row r="17" spans="1:16" ht="12.75" x14ac:dyDescent="0.2">
      <c r="A17" s="3" t="s">
        <v>28</v>
      </c>
      <c r="B17" s="8">
        <v>19.920000000000002</v>
      </c>
      <c r="C17" s="8">
        <v>0.72</v>
      </c>
      <c r="D17" s="10"/>
      <c r="E17" s="8">
        <v>0.6</v>
      </c>
      <c r="F17" s="8">
        <f t="shared" si="0"/>
        <v>8.0820000000000007</v>
      </c>
      <c r="G17" s="8">
        <f t="shared" si="1"/>
        <v>2.1858000000000004</v>
      </c>
      <c r="H17" s="8">
        <f t="shared" si="2"/>
        <v>31.507800000000003</v>
      </c>
      <c r="I17" s="8">
        <v>53.88</v>
      </c>
      <c r="J17" s="8">
        <f t="shared" si="3"/>
        <v>22.372199999999999</v>
      </c>
      <c r="K17" s="12">
        <f t="shared" si="6"/>
        <v>0.41522271714922043</v>
      </c>
      <c r="L17" s="12">
        <f t="shared" si="7"/>
        <v>0.56522271714922045</v>
      </c>
      <c r="M17" s="8">
        <f t="shared" si="4"/>
        <v>48.492000000000004</v>
      </c>
      <c r="N17" s="8">
        <f t="shared" si="5"/>
        <v>16.984200000000001</v>
      </c>
      <c r="O17" s="12">
        <f t="shared" si="8"/>
        <v>0.35024746349913388</v>
      </c>
      <c r="P17" s="12">
        <f t="shared" si="9"/>
        <v>0.39532293986636968</v>
      </c>
    </row>
    <row r="18" spans="1:16" ht="12.75" x14ac:dyDescent="0.2">
      <c r="A18" s="3" t="s">
        <v>29</v>
      </c>
      <c r="B18" s="8">
        <v>17.760000000000002</v>
      </c>
      <c r="C18" s="8">
        <v>0.72</v>
      </c>
      <c r="D18" s="10"/>
      <c r="E18" s="8">
        <v>0.6</v>
      </c>
      <c r="F18" s="8">
        <f t="shared" si="0"/>
        <v>7.1820000000000004</v>
      </c>
      <c r="G18" s="8">
        <f t="shared" si="1"/>
        <v>1.9758000000000002</v>
      </c>
      <c r="H18" s="8">
        <f t="shared" si="2"/>
        <v>28.2378</v>
      </c>
      <c r="I18" s="8">
        <v>47.88</v>
      </c>
      <c r="J18" s="8">
        <f t="shared" si="3"/>
        <v>19.642200000000003</v>
      </c>
      <c r="K18" s="12">
        <f t="shared" si="6"/>
        <v>0.41023809523809529</v>
      </c>
      <c r="L18" s="12">
        <f t="shared" si="7"/>
        <v>0.56023809523809531</v>
      </c>
      <c r="M18" s="8">
        <f t="shared" si="4"/>
        <v>43.092000000000006</v>
      </c>
      <c r="N18" s="8">
        <f t="shared" si="5"/>
        <v>14.854200000000006</v>
      </c>
      <c r="O18" s="12">
        <f t="shared" si="8"/>
        <v>0.3447089947089948</v>
      </c>
      <c r="P18" s="12">
        <f t="shared" si="9"/>
        <v>0.39055973266499588</v>
      </c>
    </row>
    <row r="19" spans="1:16" ht="12.75" x14ac:dyDescent="0.2">
      <c r="A19" s="3" t="s">
        <v>30</v>
      </c>
      <c r="B19" s="8">
        <v>53.4</v>
      </c>
      <c r="C19" s="8">
        <v>0.72</v>
      </c>
      <c r="D19" s="10"/>
      <c r="E19" s="8">
        <v>0.6</v>
      </c>
      <c r="F19" s="8">
        <f t="shared" si="0"/>
        <v>19.8</v>
      </c>
      <c r="G19" s="8">
        <f t="shared" si="1"/>
        <v>4.92</v>
      </c>
      <c r="H19" s="8">
        <f t="shared" si="2"/>
        <v>79.44</v>
      </c>
      <c r="I19" s="8">
        <v>132</v>
      </c>
      <c r="J19" s="8">
        <f t="shared" si="3"/>
        <v>52.56</v>
      </c>
      <c r="K19" s="12">
        <f t="shared" si="6"/>
        <v>0.39818181818181819</v>
      </c>
      <c r="L19" s="12">
        <f t="shared" si="7"/>
        <v>0.54818181818181821</v>
      </c>
      <c r="M19" s="8">
        <f t="shared" si="4"/>
        <v>118.8</v>
      </c>
      <c r="N19" s="8">
        <f t="shared" si="5"/>
        <v>39.36</v>
      </c>
      <c r="O19" s="12">
        <f t="shared" si="8"/>
        <v>0.33131313131313134</v>
      </c>
      <c r="P19" s="12">
        <f t="shared" si="9"/>
        <v>0.37272727272727274</v>
      </c>
    </row>
    <row r="20" spans="1:16" ht="12.75" x14ac:dyDescent="0.2">
      <c r="A20" s="3" t="s">
        <v>31</v>
      </c>
      <c r="B20" s="8">
        <v>26.64</v>
      </c>
      <c r="C20" s="8">
        <v>0.72</v>
      </c>
      <c r="D20" s="10"/>
      <c r="E20" s="8">
        <v>0.6</v>
      </c>
      <c r="F20" s="8">
        <f t="shared" si="0"/>
        <v>11.556000000000001</v>
      </c>
      <c r="G20" s="8">
        <f t="shared" si="1"/>
        <v>2.9964000000000004</v>
      </c>
      <c r="H20" s="8">
        <f t="shared" si="2"/>
        <v>42.512400000000007</v>
      </c>
      <c r="I20" s="8">
        <v>77.040000000000006</v>
      </c>
      <c r="J20" s="8">
        <f t="shared" si="3"/>
        <v>34.5276</v>
      </c>
      <c r="K20" s="12">
        <f t="shared" si="6"/>
        <v>0.44817757009345788</v>
      </c>
      <c r="L20" s="12">
        <f t="shared" si="7"/>
        <v>0.59817757009345796</v>
      </c>
      <c r="M20" s="8">
        <f t="shared" si="4"/>
        <v>69.336000000000013</v>
      </c>
      <c r="N20" s="8">
        <f t="shared" si="5"/>
        <v>26.823600000000006</v>
      </c>
      <c r="O20" s="12">
        <f t="shared" si="8"/>
        <v>0.38686396677050883</v>
      </c>
      <c r="P20" s="12">
        <f t="shared" si="9"/>
        <v>0.430079612322603</v>
      </c>
    </row>
    <row r="21" spans="1:16" ht="12.75" x14ac:dyDescent="0.2">
      <c r="A21" s="3" t="s">
        <v>32</v>
      </c>
      <c r="B21" s="8">
        <v>21.84</v>
      </c>
      <c r="C21" s="8">
        <v>0.72</v>
      </c>
      <c r="D21" s="10"/>
      <c r="E21" s="8">
        <v>0.6</v>
      </c>
      <c r="F21" s="8">
        <f t="shared" si="0"/>
        <v>11.556000000000001</v>
      </c>
      <c r="G21" s="8">
        <f t="shared" si="1"/>
        <v>2.9964000000000004</v>
      </c>
      <c r="H21" s="8">
        <f t="shared" si="2"/>
        <v>37.712400000000002</v>
      </c>
      <c r="I21" s="8">
        <v>77.040000000000006</v>
      </c>
      <c r="J21" s="8">
        <f t="shared" si="3"/>
        <v>39.327600000000004</v>
      </c>
      <c r="K21" s="12">
        <f t="shared" si="6"/>
        <v>0.5104828660436137</v>
      </c>
      <c r="L21" s="12">
        <f t="shared" si="7"/>
        <v>0.66048286604361373</v>
      </c>
      <c r="M21" s="8">
        <f t="shared" si="4"/>
        <v>69.336000000000013</v>
      </c>
      <c r="N21" s="8">
        <f t="shared" si="5"/>
        <v>31.62360000000001</v>
      </c>
      <c r="O21" s="12">
        <f t="shared" si="8"/>
        <v>0.45609207338179308</v>
      </c>
      <c r="P21" s="12">
        <f t="shared" si="9"/>
        <v>0.49930771893388726</v>
      </c>
    </row>
    <row r="22" spans="1:16" ht="12.75" x14ac:dyDescent="0.2">
      <c r="A22" s="3" t="s">
        <v>33</v>
      </c>
      <c r="B22" s="8">
        <v>28.92</v>
      </c>
      <c r="C22" s="8">
        <v>0.72</v>
      </c>
      <c r="D22" s="10"/>
      <c r="E22" s="8">
        <v>0.6</v>
      </c>
      <c r="F22" s="8">
        <f t="shared" si="0"/>
        <v>11.556000000000001</v>
      </c>
      <c r="G22" s="8">
        <f t="shared" si="1"/>
        <v>2.9964000000000004</v>
      </c>
      <c r="H22" s="8">
        <f t="shared" si="2"/>
        <v>44.792400000000008</v>
      </c>
      <c r="I22" s="8">
        <v>77.040000000000006</v>
      </c>
      <c r="J22" s="8">
        <f t="shared" si="3"/>
        <v>32.247599999999998</v>
      </c>
      <c r="K22" s="12">
        <f t="shared" si="6"/>
        <v>0.41858255451713389</v>
      </c>
      <c r="L22" s="12">
        <f t="shared" si="7"/>
        <v>0.56858255451713391</v>
      </c>
      <c r="M22" s="8">
        <f t="shared" si="4"/>
        <v>69.336000000000013</v>
      </c>
      <c r="N22" s="8">
        <f t="shared" si="5"/>
        <v>24.543600000000005</v>
      </c>
      <c r="O22" s="12">
        <f t="shared" si="8"/>
        <v>0.35398061613014886</v>
      </c>
      <c r="P22" s="12">
        <f t="shared" si="9"/>
        <v>0.39719626168224303</v>
      </c>
    </row>
    <row r="23" spans="1:16" ht="12.75" x14ac:dyDescent="0.2">
      <c r="A23" s="3" t="s">
        <v>34</v>
      </c>
      <c r="B23" s="8">
        <v>33.119999999999997</v>
      </c>
      <c r="C23" s="8">
        <v>0.72</v>
      </c>
      <c r="D23" s="10"/>
      <c r="E23" s="8">
        <v>0.60000000000000098</v>
      </c>
      <c r="F23" s="8">
        <f t="shared" si="0"/>
        <v>12.581999999999999</v>
      </c>
      <c r="G23" s="8">
        <f t="shared" si="1"/>
        <v>3.2357999999999998</v>
      </c>
      <c r="H23" s="8">
        <f t="shared" si="2"/>
        <v>50.257799999999996</v>
      </c>
      <c r="I23" s="8">
        <v>83.88</v>
      </c>
      <c r="J23" s="8">
        <f t="shared" si="3"/>
        <v>33.622199999999999</v>
      </c>
      <c r="K23" s="12">
        <f t="shared" si="6"/>
        <v>0.40083690987124465</v>
      </c>
      <c r="L23" s="12">
        <f t="shared" si="7"/>
        <v>0.55083690987124467</v>
      </c>
      <c r="M23" s="8">
        <f t="shared" si="4"/>
        <v>75.492000000000004</v>
      </c>
      <c r="N23" s="8">
        <f t="shared" si="5"/>
        <v>25.234200000000008</v>
      </c>
      <c r="O23" s="12">
        <f t="shared" si="8"/>
        <v>0.3342632331902719</v>
      </c>
      <c r="P23" s="12">
        <f t="shared" si="9"/>
        <v>0.37712605309171843</v>
      </c>
    </row>
    <row r="24" spans="1:16" ht="12.75" x14ac:dyDescent="0.2">
      <c r="A24" s="3" t="s">
        <v>35</v>
      </c>
      <c r="B24" s="8">
        <v>28.44</v>
      </c>
      <c r="C24" s="8">
        <v>0.72</v>
      </c>
      <c r="D24" s="10"/>
      <c r="E24" s="8">
        <v>0.60000000000000098</v>
      </c>
      <c r="F24" s="8">
        <f t="shared" si="0"/>
        <v>11.681999999999999</v>
      </c>
      <c r="G24" s="8">
        <f t="shared" si="1"/>
        <v>3.0257999999999998</v>
      </c>
      <c r="H24" s="8">
        <f t="shared" si="2"/>
        <v>44.467799999999997</v>
      </c>
      <c r="I24" s="8">
        <v>77.88</v>
      </c>
      <c r="J24" s="8">
        <f t="shared" si="3"/>
        <v>33.412199999999999</v>
      </c>
      <c r="K24" s="12">
        <f t="shared" si="6"/>
        <v>0.42902157164869031</v>
      </c>
      <c r="L24" s="12">
        <f t="shared" si="7"/>
        <v>0.57902157164869028</v>
      </c>
      <c r="M24" s="8">
        <f t="shared" si="4"/>
        <v>70.091999999999999</v>
      </c>
      <c r="N24" s="8">
        <f t="shared" si="5"/>
        <v>25.624200000000002</v>
      </c>
      <c r="O24" s="12">
        <f t="shared" si="8"/>
        <v>0.36557952405410038</v>
      </c>
      <c r="P24" s="12">
        <f t="shared" si="9"/>
        <v>0.40874850196884099</v>
      </c>
    </row>
    <row r="25" spans="1:16" ht="12.75" x14ac:dyDescent="0.2">
      <c r="A25" s="3" t="s">
        <v>36</v>
      </c>
      <c r="B25" s="8">
        <v>22.08</v>
      </c>
      <c r="C25" s="8">
        <v>2.02</v>
      </c>
      <c r="D25" s="10"/>
      <c r="E25" s="8">
        <v>0.87</v>
      </c>
      <c r="F25" s="8">
        <f t="shared" si="0"/>
        <v>7.9634999999999998</v>
      </c>
      <c r="G25" s="8">
        <f t="shared" si="1"/>
        <v>2.15815</v>
      </c>
      <c r="H25" s="8">
        <f t="shared" si="2"/>
        <v>35.091649999999994</v>
      </c>
      <c r="I25" s="8">
        <v>53.09</v>
      </c>
      <c r="J25" s="8">
        <f t="shared" si="3"/>
        <v>17.998350000000009</v>
      </c>
      <c r="K25" s="12">
        <f t="shared" si="6"/>
        <v>0.33901582218873627</v>
      </c>
      <c r="L25" s="12">
        <f t="shared" si="7"/>
        <v>0.48901582218873624</v>
      </c>
      <c r="M25" s="8">
        <f t="shared" si="4"/>
        <v>47.781000000000006</v>
      </c>
      <c r="N25" s="8">
        <f t="shared" si="5"/>
        <v>12.689350000000012</v>
      </c>
      <c r="O25" s="12">
        <f t="shared" si="8"/>
        <v>0.26557313576526254</v>
      </c>
      <c r="P25" s="12">
        <f t="shared" si="9"/>
        <v>0.31074067097800401</v>
      </c>
    </row>
    <row r="26" spans="1:16" ht="12.75" x14ac:dyDescent="0.2">
      <c r="A26" s="3" t="s">
        <v>37</v>
      </c>
      <c r="B26" s="8">
        <v>22.38</v>
      </c>
      <c r="C26" s="8">
        <v>2.02</v>
      </c>
      <c r="D26" s="10"/>
      <c r="E26" s="8">
        <v>0.87</v>
      </c>
      <c r="F26" s="8">
        <f t="shared" si="0"/>
        <v>7.9634999999999998</v>
      </c>
      <c r="G26" s="8">
        <f t="shared" si="1"/>
        <v>2.15815</v>
      </c>
      <c r="H26" s="8">
        <f t="shared" si="2"/>
        <v>35.391649999999998</v>
      </c>
      <c r="I26" s="8">
        <v>53.09</v>
      </c>
      <c r="J26" s="8">
        <f t="shared" si="3"/>
        <v>17.698350000000005</v>
      </c>
      <c r="K26" s="12">
        <f t="shared" si="6"/>
        <v>0.33336504049726884</v>
      </c>
      <c r="L26" s="12">
        <f t="shared" si="7"/>
        <v>0.48336504049726886</v>
      </c>
      <c r="M26" s="8">
        <f t="shared" si="4"/>
        <v>47.781000000000006</v>
      </c>
      <c r="N26" s="8">
        <f t="shared" si="5"/>
        <v>12.389350000000007</v>
      </c>
      <c r="O26" s="12">
        <f t="shared" si="8"/>
        <v>0.25929448944140987</v>
      </c>
      <c r="P26" s="12">
        <f t="shared" si="9"/>
        <v>0.30446202465415134</v>
      </c>
    </row>
    <row r="27" spans="1:16" ht="12.75" x14ac:dyDescent="0.2">
      <c r="A27" s="3" t="s">
        <v>38</v>
      </c>
      <c r="B27" s="8">
        <v>22.08</v>
      </c>
      <c r="C27" s="8">
        <v>2.02</v>
      </c>
      <c r="D27" s="10"/>
      <c r="E27" s="8">
        <v>0.87</v>
      </c>
      <c r="F27" s="8">
        <f t="shared" si="0"/>
        <v>7.9634999999999998</v>
      </c>
      <c r="G27" s="8">
        <f t="shared" si="1"/>
        <v>2.15815</v>
      </c>
      <c r="H27" s="8">
        <f t="shared" si="2"/>
        <v>35.091649999999994</v>
      </c>
      <c r="I27" s="8">
        <v>53.09</v>
      </c>
      <c r="J27" s="8">
        <f t="shared" si="3"/>
        <v>17.998350000000009</v>
      </c>
      <c r="K27" s="12">
        <f t="shared" si="6"/>
        <v>0.33901582218873627</v>
      </c>
      <c r="L27" s="12">
        <f t="shared" si="7"/>
        <v>0.48901582218873624</v>
      </c>
      <c r="M27" s="8">
        <f t="shared" si="4"/>
        <v>47.781000000000006</v>
      </c>
      <c r="N27" s="8">
        <f t="shared" si="5"/>
        <v>12.689350000000012</v>
      </c>
      <c r="O27" s="12">
        <f t="shared" si="8"/>
        <v>0.26557313576526254</v>
      </c>
      <c r="P27" s="12">
        <f t="shared" si="9"/>
        <v>0.31074067097800401</v>
      </c>
    </row>
    <row r="28" spans="1:16" ht="12.75" x14ac:dyDescent="0.2">
      <c r="A28" s="3" t="s">
        <v>39</v>
      </c>
      <c r="B28" s="8">
        <v>6.8</v>
      </c>
      <c r="C28" s="8">
        <v>0.24</v>
      </c>
      <c r="D28" s="10"/>
      <c r="E28" s="8">
        <v>1.63</v>
      </c>
      <c r="F28" s="8">
        <f t="shared" si="0"/>
        <v>3.0569999999999999</v>
      </c>
      <c r="G28" s="8">
        <f t="shared" si="1"/>
        <v>1.0133000000000001</v>
      </c>
      <c r="H28" s="8">
        <f t="shared" si="2"/>
        <v>12.740300000000001</v>
      </c>
      <c r="I28" s="8">
        <v>20.38</v>
      </c>
      <c r="J28" s="8">
        <f t="shared" si="3"/>
        <v>7.6396999999999977</v>
      </c>
      <c r="K28" s="12">
        <f t="shared" si="6"/>
        <v>0.37486261040235513</v>
      </c>
      <c r="L28" s="12">
        <f t="shared" si="7"/>
        <v>0.52486261040235516</v>
      </c>
      <c r="M28" s="8">
        <f t="shared" si="4"/>
        <v>18.341999999999999</v>
      </c>
      <c r="N28" s="8">
        <f t="shared" si="5"/>
        <v>5.6016999999999975</v>
      </c>
      <c r="O28" s="12">
        <f t="shared" si="8"/>
        <v>0.30540290044706125</v>
      </c>
      <c r="P28" s="12">
        <f t="shared" si="9"/>
        <v>0.36064769381746797</v>
      </c>
    </row>
    <row r="29" spans="1:16" ht="12.75" x14ac:dyDescent="0.2">
      <c r="A29" s="3" t="s">
        <v>40</v>
      </c>
      <c r="B29" s="8">
        <v>8.8699999999999992</v>
      </c>
      <c r="C29" s="8">
        <v>0.24</v>
      </c>
      <c r="D29" s="10"/>
      <c r="E29" s="8">
        <v>1.63</v>
      </c>
      <c r="F29" s="8">
        <f t="shared" si="0"/>
        <v>3.8940000000000001</v>
      </c>
      <c r="G29" s="8">
        <f t="shared" si="1"/>
        <v>1.2086000000000001</v>
      </c>
      <c r="H29" s="8">
        <f t="shared" si="2"/>
        <v>15.842599999999999</v>
      </c>
      <c r="I29" s="8">
        <v>25.96</v>
      </c>
      <c r="J29" s="8">
        <f t="shared" si="3"/>
        <v>10.117400000000002</v>
      </c>
      <c r="K29" s="12">
        <f t="shared" si="6"/>
        <v>0.38973035439137138</v>
      </c>
      <c r="L29" s="12">
        <f t="shared" si="7"/>
        <v>0.5397303543913714</v>
      </c>
      <c r="M29" s="8">
        <f t="shared" si="4"/>
        <v>23.364000000000001</v>
      </c>
      <c r="N29" s="8">
        <f t="shared" si="5"/>
        <v>7.5214000000000016</v>
      </c>
      <c r="O29" s="12">
        <f t="shared" si="8"/>
        <v>0.32192261599041266</v>
      </c>
      <c r="P29" s="12">
        <f t="shared" si="9"/>
        <v>0.37365177195685678</v>
      </c>
    </row>
    <row r="30" spans="1:16" ht="12.75" x14ac:dyDescent="0.2">
      <c r="A30" s="3" t="s">
        <v>41</v>
      </c>
      <c r="B30" s="8">
        <v>7.05</v>
      </c>
      <c r="C30" s="8">
        <v>0.18</v>
      </c>
      <c r="D30" s="10"/>
      <c r="E30" s="8">
        <v>1.46</v>
      </c>
      <c r="F30" s="8">
        <f t="shared" si="0"/>
        <v>3.0569999999999999</v>
      </c>
      <c r="G30" s="8">
        <f t="shared" si="1"/>
        <v>1.0133000000000001</v>
      </c>
      <c r="H30" s="8">
        <f t="shared" si="2"/>
        <v>12.760300000000001</v>
      </c>
      <c r="I30" s="8">
        <v>20.38</v>
      </c>
      <c r="J30" s="8">
        <f t="shared" si="3"/>
        <v>7.6196999999999981</v>
      </c>
      <c r="K30" s="12">
        <f t="shared" si="6"/>
        <v>0.37388125613346412</v>
      </c>
      <c r="L30" s="12">
        <f t="shared" si="7"/>
        <v>0.52388125613346415</v>
      </c>
      <c r="M30" s="8">
        <f t="shared" si="4"/>
        <v>18.341999999999999</v>
      </c>
      <c r="N30" s="8">
        <f t="shared" si="5"/>
        <v>5.5816999999999979</v>
      </c>
      <c r="O30" s="12">
        <f t="shared" si="8"/>
        <v>0.30431250681496008</v>
      </c>
      <c r="P30" s="12">
        <f t="shared" si="9"/>
        <v>0.35955730018536686</v>
      </c>
    </row>
    <row r="31" spans="1:16" ht="12.75" x14ac:dyDescent="0.2">
      <c r="A31" s="3" t="s">
        <v>42</v>
      </c>
      <c r="B31" s="8">
        <v>7.8</v>
      </c>
      <c r="C31" s="8">
        <v>0.18</v>
      </c>
      <c r="D31" s="10"/>
      <c r="E31" s="8">
        <v>1.63</v>
      </c>
      <c r="F31" s="8">
        <f t="shared" si="0"/>
        <v>3.3569999999999998</v>
      </c>
      <c r="G31" s="8">
        <f t="shared" si="1"/>
        <v>1.0832999999999999</v>
      </c>
      <c r="H31" s="8">
        <f t="shared" si="2"/>
        <v>14.050299999999998</v>
      </c>
      <c r="I31" s="8">
        <v>22.38</v>
      </c>
      <c r="J31" s="8">
        <f t="shared" si="3"/>
        <v>8.3297000000000008</v>
      </c>
      <c r="K31" s="12">
        <f t="shared" si="6"/>
        <v>0.37219392314566585</v>
      </c>
      <c r="L31" s="12">
        <f t="shared" si="7"/>
        <v>0.52219392314566582</v>
      </c>
      <c r="M31" s="8">
        <f t="shared" si="4"/>
        <v>20.141999999999999</v>
      </c>
      <c r="N31" s="8">
        <f t="shared" si="5"/>
        <v>6.0917000000000012</v>
      </c>
      <c r="O31" s="12">
        <f t="shared" si="8"/>
        <v>0.30243769238407314</v>
      </c>
      <c r="P31" s="12">
        <f t="shared" si="9"/>
        <v>0.35622083209214583</v>
      </c>
    </row>
    <row r="33" spans="1:17" ht="12.75" x14ac:dyDescent="0.2">
      <c r="A33" s="1" t="s">
        <v>43</v>
      </c>
      <c r="B33" s="1" t="s">
        <v>1</v>
      </c>
      <c r="C33" s="1" t="s">
        <v>44</v>
      </c>
      <c r="D33" s="1" t="s">
        <v>45</v>
      </c>
      <c r="E33" s="1" t="s">
        <v>3</v>
      </c>
      <c r="F33" s="1" t="s">
        <v>46</v>
      </c>
      <c r="G33" s="1" t="s">
        <v>47</v>
      </c>
      <c r="H33" s="1" t="s">
        <v>7</v>
      </c>
      <c r="I33" s="1" t="s">
        <v>8</v>
      </c>
      <c r="J33" s="1" t="s">
        <v>9</v>
      </c>
      <c r="K33" s="1" t="s">
        <v>48</v>
      </c>
      <c r="L33" s="1"/>
      <c r="M33" s="1" t="s">
        <v>49</v>
      </c>
      <c r="N33" s="2" t="s">
        <v>13</v>
      </c>
      <c r="O33" s="1" t="s">
        <v>48</v>
      </c>
      <c r="Q33" s="1" t="s">
        <v>69</v>
      </c>
    </row>
    <row r="34" spans="1:17" ht="12.75" x14ac:dyDescent="0.2">
      <c r="A34" s="3" t="s">
        <v>50</v>
      </c>
      <c r="B34" s="8">
        <v>2.42</v>
      </c>
      <c r="C34" s="8">
        <v>0.06</v>
      </c>
      <c r="D34" s="8">
        <f t="shared" ref="D34:D48" si="10">I34*0.02</f>
        <v>0.11380000000000001</v>
      </c>
      <c r="E34" s="8">
        <v>0.09</v>
      </c>
      <c r="F34" s="8">
        <f t="shared" ref="F34:F48" si="11">I34*0.02</f>
        <v>0.11380000000000001</v>
      </c>
      <c r="G34" s="8">
        <f t="shared" ref="G34:G48" si="12">I34*0.02</f>
        <v>0.11380000000000001</v>
      </c>
      <c r="H34" s="8">
        <f t="shared" ref="H34:H48" si="13">SUM(B34:G34)</f>
        <v>2.9113999999999995</v>
      </c>
      <c r="I34" s="8">
        <v>5.69</v>
      </c>
      <c r="J34" s="8">
        <f t="shared" ref="J34:J48" si="14">I34-H34</f>
        <v>2.7786000000000008</v>
      </c>
      <c r="K34" s="12">
        <f>J34/I34</f>
        <v>0.48833040421792628</v>
      </c>
      <c r="L34" s="4"/>
      <c r="M34" s="8">
        <f t="shared" ref="M34:M35" si="15">I34*0.85</f>
        <v>4.8365</v>
      </c>
      <c r="N34" s="8">
        <f t="shared" ref="N34:N48" si="16">M34-H34</f>
        <v>1.9251000000000005</v>
      </c>
      <c r="O34" s="12">
        <f t="shared" ref="O34:O48" si="17">N34/M34</f>
        <v>0.39803576966814858</v>
      </c>
      <c r="P34" s="7">
        <f t="shared" ref="O34:P34" si="18">O34/N34*100</f>
        <v>20.676108756332059</v>
      </c>
    </row>
    <row r="35" spans="1:17" ht="12.75" x14ac:dyDescent="0.2">
      <c r="A35" s="3" t="s">
        <v>51</v>
      </c>
      <c r="B35" s="8">
        <v>2.04</v>
      </c>
      <c r="C35" s="8">
        <v>0.06</v>
      </c>
      <c r="D35" s="8">
        <f t="shared" si="10"/>
        <v>8.9800000000000005E-2</v>
      </c>
      <c r="E35" s="8">
        <v>0.09</v>
      </c>
      <c r="F35" s="8">
        <f t="shared" si="11"/>
        <v>8.9800000000000005E-2</v>
      </c>
      <c r="G35" s="8">
        <f t="shared" si="12"/>
        <v>8.9800000000000005E-2</v>
      </c>
      <c r="H35" s="8">
        <f t="shared" si="13"/>
        <v>2.4593999999999996</v>
      </c>
      <c r="I35" s="8">
        <v>4.49</v>
      </c>
      <c r="J35" s="8">
        <f t="shared" si="14"/>
        <v>2.0306000000000006</v>
      </c>
      <c r="K35" s="12">
        <f t="shared" ref="K35:K48" si="19">J35/I35</f>
        <v>0.45224944320712707</v>
      </c>
      <c r="L35" s="4"/>
      <c r="M35" s="8">
        <f t="shared" si="15"/>
        <v>3.8165</v>
      </c>
      <c r="N35" s="8">
        <f t="shared" si="16"/>
        <v>1.3571000000000004</v>
      </c>
      <c r="O35" s="12">
        <f t="shared" si="17"/>
        <v>0.35558758024367887</v>
      </c>
    </row>
    <row r="36" spans="1:17" ht="12.75" x14ac:dyDescent="0.2">
      <c r="A36" s="3" t="s">
        <v>52</v>
      </c>
      <c r="B36" s="8">
        <v>1.5</v>
      </c>
      <c r="C36" s="8">
        <v>0.06</v>
      </c>
      <c r="D36" s="8">
        <f t="shared" si="10"/>
        <v>7.3800000000000004E-2</v>
      </c>
      <c r="E36" s="8">
        <v>0.09</v>
      </c>
      <c r="F36" s="8">
        <f t="shared" si="11"/>
        <v>7.3800000000000004E-2</v>
      </c>
      <c r="G36" s="8">
        <f t="shared" si="12"/>
        <v>7.3800000000000004E-2</v>
      </c>
      <c r="H36" s="8">
        <f t="shared" si="13"/>
        <v>1.8714000000000004</v>
      </c>
      <c r="I36" s="8">
        <v>3.69</v>
      </c>
      <c r="J36" s="8">
        <f t="shared" si="14"/>
        <v>1.8185999999999996</v>
      </c>
      <c r="K36" s="12">
        <f t="shared" si="19"/>
        <v>0.49284552845528445</v>
      </c>
      <c r="L36" s="4"/>
      <c r="M36" s="8">
        <f t="shared" ref="M36:M37" si="20">I36*0.9</f>
        <v>3.3210000000000002</v>
      </c>
      <c r="N36" s="8">
        <f t="shared" si="16"/>
        <v>1.4495999999999998</v>
      </c>
      <c r="O36" s="12">
        <f t="shared" si="17"/>
        <v>0.43649503161698272</v>
      </c>
    </row>
    <row r="37" spans="1:17" ht="12.75" x14ac:dyDescent="0.2">
      <c r="A37" s="3" t="s">
        <v>53</v>
      </c>
      <c r="B37" s="8">
        <v>1.6</v>
      </c>
      <c r="C37" s="8">
        <v>0.06</v>
      </c>
      <c r="D37" s="8">
        <f t="shared" si="10"/>
        <v>7.980000000000001E-2</v>
      </c>
      <c r="E37" s="8">
        <v>0.09</v>
      </c>
      <c r="F37" s="8">
        <f t="shared" si="11"/>
        <v>7.980000000000001E-2</v>
      </c>
      <c r="G37" s="8">
        <f t="shared" si="12"/>
        <v>7.980000000000001E-2</v>
      </c>
      <c r="H37" s="8">
        <f t="shared" si="13"/>
        <v>1.9894000000000005</v>
      </c>
      <c r="I37" s="8">
        <v>3.99</v>
      </c>
      <c r="J37" s="8">
        <f t="shared" si="14"/>
        <v>2.0005999999999995</v>
      </c>
      <c r="K37" s="12">
        <f t="shared" si="19"/>
        <v>0.50140350877192963</v>
      </c>
      <c r="L37" s="4"/>
      <c r="M37" s="8">
        <f t="shared" si="20"/>
        <v>3.5910000000000002</v>
      </c>
      <c r="N37" s="8">
        <f t="shared" si="16"/>
        <v>1.6015999999999997</v>
      </c>
      <c r="O37" s="12">
        <f t="shared" si="17"/>
        <v>0.44600389863547746</v>
      </c>
    </row>
    <row r="38" spans="1:17" ht="12.75" x14ac:dyDescent="0.2">
      <c r="A38" s="3" t="s">
        <v>54</v>
      </c>
      <c r="B38" s="8">
        <v>1.66</v>
      </c>
      <c r="C38" s="8">
        <v>0.06</v>
      </c>
      <c r="D38" s="8">
        <f t="shared" si="10"/>
        <v>7.980000000000001E-2</v>
      </c>
      <c r="E38" s="8">
        <v>0.09</v>
      </c>
      <c r="F38" s="8">
        <f t="shared" si="11"/>
        <v>7.980000000000001E-2</v>
      </c>
      <c r="G38" s="8">
        <f t="shared" si="12"/>
        <v>7.980000000000001E-2</v>
      </c>
      <c r="H38" s="8">
        <f t="shared" si="13"/>
        <v>2.0494000000000003</v>
      </c>
      <c r="I38" s="8">
        <v>3.99</v>
      </c>
      <c r="J38" s="8">
        <f t="shared" si="14"/>
        <v>1.9405999999999999</v>
      </c>
      <c r="K38" s="12">
        <f t="shared" si="19"/>
        <v>0.48636591478696733</v>
      </c>
      <c r="L38" s="4"/>
      <c r="M38" s="8">
        <f t="shared" ref="M38:M48" si="21">I38*0.85</f>
        <v>3.3915000000000002</v>
      </c>
      <c r="N38" s="8">
        <f t="shared" si="16"/>
        <v>1.3420999999999998</v>
      </c>
      <c r="O38" s="12">
        <f t="shared" si="17"/>
        <v>0.39572460563172629</v>
      </c>
    </row>
    <row r="39" spans="1:17" ht="12.75" x14ac:dyDescent="0.2">
      <c r="A39" s="3" t="s">
        <v>55</v>
      </c>
      <c r="B39" s="8">
        <v>1.48</v>
      </c>
      <c r="C39" s="8">
        <v>0.06</v>
      </c>
      <c r="D39" s="8">
        <f t="shared" si="10"/>
        <v>7.3800000000000004E-2</v>
      </c>
      <c r="E39" s="8">
        <v>0.09</v>
      </c>
      <c r="F39" s="8">
        <f t="shared" si="11"/>
        <v>7.3800000000000004E-2</v>
      </c>
      <c r="G39" s="8">
        <f t="shared" si="12"/>
        <v>7.3800000000000004E-2</v>
      </c>
      <c r="H39" s="8">
        <f t="shared" si="13"/>
        <v>1.8514000000000004</v>
      </c>
      <c r="I39" s="8">
        <v>3.69</v>
      </c>
      <c r="J39" s="8">
        <f t="shared" si="14"/>
        <v>1.8385999999999996</v>
      </c>
      <c r="K39" s="12">
        <f t="shared" si="19"/>
        <v>0.49826558265582643</v>
      </c>
      <c r="L39" s="4"/>
      <c r="M39" s="8">
        <f t="shared" si="21"/>
        <v>3.1364999999999998</v>
      </c>
      <c r="N39" s="8">
        <f t="shared" si="16"/>
        <v>1.2850999999999995</v>
      </c>
      <c r="O39" s="12">
        <f t="shared" si="17"/>
        <v>0.40972421488920757</v>
      </c>
    </row>
    <row r="40" spans="1:17" ht="12.75" x14ac:dyDescent="0.2">
      <c r="A40" s="3" t="s">
        <v>56</v>
      </c>
      <c r="B40" s="8">
        <v>4.45</v>
      </c>
      <c r="C40" s="8">
        <v>0.06</v>
      </c>
      <c r="D40" s="8">
        <f t="shared" si="10"/>
        <v>0.192</v>
      </c>
      <c r="E40" s="8">
        <v>0.09</v>
      </c>
      <c r="F40" s="8">
        <f t="shared" si="11"/>
        <v>0.192</v>
      </c>
      <c r="G40" s="8">
        <f t="shared" si="12"/>
        <v>0.192</v>
      </c>
      <c r="H40" s="8">
        <f t="shared" si="13"/>
        <v>5.1760000000000002</v>
      </c>
      <c r="I40" s="8">
        <v>9.6</v>
      </c>
      <c r="J40" s="8">
        <f t="shared" si="14"/>
        <v>4.4239999999999995</v>
      </c>
      <c r="K40" s="12">
        <f t="shared" si="19"/>
        <v>0.46083333333333332</v>
      </c>
      <c r="L40" s="4"/>
      <c r="M40" s="8">
        <f t="shared" si="21"/>
        <v>8.16</v>
      </c>
      <c r="N40" s="8">
        <f t="shared" si="16"/>
        <v>2.984</v>
      </c>
      <c r="O40" s="12">
        <f t="shared" si="17"/>
        <v>0.3656862745098039</v>
      </c>
    </row>
    <row r="41" spans="1:17" ht="12.75" x14ac:dyDescent="0.2">
      <c r="A41" s="3" t="s">
        <v>57</v>
      </c>
      <c r="B41" s="8">
        <v>2.2200000000000002</v>
      </c>
      <c r="C41" s="8">
        <v>0.06</v>
      </c>
      <c r="D41" s="8">
        <f t="shared" si="10"/>
        <v>0.11380000000000001</v>
      </c>
      <c r="E41" s="8">
        <v>0.09</v>
      </c>
      <c r="F41" s="8">
        <f t="shared" si="11"/>
        <v>0.11380000000000001</v>
      </c>
      <c r="G41" s="8">
        <f t="shared" si="12"/>
        <v>0.11380000000000001</v>
      </c>
      <c r="H41" s="8">
        <f t="shared" si="13"/>
        <v>2.7113999999999998</v>
      </c>
      <c r="I41" s="8">
        <v>5.69</v>
      </c>
      <c r="J41" s="8">
        <f t="shared" si="14"/>
        <v>2.9786000000000006</v>
      </c>
      <c r="K41" s="12">
        <f t="shared" si="19"/>
        <v>0.52347978910369075</v>
      </c>
      <c r="L41" s="4"/>
      <c r="M41" s="8">
        <f t="shared" si="21"/>
        <v>4.8365</v>
      </c>
      <c r="N41" s="8">
        <f t="shared" si="16"/>
        <v>2.1251000000000002</v>
      </c>
      <c r="O41" s="12">
        <f t="shared" si="17"/>
        <v>0.43938798718081262</v>
      </c>
    </row>
    <row r="42" spans="1:17" ht="12.75" x14ac:dyDescent="0.2">
      <c r="A42" s="3" t="s">
        <v>58</v>
      </c>
      <c r="B42" s="8">
        <v>1.82</v>
      </c>
      <c r="C42" s="8">
        <v>0.06</v>
      </c>
      <c r="D42" s="8">
        <f t="shared" si="10"/>
        <v>0.11380000000000001</v>
      </c>
      <c r="E42" s="8">
        <v>0.09</v>
      </c>
      <c r="F42" s="8">
        <f t="shared" si="11"/>
        <v>0.11380000000000001</v>
      </c>
      <c r="G42" s="8">
        <f t="shared" si="12"/>
        <v>0.11380000000000001</v>
      </c>
      <c r="H42" s="8">
        <f t="shared" si="13"/>
        <v>2.3113999999999999</v>
      </c>
      <c r="I42" s="8">
        <v>5.69</v>
      </c>
      <c r="J42" s="8">
        <f t="shared" si="14"/>
        <v>3.3786000000000005</v>
      </c>
      <c r="K42" s="12">
        <f t="shared" si="19"/>
        <v>0.59377855887521969</v>
      </c>
      <c r="L42" s="4"/>
      <c r="M42" s="8">
        <f t="shared" si="21"/>
        <v>4.8365</v>
      </c>
      <c r="N42" s="8">
        <f t="shared" si="16"/>
        <v>2.5251000000000001</v>
      </c>
      <c r="O42" s="12">
        <f t="shared" si="17"/>
        <v>0.52209242220614083</v>
      </c>
    </row>
    <row r="43" spans="1:17" ht="12.75" x14ac:dyDescent="0.2">
      <c r="A43" s="3" t="s">
        <v>59</v>
      </c>
      <c r="B43" s="8">
        <v>2.41</v>
      </c>
      <c r="C43" s="8">
        <v>0.06</v>
      </c>
      <c r="D43" s="8">
        <f t="shared" si="10"/>
        <v>0.11380000000000001</v>
      </c>
      <c r="E43" s="8">
        <v>0.09</v>
      </c>
      <c r="F43" s="8">
        <f t="shared" si="11"/>
        <v>0.11380000000000001</v>
      </c>
      <c r="G43" s="8">
        <f t="shared" si="12"/>
        <v>0.11380000000000001</v>
      </c>
      <c r="H43" s="8">
        <f t="shared" si="13"/>
        <v>2.9013999999999998</v>
      </c>
      <c r="I43" s="8">
        <v>5.69</v>
      </c>
      <c r="J43" s="8">
        <f t="shared" si="14"/>
        <v>2.7886000000000006</v>
      </c>
      <c r="K43" s="12">
        <f t="shared" si="19"/>
        <v>0.4900878734622145</v>
      </c>
      <c r="L43" s="4"/>
      <c r="M43" s="8">
        <f t="shared" si="21"/>
        <v>4.8365</v>
      </c>
      <c r="N43" s="8">
        <f t="shared" si="16"/>
        <v>1.9351000000000003</v>
      </c>
      <c r="O43" s="12">
        <f t="shared" si="17"/>
        <v>0.40010338054378169</v>
      </c>
    </row>
    <row r="44" spans="1:17" ht="12.75" x14ac:dyDescent="0.2">
      <c r="A44" s="3" t="s">
        <v>34</v>
      </c>
      <c r="B44" s="8">
        <v>2.76</v>
      </c>
      <c r="C44" s="8">
        <v>0.06</v>
      </c>
      <c r="D44" s="8">
        <f t="shared" si="10"/>
        <v>9.98E-2</v>
      </c>
      <c r="E44" s="8">
        <v>0</v>
      </c>
      <c r="F44" s="8">
        <f t="shared" si="11"/>
        <v>9.98E-2</v>
      </c>
      <c r="G44" s="8">
        <f t="shared" si="12"/>
        <v>9.98E-2</v>
      </c>
      <c r="H44" s="8">
        <f t="shared" si="13"/>
        <v>3.1194000000000002</v>
      </c>
      <c r="I44" s="8">
        <v>4.99</v>
      </c>
      <c r="J44" s="8">
        <f t="shared" si="14"/>
        <v>1.8706</v>
      </c>
      <c r="K44" s="12">
        <f t="shared" si="19"/>
        <v>0.37486973947895791</v>
      </c>
      <c r="L44" s="5"/>
      <c r="M44" s="8">
        <f t="shared" si="21"/>
        <v>4.2415000000000003</v>
      </c>
      <c r="N44" s="8">
        <f t="shared" si="16"/>
        <v>1.1221000000000001</v>
      </c>
      <c r="O44" s="12">
        <f t="shared" si="17"/>
        <v>0.26455263468112694</v>
      </c>
    </row>
    <row r="45" spans="1:17" ht="12.75" x14ac:dyDescent="0.2">
      <c r="A45" s="3" t="s">
        <v>35</v>
      </c>
      <c r="B45" s="8">
        <v>2.37</v>
      </c>
      <c r="C45" s="8">
        <v>0.06</v>
      </c>
      <c r="D45" s="8">
        <f t="shared" si="10"/>
        <v>9.98E-2</v>
      </c>
      <c r="E45" s="8">
        <v>0</v>
      </c>
      <c r="F45" s="8">
        <f t="shared" si="11"/>
        <v>9.98E-2</v>
      </c>
      <c r="G45" s="8">
        <f t="shared" si="12"/>
        <v>9.98E-2</v>
      </c>
      <c r="H45" s="8">
        <f t="shared" si="13"/>
        <v>2.7294000000000005</v>
      </c>
      <c r="I45" s="8">
        <v>4.99</v>
      </c>
      <c r="J45" s="8">
        <f t="shared" si="14"/>
        <v>2.2605999999999997</v>
      </c>
      <c r="K45" s="12">
        <f t="shared" si="19"/>
        <v>0.45302605210420832</v>
      </c>
      <c r="L45" s="4"/>
      <c r="M45" s="8">
        <f t="shared" si="21"/>
        <v>4.2415000000000003</v>
      </c>
      <c r="N45" s="8">
        <f t="shared" si="16"/>
        <v>1.5120999999999998</v>
      </c>
      <c r="O45" s="12">
        <f t="shared" si="17"/>
        <v>0.35650123776965686</v>
      </c>
    </row>
    <row r="46" spans="1:17" ht="12.75" x14ac:dyDescent="0.2">
      <c r="A46" s="3" t="s">
        <v>36</v>
      </c>
      <c r="B46" s="8">
        <v>3.6</v>
      </c>
      <c r="C46" s="8">
        <v>0.08</v>
      </c>
      <c r="D46" s="8">
        <f t="shared" si="10"/>
        <v>0.14380000000000001</v>
      </c>
      <c r="E46" s="8">
        <v>0</v>
      </c>
      <c r="F46" s="8">
        <f t="shared" si="11"/>
        <v>0.14380000000000001</v>
      </c>
      <c r="G46" s="8">
        <f t="shared" si="12"/>
        <v>0.14380000000000001</v>
      </c>
      <c r="H46" s="8">
        <f t="shared" si="13"/>
        <v>4.1114000000000006</v>
      </c>
      <c r="I46" s="8">
        <v>7.19</v>
      </c>
      <c r="J46" s="8">
        <f t="shared" si="14"/>
        <v>3.0785999999999998</v>
      </c>
      <c r="K46" s="12">
        <f t="shared" si="19"/>
        <v>0.42817802503477048</v>
      </c>
      <c r="L46" s="4"/>
      <c r="M46" s="8">
        <f t="shared" si="21"/>
        <v>6.1115000000000004</v>
      </c>
      <c r="N46" s="8">
        <f t="shared" si="16"/>
        <v>2.0000999999999998</v>
      </c>
      <c r="O46" s="12">
        <f t="shared" si="17"/>
        <v>0.32726826474678877</v>
      </c>
    </row>
    <row r="47" spans="1:17" ht="12.75" x14ac:dyDescent="0.2">
      <c r="A47" s="3" t="s">
        <v>60</v>
      </c>
      <c r="B47" s="8">
        <v>3.65</v>
      </c>
      <c r="C47" s="8">
        <v>0.08</v>
      </c>
      <c r="D47" s="8">
        <f t="shared" si="10"/>
        <v>0.14380000000000001</v>
      </c>
      <c r="E47" s="8">
        <v>0</v>
      </c>
      <c r="F47" s="8">
        <f t="shared" si="11"/>
        <v>0.14380000000000001</v>
      </c>
      <c r="G47" s="8">
        <f t="shared" si="12"/>
        <v>0.14380000000000001</v>
      </c>
      <c r="H47" s="8">
        <f t="shared" si="13"/>
        <v>4.1613999999999995</v>
      </c>
      <c r="I47" s="8">
        <v>7.19</v>
      </c>
      <c r="J47" s="8">
        <f t="shared" si="14"/>
        <v>3.0286000000000008</v>
      </c>
      <c r="K47" s="12">
        <f t="shared" si="19"/>
        <v>0.42122392211404736</v>
      </c>
      <c r="L47" s="4"/>
      <c r="M47" s="8">
        <f t="shared" si="21"/>
        <v>6.1115000000000004</v>
      </c>
      <c r="N47" s="8">
        <f t="shared" si="16"/>
        <v>1.9501000000000008</v>
      </c>
      <c r="O47" s="12">
        <f t="shared" si="17"/>
        <v>0.31908696719299695</v>
      </c>
    </row>
    <row r="48" spans="1:17" ht="12.75" x14ac:dyDescent="0.2">
      <c r="A48" s="3" t="s">
        <v>38</v>
      </c>
      <c r="B48" s="8">
        <v>3.6</v>
      </c>
      <c r="C48" s="8">
        <v>0.08</v>
      </c>
      <c r="D48" s="8">
        <f t="shared" si="10"/>
        <v>0.14380000000000001</v>
      </c>
      <c r="E48" s="8">
        <v>0</v>
      </c>
      <c r="F48" s="8">
        <f t="shared" si="11"/>
        <v>0.14380000000000001</v>
      </c>
      <c r="G48" s="8">
        <f t="shared" si="12"/>
        <v>0.14380000000000001</v>
      </c>
      <c r="H48" s="8">
        <f t="shared" si="13"/>
        <v>4.1114000000000006</v>
      </c>
      <c r="I48" s="8">
        <v>7.19</v>
      </c>
      <c r="J48" s="8">
        <f t="shared" si="14"/>
        <v>3.0785999999999998</v>
      </c>
      <c r="K48" s="12">
        <f t="shared" si="19"/>
        <v>0.42817802503477048</v>
      </c>
      <c r="L48" s="4"/>
      <c r="M48" s="8">
        <f t="shared" si="21"/>
        <v>6.1115000000000004</v>
      </c>
      <c r="N48" s="8">
        <f t="shared" si="16"/>
        <v>2.0000999999999998</v>
      </c>
      <c r="O48" s="12">
        <f t="shared" si="17"/>
        <v>0.32726826474678877</v>
      </c>
    </row>
    <row r="49" spans="1:17" ht="12.75" x14ac:dyDescent="0.2">
      <c r="M49" s="6"/>
    </row>
    <row r="50" spans="1:17" ht="12.75" x14ac:dyDescent="0.2">
      <c r="A50" s="1" t="s">
        <v>61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62</v>
      </c>
      <c r="G50" s="1" t="s">
        <v>63</v>
      </c>
      <c r="H50" s="1" t="s">
        <v>7</v>
      </c>
      <c r="I50" s="1" t="s">
        <v>8</v>
      </c>
      <c r="J50" s="1" t="s">
        <v>9</v>
      </c>
      <c r="K50" s="1" t="s">
        <v>64</v>
      </c>
      <c r="L50" s="1" t="s">
        <v>65</v>
      </c>
      <c r="M50" s="1" t="s">
        <v>12</v>
      </c>
      <c r="N50" s="2" t="s">
        <v>13</v>
      </c>
      <c r="O50" s="1" t="s">
        <v>10</v>
      </c>
      <c r="P50" s="1" t="s">
        <v>11</v>
      </c>
      <c r="Q50" s="1" t="s">
        <v>68</v>
      </c>
    </row>
    <row r="51" spans="1:17" ht="12.75" x14ac:dyDescent="0.2">
      <c r="A51" s="3" t="s">
        <v>14</v>
      </c>
      <c r="B51" s="8">
        <v>14.52</v>
      </c>
      <c r="C51" s="8">
        <v>0.36</v>
      </c>
      <c r="D51" s="9">
        <v>0.5</v>
      </c>
      <c r="E51" s="8">
        <v>0.35</v>
      </c>
      <c r="F51" s="8">
        <f t="shared" ref="F51:F79" si="22">I51*0.1</f>
        <v>3.972</v>
      </c>
      <c r="G51" s="8">
        <f t="shared" ref="G51:G79" si="23">(I51*0.024)+0.3</f>
        <v>1.2532799999999999</v>
      </c>
      <c r="H51" s="8">
        <f t="shared" ref="H51:H79" si="24">SUM(B51:G51)</f>
        <v>20.955279999999998</v>
      </c>
      <c r="I51" s="8">
        <v>39.72</v>
      </c>
      <c r="J51" s="8">
        <f t="shared" ref="J51:J79" si="25">I51-H51</f>
        <v>18.764720000000001</v>
      </c>
      <c r="K51" s="12">
        <f t="shared" ref="K51:K79" si="26">J51/I51</f>
        <v>0.47242497482376639</v>
      </c>
      <c r="L51" s="12">
        <f t="shared" ref="L51:L79" si="27">(J51+F51)/I51</f>
        <v>0.57242497482376642</v>
      </c>
      <c r="M51" s="8">
        <f t="shared" ref="M51:M79" si="28">I51*0.9</f>
        <v>35.747999999999998</v>
      </c>
      <c r="N51" s="8">
        <f t="shared" ref="N51:N79" si="29">M51-H51</f>
        <v>14.792719999999999</v>
      </c>
      <c r="O51" s="12">
        <f t="shared" ref="O51:O79" si="30">N51/M51</f>
        <v>0.41380552758196265</v>
      </c>
      <c r="P51" s="12">
        <f>(N51+G51)/M51</f>
        <v>0.448864272127112</v>
      </c>
    </row>
    <row r="52" spans="1:17" ht="12.75" x14ac:dyDescent="0.2">
      <c r="A52" s="3" t="s">
        <v>15</v>
      </c>
      <c r="B52" s="8">
        <v>11.88</v>
      </c>
      <c r="C52" s="8">
        <v>0.36</v>
      </c>
      <c r="D52" s="9">
        <v>0.5</v>
      </c>
      <c r="E52" s="8">
        <v>0.35</v>
      </c>
      <c r="F52" s="8">
        <f t="shared" si="22"/>
        <v>2.9940000000000002</v>
      </c>
      <c r="G52" s="8">
        <f t="shared" si="23"/>
        <v>1.0185600000000001</v>
      </c>
      <c r="H52" s="8">
        <f t="shared" si="24"/>
        <v>17.10256</v>
      </c>
      <c r="I52" s="8">
        <v>29.94</v>
      </c>
      <c r="J52" s="8">
        <f t="shared" si="25"/>
        <v>12.837440000000001</v>
      </c>
      <c r="K52" s="12">
        <f t="shared" si="26"/>
        <v>0.42877221108884439</v>
      </c>
      <c r="L52" s="12">
        <f t="shared" si="27"/>
        <v>0.52877221108884431</v>
      </c>
      <c r="M52" s="8">
        <f t="shared" si="28"/>
        <v>26.946000000000002</v>
      </c>
      <c r="N52" s="8">
        <f t="shared" si="29"/>
        <v>9.8434400000000011</v>
      </c>
      <c r="O52" s="12">
        <f t="shared" si="30"/>
        <v>0.36530245676538264</v>
      </c>
      <c r="P52" s="12">
        <f t="shared" ref="P52:P79" si="31">(N52+G52)/M52</f>
        <v>0.40310250129889413</v>
      </c>
    </row>
    <row r="53" spans="1:17" ht="12.75" x14ac:dyDescent="0.2">
      <c r="A53" s="3" t="s">
        <v>16</v>
      </c>
      <c r="B53" s="8">
        <v>9</v>
      </c>
      <c r="C53" s="8">
        <v>0.36</v>
      </c>
      <c r="D53" s="9">
        <v>0.5</v>
      </c>
      <c r="E53" s="8">
        <v>0.35</v>
      </c>
      <c r="F53" s="8">
        <f t="shared" si="22"/>
        <v>2.59</v>
      </c>
      <c r="G53" s="8">
        <f t="shared" si="23"/>
        <v>0.92159999999999997</v>
      </c>
      <c r="H53" s="8">
        <f t="shared" si="24"/>
        <v>13.721599999999999</v>
      </c>
      <c r="I53" s="8">
        <v>25.9</v>
      </c>
      <c r="J53" s="8">
        <f t="shared" si="25"/>
        <v>12.1784</v>
      </c>
      <c r="K53" s="12">
        <f t="shared" si="26"/>
        <v>0.47020849420849425</v>
      </c>
      <c r="L53" s="12">
        <f t="shared" si="27"/>
        <v>0.57020849420849418</v>
      </c>
      <c r="M53" s="8">
        <f t="shared" si="28"/>
        <v>23.31</v>
      </c>
      <c r="N53" s="8">
        <f t="shared" si="29"/>
        <v>9.5884</v>
      </c>
      <c r="O53" s="12">
        <f t="shared" si="30"/>
        <v>0.41134277134277136</v>
      </c>
      <c r="P53" s="12">
        <f t="shared" si="31"/>
        <v>0.45087945087945092</v>
      </c>
    </row>
    <row r="54" spans="1:17" ht="12.75" x14ac:dyDescent="0.2">
      <c r="A54" s="3" t="s">
        <v>17</v>
      </c>
      <c r="B54" s="8">
        <v>9.6</v>
      </c>
      <c r="C54" s="8">
        <v>0.36</v>
      </c>
      <c r="D54" s="9">
        <v>0.5</v>
      </c>
      <c r="E54" s="8">
        <v>0.35</v>
      </c>
      <c r="F54" s="8">
        <f t="shared" si="22"/>
        <v>2.7390000000000003</v>
      </c>
      <c r="G54" s="8">
        <f t="shared" si="23"/>
        <v>0.95735999999999999</v>
      </c>
      <c r="H54" s="8">
        <f t="shared" si="24"/>
        <v>14.506359999999999</v>
      </c>
      <c r="I54" s="8">
        <v>27.39</v>
      </c>
      <c r="J54" s="8">
        <f t="shared" si="25"/>
        <v>12.883640000000002</v>
      </c>
      <c r="K54" s="12">
        <f t="shared" si="26"/>
        <v>0.47037751004016071</v>
      </c>
      <c r="L54" s="12">
        <f t="shared" si="27"/>
        <v>0.57037751004016068</v>
      </c>
      <c r="M54" s="8">
        <f t="shared" si="28"/>
        <v>24.651</v>
      </c>
      <c r="N54" s="8">
        <f t="shared" si="29"/>
        <v>10.144640000000001</v>
      </c>
      <c r="O54" s="12">
        <f t="shared" si="30"/>
        <v>0.41153056671128962</v>
      </c>
      <c r="P54" s="12">
        <f t="shared" si="31"/>
        <v>0.45036712506592025</v>
      </c>
    </row>
    <row r="55" spans="1:17" ht="12.75" x14ac:dyDescent="0.2">
      <c r="A55" s="3" t="s">
        <v>18</v>
      </c>
      <c r="B55" s="8">
        <v>9.9600000000000009</v>
      </c>
      <c r="C55" s="8">
        <v>0.36</v>
      </c>
      <c r="D55" s="9">
        <v>0.5</v>
      </c>
      <c r="E55" s="8">
        <v>0.35</v>
      </c>
      <c r="F55" s="8">
        <f t="shared" si="22"/>
        <v>2.8290000000000002</v>
      </c>
      <c r="G55" s="8">
        <f t="shared" si="23"/>
        <v>0.97896000000000005</v>
      </c>
      <c r="H55" s="8">
        <f t="shared" si="24"/>
        <v>14.977960000000001</v>
      </c>
      <c r="I55" s="8">
        <v>28.29</v>
      </c>
      <c r="J55" s="8">
        <f t="shared" si="25"/>
        <v>13.312039999999998</v>
      </c>
      <c r="K55" s="12">
        <f t="shared" si="26"/>
        <v>0.47055638034641212</v>
      </c>
      <c r="L55" s="12">
        <f t="shared" si="27"/>
        <v>0.5705563803464121</v>
      </c>
      <c r="M55" s="8">
        <f t="shared" si="28"/>
        <v>25.460999999999999</v>
      </c>
      <c r="N55" s="8">
        <f t="shared" si="29"/>
        <v>10.483039999999997</v>
      </c>
      <c r="O55" s="12">
        <f t="shared" si="30"/>
        <v>0.41172931149601344</v>
      </c>
      <c r="P55" s="12">
        <f t="shared" si="31"/>
        <v>0.45017870468559751</v>
      </c>
    </row>
    <row r="56" spans="1:17" ht="12.75" x14ac:dyDescent="0.2">
      <c r="A56" s="3" t="s">
        <v>19</v>
      </c>
      <c r="B56" s="8">
        <v>8.8800000000000008</v>
      </c>
      <c r="C56" s="8">
        <v>0.36</v>
      </c>
      <c r="D56" s="9">
        <v>0.5</v>
      </c>
      <c r="E56" s="8">
        <v>0.35</v>
      </c>
      <c r="F56" s="8">
        <f t="shared" si="22"/>
        <v>2.5600000000000005</v>
      </c>
      <c r="G56" s="8">
        <f t="shared" si="23"/>
        <v>0.9144000000000001</v>
      </c>
      <c r="H56" s="8">
        <f t="shared" si="24"/>
        <v>13.564400000000001</v>
      </c>
      <c r="I56" s="8">
        <v>25.6</v>
      </c>
      <c r="J56" s="8">
        <f t="shared" si="25"/>
        <v>12.035600000000001</v>
      </c>
      <c r="K56" s="12">
        <f t="shared" si="26"/>
        <v>0.47014062499999998</v>
      </c>
      <c r="L56" s="12">
        <f t="shared" si="27"/>
        <v>0.57014062499999996</v>
      </c>
      <c r="M56" s="8">
        <f t="shared" si="28"/>
        <v>23.040000000000003</v>
      </c>
      <c r="N56" s="8">
        <f t="shared" si="29"/>
        <v>9.4756000000000018</v>
      </c>
      <c r="O56" s="12">
        <f t="shared" si="30"/>
        <v>0.41126736111111112</v>
      </c>
      <c r="P56" s="12">
        <f t="shared" si="31"/>
        <v>0.45095486111111116</v>
      </c>
    </row>
    <row r="57" spans="1:17" ht="12.75" x14ac:dyDescent="0.2">
      <c r="A57" s="3" t="s">
        <v>20</v>
      </c>
      <c r="B57" s="8">
        <v>26.7</v>
      </c>
      <c r="C57" s="8">
        <v>0.36</v>
      </c>
      <c r="D57" s="9">
        <v>0.5</v>
      </c>
      <c r="E57" s="8">
        <v>0.35</v>
      </c>
      <c r="F57" s="8">
        <f t="shared" si="22"/>
        <v>6.9489999999999998</v>
      </c>
      <c r="G57" s="8">
        <f t="shared" si="23"/>
        <v>1.96776</v>
      </c>
      <c r="H57" s="8">
        <f t="shared" si="24"/>
        <v>36.82676</v>
      </c>
      <c r="I57" s="8">
        <v>69.489999999999995</v>
      </c>
      <c r="J57" s="8">
        <f t="shared" si="25"/>
        <v>32.663239999999995</v>
      </c>
      <c r="K57" s="12">
        <f t="shared" si="26"/>
        <v>0.47004230824579074</v>
      </c>
      <c r="L57" s="12">
        <f t="shared" si="27"/>
        <v>0.57004230824579072</v>
      </c>
      <c r="M57" s="8">
        <f t="shared" si="28"/>
        <v>62.540999999999997</v>
      </c>
      <c r="N57" s="8">
        <f t="shared" si="29"/>
        <v>25.714239999999997</v>
      </c>
      <c r="O57" s="12">
        <f t="shared" si="30"/>
        <v>0.41115812027310084</v>
      </c>
      <c r="P57" s="12">
        <f t="shared" si="31"/>
        <v>0.44262164020402611</v>
      </c>
    </row>
    <row r="58" spans="1:17" ht="12.75" x14ac:dyDescent="0.2">
      <c r="A58" s="3" t="s">
        <v>21</v>
      </c>
      <c r="B58" s="8">
        <v>13.32</v>
      </c>
      <c r="C58" s="8">
        <v>0.36</v>
      </c>
      <c r="D58" s="9">
        <v>0.5</v>
      </c>
      <c r="E58" s="8">
        <v>0.35</v>
      </c>
      <c r="F58" s="8">
        <f t="shared" si="22"/>
        <v>3.972</v>
      </c>
      <c r="G58" s="8">
        <f t="shared" si="23"/>
        <v>1.2532799999999999</v>
      </c>
      <c r="H58" s="8">
        <f t="shared" si="24"/>
        <v>19.755279999999999</v>
      </c>
      <c r="I58" s="8">
        <v>39.72</v>
      </c>
      <c r="J58" s="8">
        <f t="shared" si="25"/>
        <v>19.96472</v>
      </c>
      <c r="K58" s="12">
        <f t="shared" si="26"/>
        <v>0.50263645518630418</v>
      </c>
      <c r="L58" s="12">
        <f t="shared" si="27"/>
        <v>0.60263645518630415</v>
      </c>
      <c r="M58" s="8">
        <f t="shared" si="28"/>
        <v>35.747999999999998</v>
      </c>
      <c r="N58" s="8">
        <f t="shared" si="29"/>
        <v>15.992719999999998</v>
      </c>
      <c r="O58" s="12">
        <f t="shared" si="30"/>
        <v>0.44737383909589346</v>
      </c>
      <c r="P58" s="12">
        <f t="shared" si="31"/>
        <v>0.48243258364104286</v>
      </c>
    </row>
    <row r="59" spans="1:17" ht="12.75" x14ac:dyDescent="0.2">
      <c r="A59" s="3" t="s">
        <v>22</v>
      </c>
      <c r="B59" s="8">
        <v>10.92</v>
      </c>
      <c r="C59" s="8">
        <v>0.36</v>
      </c>
      <c r="D59" s="9">
        <v>0.5</v>
      </c>
      <c r="E59" s="8">
        <v>0.35</v>
      </c>
      <c r="F59" s="8">
        <f t="shared" si="22"/>
        <v>3.972</v>
      </c>
      <c r="G59" s="8">
        <f t="shared" si="23"/>
        <v>1.2532799999999999</v>
      </c>
      <c r="H59" s="8">
        <f t="shared" si="24"/>
        <v>17.35528</v>
      </c>
      <c r="I59" s="8">
        <v>39.72</v>
      </c>
      <c r="J59" s="8">
        <f t="shared" si="25"/>
        <v>22.364719999999998</v>
      </c>
      <c r="K59" s="12">
        <f t="shared" si="26"/>
        <v>0.56305941591137965</v>
      </c>
      <c r="L59" s="12">
        <f t="shared" si="27"/>
        <v>0.66305941591137962</v>
      </c>
      <c r="M59" s="8">
        <f t="shared" si="28"/>
        <v>35.747999999999998</v>
      </c>
      <c r="N59" s="8">
        <f t="shared" si="29"/>
        <v>18.392719999999997</v>
      </c>
      <c r="O59" s="12">
        <f t="shared" si="30"/>
        <v>0.51451046212375517</v>
      </c>
      <c r="P59" s="12">
        <f t="shared" si="31"/>
        <v>0.54956920666890452</v>
      </c>
    </row>
    <row r="60" spans="1:17" ht="12.75" x14ac:dyDescent="0.2">
      <c r="A60" s="3" t="s">
        <v>23</v>
      </c>
      <c r="B60" s="8">
        <v>14.46</v>
      </c>
      <c r="C60" s="8">
        <v>0.36</v>
      </c>
      <c r="D60" s="9">
        <v>0.5</v>
      </c>
      <c r="E60" s="8">
        <v>0.35</v>
      </c>
      <c r="F60" s="8">
        <f t="shared" si="22"/>
        <v>3.972</v>
      </c>
      <c r="G60" s="8">
        <f t="shared" si="23"/>
        <v>1.2532799999999999</v>
      </c>
      <c r="H60" s="8">
        <f t="shared" si="24"/>
        <v>20.89528</v>
      </c>
      <c r="I60" s="8">
        <v>39.72</v>
      </c>
      <c r="J60" s="8">
        <f t="shared" si="25"/>
        <v>18.824719999999999</v>
      </c>
      <c r="K60" s="12">
        <f t="shared" si="26"/>
        <v>0.47393554884189326</v>
      </c>
      <c r="L60" s="12">
        <f t="shared" si="27"/>
        <v>0.57393554884189324</v>
      </c>
      <c r="M60" s="8">
        <f t="shared" si="28"/>
        <v>35.747999999999998</v>
      </c>
      <c r="N60" s="8">
        <f t="shared" si="29"/>
        <v>14.852719999999998</v>
      </c>
      <c r="O60" s="12">
        <f t="shared" si="30"/>
        <v>0.41548394315765913</v>
      </c>
      <c r="P60" s="12">
        <f t="shared" si="31"/>
        <v>0.45054268770280853</v>
      </c>
    </row>
    <row r="61" spans="1:17" ht="12.75" x14ac:dyDescent="0.2">
      <c r="A61" s="3" t="s">
        <v>24</v>
      </c>
      <c r="B61" s="8">
        <v>29.04</v>
      </c>
      <c r="C61" s="8">
        <v>0.72</v>
      </c>
      <c r="D61" s="10"/>
      <c r="E61" s="8">
        <v>0.6</v>
      </c>
      <c r="F61" s="8">
        <f t="shared" si="22"/>
        <v>7.7040000000000006</v>
      </c>
      <c r="G61" s="8">
        <f t="shared" si="23"/>
        <v>2.1489600000000002</v>
      </c>
      <c r="H61" s="8">
        <f t="shared" si="24"/>
        <v>40.212960000000002</v>
      </c>
      <c r="I61" s="8">
        <v>77.040000000000006</v>
      </c>
      <c r="J61" s="8">
        <f t="shared" si="25"/>
        <v>36.827040000000004</v>
      </c>
      <c r="K61" s="12">
        <f t="shared" si="26"/>
        <v>0.47802492211838005</v>
      </c>
      <c r="L61" s="12">
        <f t="shared" si="27"/>
        <v>0.57802492211838008</v>
      </c>
      <c r="M61" s="8">
        <f t="shared" si="28"/>
        <v>69.336000000000013</v>
      </c>
      <c r="N61" s="8">
        <f t="shared" si="29"/>
        <v>29.12304000000001</v>
      </c>
      <c r="O61" s="12">
        <f t="shared" si="30"/>
        <v>0.42002769124264461</v>
      </c>
      <c r="P61" s="12">
        <f t="shared" si="31"/>
        <v>0.45102111457251648</v>
      </c>
    </row>
    <row r="62" spans="1:17" ht="12.75" x14ac:dyDescent="0.2">
      <c r="A62" s="3" t="s">
        <v>25</v>
      </c>
      <c r="B62" s="8">
        <v>23.76</v>
      </c>
      <c r="C62" s="8">
        <v>0.72</v>
      </c>
      <c r="D62" s="10"/>
      <c r="E62" s="8">
        <v>0.6</v>
      </c>
      <c r="F62" s="8">
        <f t="shared" si="22"/>
        <v>5.7480000000000002</v>
      </c>
      <c r="G62" s="8">
        <f t="shared" si="23"/>
        <v>1.6795199999999999</v>
      </c>
      <c r="H62" s="8">
        <f t="shared" si="24"/>
        <v>32.50752</v>
      </c>
      <c r="I62" s="8">
        <v>57.48</v>
      </c>
      <c r="J62" s="8">
        <f t="shared" si="25"/>
        <v>24.972479999999997</v>
      </c>
      <c r="K62" s="12">
        <f t="shared" si="26"/>
        <v>0.43445511482254695</v>
      </c>
      <c r="L62" s="12">
        <f t="shared" si="27"/>
        <v>0.53445511482254693</v>
      </c>
      <c r="M62" s="8">
        <f t="shared" si="28"/>
        <v>51.731999999999999</v>
      </c>
      <c r="N62" s="8">
        <f t="shared" si="29"/>
        <v>19.22448</v>
      </c>
      <c r="O62" s="12">
        <f t="shared" si="30"/>
        <v>0.3716167942472744</v>
      </c>
      <c r="P62" s="12">
        <f t="shared" si="31"/>
        <v>0.40408257944792392</v>
      </c>
    </row>
    <row r="63" spans="1:17" ht="12.75" x14ac:dyDescent="0.2">
      <c r="A63" s="3" t="s">
        <v>26</v>
      </c>
      <c r="B63" s="8">
        <v>18</v>
      </c>
      <c r="C63" s="8">
        <v>0.72</v>
      </c>
      <c r="D63" s="10"/>
      <c r="E63" s="8">
        <v>0.6</v>
      </c>
      <c r="F63" s="8">
        <f t="shared" si="22"/>
        <v>4.7880000000000003</v>
      </c>
      <c r="G63" s="8">
        <f t="shared" si="23"/>
        <v>1.4491200000000002</v>
      </c>
      <c r="H63" s="8">
        <f t="shared" si="24"/>
        <v>25.557120000000001</v>
      </c>
      <c r="I63" s="8">
        <v>47.88</v>
      </c>
      <c r="J63" s="8">
        <f t="shared" si="25"/>
        <v>22.322880000000001</v>
      </c>
      <c r="K63" s="12">
        <f t="shared" si="26"/>
        <v>0.46622556390977443</v>
      </c>
      <c r="L63" s="12">
        <f t="shared" si="27"/>
        <v>0.56622556390977441</v>
      </c>
      <c r="M63" s="8">
        <f t="shared" si="28"/>
        <v>43.092000000000006</v>
      </c>
      <c r="N63" s="8">
        <f t="shared" si="29"/>
        <v>17.534880000000005</v>
      </c>
      <c r="O63" s="12">
        <f t="shared" si="30"/>
        <v>0.40691729323308273</v>
      </c>
      <c r="P63" s="12">
        <f t="shared" si="31"/>
        <v>0.44054580896686169</v>
      </c>
    </row>
    <row r="64" spans="1:17" ht="12.75" x14ac:dyDescent="0.2">
      <c r="A64" s="3" t="s">
        <v>27</v>
      </c>
      <c r="B64" s="8">
        <v>19.2</v>
      </c>
      <c r="C64" s="8">
        <v>0.72</v>
      </c>
      <c r="D64" s="10"/>
      <c r="E64" s="8">
        <v>0.6</v>
      </c>
      <c r="F64" s="8">
        <f t="shared" si="22"/>
        <v>5.1479999999999997</v>
      </c>
      <c r="G64" s="8">
        <f t="shared" si="23"/>
        <v>1.53552</v>
      </c>
      <c r="H64" s="8">
        <f t="shared" si="24"/>
        <v>27.203519999999997</v>
      </c>
      <c r="I64" s="8">
        <v>51.48</v>
      </c>
      <c r="J64" s="8">
        <f t="shared" si="25"/>
        <v>24.276479999999999</v>
      </c>
      <c r="K64" s="12">
        <f t="shared" si="26"/>
        <v>0.47157109557109561</v>
      </c>
      <c r="L64" s="12">
        <f t="shared" si="27"/>
        <v>0.57157109557109553</v>
      </c>
      <c r="M64" s="8">
        <f t="shared" si="28"/>
        <v>46.332000000000001</v>
      </c>
      <c r="N64" s="8">
        <f t="shared" si="29"/>
        <v>19.128480000000003</v>
      </c>
      <c r="O64" s="12">
        <f t="shared" si="30"/>
        <v>0.41285677285677291</v>
      </c>
      <c r="P64" s="12">
        <f t="shared" si="31"/>
        <v>0.44599844599844601</v>
      </c>
    </row>
    <row r="65" spans="1:16" ht="12.75" x14ac:dyDescent="0.2">
      <c r="A65" s="3" t="s">
        <v>28</v>
      </c>
      <c r="B65" s="8">
        <v>19.920000000000002</v>
      </c>
      <c r="C65" s="8">
        <v>0.72</v>
      </c>
      <c r="D65" s="10"/>
      <c r="E65" s="8">
        <v>0.6</v>
      </c>
      <c r="F65" s="8">
        <f t="shared" si="22"/>
        <v>5.3180000000000005</v>
      </c>
      <c r="G65" s="8">
        <f t="shared" si="23"/>
        <v>1.5763200000000002</v>
      </c>
      <c r="H65" s="8">
        <f t="shared" si="24"/>
        <v>28.134320000000002</v>
      </c>
      <c r="I65" s="8">
        <v>53.18</v>
      </c>
      <c r="J65" s="8">
        <f t="shared" si="25"/>
        <v>25.045679999999997</v>
      </c>
      <c r="K65" s="12">
        <f t="shared" si="26"/>
        <v>0.47096051147047757</v>
      </c>
      <c r="L65" s="12">
        <f t="shared" si="27"/>
        <v>0.57096051147047755</v>
      </c>
      <c r="M65" s="8">
        <f t="shared" si="28"/>
        <v>47.862000000000002</v>
      </c>
      <c r="N65" s="8">
        <f t="shared" si="29"/>
        <v>19.727679999999999</v>
      </c>
      <c r="O65" s="12">
        <f t="shared" si="30"/>
        <v>0.41217834607830844</v>
      </c>
      <c r="P65" s="12">
        <f t="shared" si="31"/>
        <v>0.44511303330408253</v>
      </c>
    </row>
    <row r="66" spans="1:16" ht="12.75" x14ac:dyDescent="0.2">
      <c r="A66" s="3" t="s">
        <v>29</v>
      </c>
      <c r="B66" s="8">
        <v>17.760000000000002</v>
      </c>
      <c r="C66" s="8">
        <v>0.72</v>
      </c>
      <c r="D66" s="10"/>
      <c r="E66" s="8">
        <v>0.6</v>
      </c>
      <c r="F66" s="8">
        <f t="shared" si="22"/>
        <v>4.7880000000000003</v>
      </c>
      <c r="G66" s="8">
        <f t="shared" si="23"/>
        <v>1.4491200000000002</v>
      </c>
      <c r="H66" s="8">
        <f t="shared" si="24"/>
        <v>25.317120000000003</v>
      </c>
      <c r="I66" s="8">
        <v>47.88</v>
      </c>
      <c r="J66" s="8">
        <f t="shared" si="25"/>
        <v>22.56288</v>
      </c>
      <c r="K66" s="12">
        <f t="shared" si="26"/>
        <v>0.47123809523809523</v>
      </c>
      <c r="L66" s="12">
        <f t="shared" si="27"/>
        <v>0.57123809523809521</v>
      </c>
      <c r="M66" s="8">
        <f t="shared" si="28"/>
        <v>43.092000000000006</v>
      </c>
      <c r="N66" s="8">
        <f t="shared" si="29"/>
        <v>17.774880000000003</v>
      </c>
      <c r="O66" s="12">
        <f t="shared" si="30"/>
        <v>0.41248677248677251</v>
      </c>
      <c r="P66" s="12">
        <f t="shared" si="31"/>
        <v>0.44611528822055141</v>
      </c>
    </row>
    <row r="67" spans="1:16" ht="12.75" x14ac:dyDescent="0.2">
      <c r="A67" s="3" t="s">
        <v>30</v>
      </c>
      <c r="B67" s="8">
        <v>53.4</v>
      </c>
      <c r="C67" s="8">
        <v>0.72</v>
      </c>
      <c r="D67" s="10"/>
      <c r="E67" s="8">
        <v>0.6</v>
      </c>
      <c r="F67" s="8">
        <f t="shared" si="22"/>
        <v>13.600000000000001</v>
      </c>
      <c r="G67" s="8">
        <f t="shared" si="23"/>
        <v>3.5640000000000001</v>
      </c>
      <c r="H67" s="8">
        <f t="shared" si="24"/>
        <v>71.883999999999986</v>
      </c>
      <c r="I67" s="8">
        <v>136</v>
      </c>
      <c r="J67" s="8">
        <f t="shared" si="25"/>
        <v>64.116000000000014</v>
      </c>
      <c r="K67" s="12">
        <f t="shared" si="26"/>
        <v>0.47144117647058836</v>
      </c>
      <c r="L67" s="12">
        <f t="shared" si="27"/>
        <v>0.57144117647058834</v>
      </c>
      <c r="M67" s="8">
        <f t="shared" si="28"/>
        <v>122.4</v>
      </c>
      <c r="N67" s="8">
        <f t="shared" si="29"/>
        <v>50.51600000000002</v>
      </c>
      <c r="O67" s="12">
        <f t="shared" si="30"/>
        <v>0.41271241830065375</v>
      </c>
      <c r="P67" s="12">
        <f t="shared" si="31"/>
        <v>0.44183006535947728</v>
      </c>
    </row>
    <row r="68" spans="1:16" ht="12.75" x14ac:dyDescent="0.2">
      <c r="A68" s="3" t="s">
        <v>31</v>
      </c>
      <c r="B68" s="8">
        <v>26.64</v>
      </c>
      <c r="C68" s="8">
        <v>0.72</v>
      </c>
      <c r="D68" s="10"/>
      <c r="E68" s="8">
        <v>0.6</v>
      </c>
      <c r="F68" s="8">
        <f t="shared" si="22"/>
        <v>7.7040000000000006</v>
      </c>
      <c r="G68" s="8">
        <f t="shared" si="23"/>
        <v>2.1489600000000002</v>
      </c>
      <c r="H68" s="8">
        <f t="shared" si="24"/>
        <v>37.812960000000004</v>
      </c>
      <c r="I68" s="8">
        <v>77.040000000000006</v>
      </c>
      <c r="J68" s="8">
        <f t="shared" si="25"/>
        <v>39.227040000000002</v>
      </c>
      <c r="K68" s="12">
        <f t="shared" si="26"/>
        <v>0.50917757009345799</v>
      </c>
      <c r="L68" s="12">
        <f t="shared" si="27"/>
        <v>0.60917757009345797</v>
      </c>
      <c r="M68" s="8">
        <f t="shared" si="28"/>
        <v>69.336000000000013</v>
      </c>
      <c r="N68" s="8">
        <f t="shared" si="29"/>
        <v>31.523040000000009</v>
      </c>
      <c r="O68" s="12">
        <f t="shared" si="30"/>
        <v>0.45464174454828665</v>
      </c>
      <c r="P68" s="12">
        <f t="shared" si="31"/>
        <v>0.48563516787815858</v>
      </c>
    </row>
    <row r="69" spans="1:16" ht="12.75" x14ac:dyDescent="0.2">
      <c r="A69" s="3" t="s">
        <v>32</v>
      </c>
      <c r="B69" s="8">
        <v>21.84</v>
      </c>
      <c r="C69" s="8">
        <v>0.72</v>
      </c>
      <c r="D69" s="10"/>
      <c r="E69" s="8">
        <v>0.6</v>
      </c>
      <c r="F69" s="8">
        <f t="shared" si="22"/>
        <v>7.7040000000000006</v>
      </c>
      <c r="G69" s="8">
        <f t="shared" si="23"/>
        <v>2.1489600000000002</v>
      </c>
      <c r="H69" s="8">
        <f t="shared" si="24"/>
        <v>33.01296</v>
      </c>
      <c r="I69" s="8">
        <v>77.040000000000006</v>
      </c>
      <c r="J69" s="8">
        <f t="shared" si="25"/>
        <v>44.027040000000007</v>
      </c>
      <c r="K69" s="12">
        <f t="shared" si="26"/>
        <v>0.57148286604361376</v>
      </c>
      <c r="L69" s="12">
        <f t="shared" si="27"/>
        <v>0.67148286604361374</v>
      </c>
      <c r="M69" s="8">
        <f t="shared" si="28"/>
        <v>69.336000000000013</v>
      </c>
      <c r="N69" s="8">
        <f t="shared" si="29"/>
        <v>36.323040000000013</v>
      </c>
      <c r="O69" s="12">
        <f t="shared" si="30"/>
        <v>0.52386985115957085</v>
      </c>
      <c r="P69" s="12">
        <f t="shared" si="31"/>
        <v>0.55486327448944284</v>
      </c>
    </row>
    <row r="70" spans="1:16" ht="12.75" x14ac:dyDescent="0.2">
      <c r="A70" s="3" t="s">
        <v>33</v>
      </c>
      <c r="B70" s="8">
        <v>28.92</v>
      </c>
      <c r="C70" s="8">
        <v>0.72</v>
      </c>
      <c r="D70" s="10"/>
      <c r="E70" s="8">
        <v>0.6</v>
      </c>
      <c r="F70" s="8">
        <f t="shared" si="22"/>
        <v>7.7040000000000006</v>
      </c>
      <c r="G70" s="8">
        <f t="shared" si="23"/>
        <v>2.1489600000000002</v>
      </c>
      <c r="H70" s="8">
        <f t="shared" si="24"/>
        <v>40.092960000000005</v>
      </c>
      <c r="I70" s="8">
        <v>77.040000000000006</v>
      </c>
      <c r="J70" s="8">
        <f t="shared" si="25"/>
        <v>36.947040000000001</v>
      </c>
      <c r="K70" s="12">
        <f t="shared" si="26"/>
        <v>0.47958255451713394</v>
      </c>
      <c r="L70" s="12">
        <f t="shared" si="27"/>
        <v>0.57958255451713392</v>
      </c>
      <c r="M70" s="8">
        <f t="shared" si="28"/>
        <v>69.336000000000013</v>
      </c>
      <c r="N70" s="8">
        <f t="shared" si="29"/>
        <v>29.243040000000008</v>
      </c>
      <c r="O70" s="12">
        <f t="shared" si="30"/>
        <v>0.42175839390792663</v>
      </c>
      <c r="P70" s="12">
        <f t="shared" si="31"/>
        <v>0.45275181723779856</v>
      </c>
    </row>
    <row r="71" spans="1:16" ht="12.75" x14ac:dyDescent="0.2">
      <c r="A71" s="3" t="s">
        <v>34</v>
      </c>
      <c r="B71" s="8">
        <v>33.119999999999997</v>
      </c>
      <c r="C71" s="8">
        <v>0.72</v>
      </c>
      <c r="D71" s="10"/>
      <c r="E71" s="8">
        <v>0.60000000000000098</v>
      </c>
      <c r="F71" s="8">
        <f t="shared" si="22"/>
        <v>8.5739999999999998</v>
      </c>
      <c r="G71" s="8">
        <f t="shared" si="23"/>
        <v>2.3577599999999999</v>
      </c>
      <c r="H71" s="8">
        <f t="shared" si="24"/>
        <v>45.371759999999995</v>
      </c>
      <c r="I71" s="8">
        <v>85.74</v>
      </c>
      <c r="J71" s="8">
        <f t="shared" si="25"/>
        <v>40.36824</v>
      </c>
      <c r="K71" s="12">
        <f t="shared" si="26"/>
        <v>0.47082155353393984</v>
      </c>
      <c r="L71" s="12">
        <f t="shared" si="27"/>
        <v>0.57082155353393982</v>
      </c>
      <c r="M71" s="8">
        <f t="shared" si="28"/>
        <v>77.165999999999997</v>
      </c>
      <c r="N71" s="8">
        <f t="shared" si="29"/>
        <v>31.794240000000002</v>
      </c>
      <c r="O71" s="12">
        <f t="shared" si="30"/>
        <v>0.41202394837104428</v>
      </c>
      <c r="P71" s="12">
        <f t="shared" si="31"/>
        <v>0.44257833760982818</v>
      </c>
    </row>
    <row r="72" spans="1:16" ht="12.75" x14ac:dyDescent="0.2">
      <c r="A72" s="3" t="s">
        <v>35</v>
      </c>
      <c r="B72" s="8">
        <v>28.44</v>
      </c>
      <c r="C72" s="8">
        <v>0.72</v>
      </c>
      <c r="D72" s="10"/>
      <c r="E72" s="8">
        <v>0.60000000000000098</v>
      </c>
      <c r="F72" s="8">
        <f t="shared" si="22"/>
        <v>7.7880000000000003</v>
      </c>
      <c r="G72" s="8">
        <f t="shared" si="23"/>
        <v>2.1691199999999999</v>
      </c>
      <c r="H72" s="8">
        <f t="shared" si="24"/>
        <v>39.717120000000001</v>
      </c>
      <c r="I72" s="8">
        <v>77.88</v>
      </c>
      <c r="J72" s="8">
        <f t="shared" si="25"/>
        <v>38.162879999999994</v>
      </c>
      <c r="K72" s="12">
        <f t="shared" si="26"/>
        <v>0.49002157164869026</v>
      </c>
      <c r="L72" s="12">
        <f t="shared" si="27"/>
        <v>0.59002157164869029</v>
      </c>
      <c r="M72" s="8">
        <f t="shared" si="28"/>
        <v>70.091999999999999</v>
      </c>
      <c r="N72" s="8">
        <f t="shared" si="29"/>
        <v>30.374879999999997</v>
      </c>
      <c r="O72" s="12">
        <f t="shared" si="30"/>
        <v>0.43335730183187809</v>
      </c>
      <c r="P72" s="12">
        <f t="shared" si="31"/>
        <v>0.46430405752439646</v>
      </c>
    </row>
    <row r="73" spans="1:16" ht="12.75" x14ac:dyDescent="0.2">
      <c r="A73" s="3" t="s">
        <v>36</v>
      </c>
      <c r="B73" s="8">
        <v>22.08</v>
      </c>
      <c r="C73" s="8">
        <v>2.02</v>
      </c>
      <c r="D73" s="10"/>
      <c r="E73" s="8">
        <v>0.87</v>
      </c>
      <c r="F73" s="8">
        <f t="shared" si="22"/>
        <v>5.3090000000000011</v>
      </c>
      <c r="G73" s="8">
        <f t="shared" si="23"/>
        <v>1.5741600000000002</v>
      </c>
      <c r="H73" s="8">
        <f t="shared" si="24"/>
        <v>31.853159999999999</v>
      </c>
      <c r="I73" s="8">
        <v>53.09</v>
      </c>
      <c r="J73" s="8">
        <f t="shared" si="25"/>
        <v>21.236840000000004</v>
      </c>
      <c r="K73" s="12">
        <f t="shared" si="26"/>
        <v>0.40001582218873616</v>
      </c>
      <c r="L73" s="12">
        <f t="shared" si="27"/>
        <v>0.50001582218873619</v>
      </c>
      <c r="M73" s="8">
        <f t="shared" si="28"/>
        <v>47.781000000000006</v>
      </c>
      <c r="N73" s="8">
        <f t="shared" si="29"/>
        <v>15.927840000000007</v>
      </c>
      <c r="O73" s="12">
        <f t="shared" si="30"/>
        <v>0.33335091354304025</v>
      </c>
      <c r="P73" s="12">
        <f t="shared" si="31"/>
        <v>0.36629622653355942</v>
      </c>
    </row>
    <row r="74" spans="1:16" ht="12.75" x14ac:dyDescent="0.2">
      <c r="A74" s="3" t="s">
        <v>37</v>
      </c>
      <c r="B74" s="8">
        <v>22.38</v>
      </c>
      <c r="C74" s="8">
        <v>2.02</v>
      </c>
      <c r="D74" s="10"/>
      <c r="E74" s="8">
        <v>0.87</v>
      </c>
      <c r="F74" s="8">
        <f t="shared" si="22"/>
        <v>5.3090000000000011</v>
      </c>
      <c r="G74" s="8">
        <f t="shared" si="23"/>
        <v>1.5741600000000002</v>
      </c>
      <c r="H74" s="8">
        <f t="shared" si="24"/>
        <v>32.15316</v>
      </c>
      <c r="I74" s="8">
        <v>53.09</v>
      </c>
      <c r="J74" s="8">
        <f t="shared" si="25"/>
        <v>20.936840000000004</v>
      </c>
      <c r="K74" s="12">
        <f t="shared" si="26"/>
        <v>0.39436504049726884</v>
      </c>
      <c r="L74" s="12">
        <f t="shared" si="27"/>
        <v>0.49436504049726887</v>
      </c>
      <c r="M74" s="8">
        <f t="shared" si="28"/>
        <v>47.781000000000006</v>
      </c>
      <c r="N74" s="8">
        <f t="shared" si="29"/>
        <v>15.627840000000006</v>
      </c>
      <c r="O74" s="12">
        <f t="shared" si="30"/>
        <v>0.32707226721918764</v>
      </c>
      <c r="P74" s="12">
        <f t="shared" si="31"/>
        <v>0.36001758020970687</v>
      </c>
    </row>
    <row r="75" spans="1:16" ht="12.75" x14ac:dyDescent="0.2">
      <c r="A75" s="3" t="s">
        <v>38</v>
      </c>
      <c r="B75" s="8">
        <v>22.08</v>
      </c>
      <c r="C75" s="8">
        <v>2.02</v>
      </c>
      <c r="D75" s="10"/>
      <c r="E75" s="8">
        <v>0.87</v>
      </c>
      <c r="F75" s="8">
        <f t="shared" si="22"/>
        <v>5.3090000000000011</v>
      </c>
      <c r="G75" s="8">
        <f t="shared" si="23"/>
        <v>1.5741600000000002</v>
      </c>
      <c r="H75" s="8">
        <f t="shared" si="24"/>
        <v>31.853159999999999</v>
      </c>
      <c r="I75" s="8">
        <v>53.09</v>
      </c>
      <c r="J75" s="8">
        <f t="shared" si="25"/>
        <v>21.236840000000004</v>
      </c>
      <c r="K75" s="12">
        <f t="shared" si="26"/>
        <v>0.40001582218873616</v>
      </c>
      <c r="L75" s="12">
        <f t="shared" si="27"/>
        <v>0.50001582218873619</v>
      </c>
      <c r="M75" s="8">
        <f t="shared" si="28"/>
        <v>47.781000000000006</v>
      </c>
      <c r="N75" s="8">
        <f t="shared" si="29"/>
        <v>15.927840000000007</v>
      </c>
      <c r="O75" s="12">
        <f t="shared" si="30"/>
        <v>0.33335091354304025</v>
      </c>
      <c r="P75" s="12">
        <f t="shared" si="31"/>
        <v>0.36629622653355942</v>
      </c>
    </row>
    <row r="76" spans="1:16" ht="12.75" x14ac:dyDescent="0.2">
      <c r="A76" s="3" t="s">
        <v>39</v>
      </c>
      <c r="B76" s="8">
        <v>6.8</v>
      </c>
      <c r="C76" s="8">
        <v>0.24</v>
      </c>
      <c r="D76" s="10"/>
      <c r="E76" s="8">
        <v>1.63</v>
      </c>
      <c r="F76" s="8">
        <f t="shared" si="22"/>
        <v>2.0379999999999998</v>
      </c>
      <c r="G76" s="8">
        <f t="shared" si="23"/>
        <v>0.78912000000000004</v>
      </c>
      <c r="H76" s="8">
        <f t="shared" si="24"/>
        <v>11.497120000000001</v>
      </c>
      <c r="I76" s="8">
        <v>20.38</v>
      </c>
      <c r="J76" s="8">
        <f t="shared" si="25"/>
        <v>8.8828799999999983</v>
      </c>
      <c r="K76" s="12">
        <f t="shared" si="26"/>
        <v>0.43586261040235519</v>
      </c>
      <c r="L76" s="12">
        <f t="shared" si="27"/>
        <v>0.53586261040235517</v>
      </c>
      <c r="M76" s="8">
        <f t="shared" si="28"/>
        <v>18.341999999999999</v>
      </c>
      <c r="N76" s="8">
        <f t="shared" si="29"/>
        <v>6.8448799999999981</v>
      </c>
      <c r="O76" s="12">
        <f t="shared" si="30"/>
        <v>0.37318067822483908</v>
      </c>
      <c r="P76" s="12">
        <f t="shared" si="31"/>
        <v>0.41620324937302361</v>
      </c>
    </row>
    <row r="77" spans="1:16" ht="12.75" x14ac:dyDescent="0.2">
      <c r="A77" s="3" t="s">
        <v>40</v>
      </c>
      <c r="B77" s="8">
        <v>8.8699999999999992</v>
      </c>
      <c r="C77" s="8">
        <v>0.24</v>
      </c>
      <c r="D77" s="10"/>
      <c r="E77" s="8">
        <v>1.63</v>
      </c>
      <c r="F77" s="8">
        <f t="shared" si="22"/>
        <v>2.5960000000000001</v>
      </c>
      <c r="G77" s="8">
        <f t="shared" si="23"/>
        <v>0.92304000000000008</v>
      </c>
      <c r="H77" s="8">
        <f t="shared" si="24"/>
        <v>14.259039999999999</v>
      </c>
      <c r="I77" s="8">
        <v>25.96</v>
      </c>
      <c r="J77" s="8">
        <f t="shared" si="25"/>
        <v>11.700960000000002</v>
      </c>
      <c r="K77" s="12">
        <f t="shared" si="26"/>
        <v>0.45073035439137138</v>
      </c>
      <c r="L77" s="12">
        <f t="shared" si="27"/>
        <v>0.55073035439137141</v>
      </c>
      <c r="M77" s="8">
        <f t="shared" si="28"/>
        <v>23.364000000000001</v>
      </c>
      <c r="N77" s="8">
        <f t="shared" si="29"/>
        <v>9.1049600000000019</v>
      </c>
      <c r="O77" s="12">
        <f t="shared" si="30"/>
        <v>0.38970039376819043</v>
      </c>
      <c r="P77" s="12">
        <f t="shared" si="31"/>
        <v>0.42920732751241236</v>
      </c>
    </row>
    <row r="78" spans="1:16" ht="12.75" x14ac:dyDescent="0.2">
      <c r="A78" s="3" t="s">
        <v>41</v>
      </c>
      <c r="B78" s="8">
        <v>7.05</v>
      </c>
      <c r="C78" s="8">
        <v>0.18</v>
      </c>
      <c r="D78" s="10"/>
      <c r="E78" s="8">
        <v>1.46</v>
      </c>
      <c r="F78" s="8">
        <f t="shared" si="22"/>
        <v>2.0379999999999998</v>
      </c>
      <c r="G78" s="8">
        <f t="shared" si="23"/>
        <v>0.78912000000000004</v>
      </c>
      <c r="H78" s="8">
        <f t="shared" si="24"/>
        <v>11.51712</v>
      </c>
      <c r="I78" s="8">
        <v>20.38</v>
      </c>
      <c r="J78" s="8">
        <f t="shared" si="25"/>
        <v>8.8628799999999988</v>
      </c>
      <c r="K78" s="12">
        <f t="shared" si="26"/>
        <v>0.43488125613346412</v>
      </c>
      <c r="L78" s="12">
        <f t="shared" si="27"/>
        <v>0.53488125613346416</v>
      </c>
      <c r="M78" s="8">
        <f t="shared" si="28"/>
        <v>18.341999999999999</v>
      </c>
      <c r="N78" s="8">
        <f t="shared" si="29"/>
        <v>6.8248799999999985</v>
      </c>
      <c r="O78" s="12">
        <f t="shared" si="30"/>
        <v>0.37209028459273791</v>
      </c>
      <c r="P78" s="12">
        <f t="shared" si="31"/>
        <v>0.41511285574092244</v>
      </c>
    </row>
    <row r="79" spans="1:16" ht="12.75" x14ac:dyDescent="0.2">
      <c r="A79" s="3" t="s">
        <v>42</v>
      </c>
      <c r="B79" s="8">
        <v>7.8</v>
      </c>
      <c r="C79" s="8">
        <v>0.18</v>
      </c>
      <c r="D79" s="10"/>
      <c r="E79" s="8">
        <v>1.63</v>
      </c>
      <c r="F79" s="8">
        <f t="shared" si="22"/>
        <v>2.238</v>
      </c>
      <c r="G79" s="8">
        <f t="shared" si="23"/>
        <v>0.83712000000000009</v>
      </c>
      <c r="H79" s="8">
        <f t="shared" si="24"/>
        <v>12.68512</v>
      </c>
      <c r="I79" s="8">
        <v>22.38</v>
      </c>
      <c r="J79" s="8">
        <f t="shared" si="25"/>
        <v>9.6948799999999995</v>
      </c>
      <c r="K79" s="12">
        <f t="shared" si="26"/>
        <v>0.43319392314566579</v>
      </c>
      <c r="L79" s="12">
        <f t="shared" si="27"/>
        <v>0.53319392314566572</v>
      </c>
      <c r="M79" s="8">
        <f t="shared" si="28"/>
        <v>20.141999999999999</v>
      </c>
      <c r="N79" s="8">
        <f t="shared" si="29"/>
        <v>7.45688</v>
      </c>
      <c r="O79" s="12">
        <f t="shared" si="30"/>
        <v>0.37021547016185086</v>
      </c>
      <c r="P79" s="12">
        <f t="shared" si="31"/>
        <v>0.41177638764770136</v>
      </c>
    </row>
    <row r="81" spans="1:15" ht="12.75" x14ac:dyDescent="0.2">
      <c r="A81" s="1" t="s">
        <v>66</v>
      </c>
      <c r="B81" s="1" t="s">
        <v>1</v>
      </c>
      <c r="C81" s="1" t="s">
        <v>44</v>
      </c>
      <c r="D81" s="1" t="s">
        <v>45</v>
      </c>
      <c r="E81" s="1" t="s">
        <v>3</v>
      </c>
      <c r="F81" s="1" t="s">
        <v>46</v>
      </c>
      <c r="G81" s="1" t="s">
        <v>47</v>
      </c>
      <c r="H81" s="1" t="s">
        <v>7</v>
      </c>
      <c r="I81" s="1" t="s">
        <v>8</v>
      </c>
      <c r="J81" s="1" t="s">
        <v>9</v>
      </c>
      <c r="K81" s="1" t="s">
        <v>48</v>
      </c>
      <c r="L81" s="1"/>
      <c r="M81" s="1" t="s">
        <v>49</v>
      </c>
      <c r="N81" s="2" t="s">
        <v>13</v>
      </c>
      <c r="O81" s="1" t="s">
        <v>48</v>
      </c>
    </row>
    <row r="82" spans="1:15" ht="12.75" x14ac:dyDescent="0.2">
      <c r="A82" s="3" t="s">
        <v>50</v>
      </c>
      <c r="B82" s="8">
        <v>2.42</v>
      </c>
      <c r="C82" s="8">
        <v>0.06</v>
      </c>
      <c r="D82" s="8">
        <f t="shared" ref="D82:D96" si="32">I82*0.02</f>
        <v>0.10199999999999999</v>
      </c>
      <c r="E82" s="8">
        <v>0.09</v>
      </c>
      <c r="F82" s="8">
        <f t="shared" ref="F82:F96" si="33">I82*0.02</f>
        <v>0.10199999999999999</v>
      </c>
      <c r="G82" s="8">
        <f t="shared" ref="G82:G96" si="34">I82*0.02</f>
        <v>0.10199999999999999</v>
      </c>
      <c r="H82" s="8">
        <f t="shared" ref="H82:H96" si="35">SUM(B82:G82)</f>
        <v>2.8759999999999994</v>
      </c>
      <c r="I82" s="8">
        <v>5.0999999999999996</v>
      </c>
      <c r="J82" s="8">
        <f t="shared" ref="J82:J96" si="36">I82-H82</f>
        <v>2.2240000000000002</v>
      </c>
      <c r="K82" s="12">
        <f t="shared" ref="K82:K96" si="37">J82/I82</f>
        <v>0.43607843137254909</v>
      </c>
      <c r="L82" s="4"/>
      <c r="M82" s="6">
        <f t="shared" ref="M82:M96" si="38">I82*0.85</f>
        <v>4.335</v>
      </c>
      <c r="N82" s="6">
        <f t="shared" ref="N82:N96" si="39">M82-H82</f>
        <v>1.4590000000000005</v>
      </c>
      <c r="O82" s="12">
        <f>N82/M82</f>
        <v>0.33656286043829309</v>
      </c>
    </row>
    <row r="83" spans="1:15" ht="15.75" customHeight="1" x14ac:dyDescent="0.25">
      <c r="A83" s="3" t="s">
        <v>51</v>
      </c>
      <c r="B83" s="8">
        <v>2.04</v>
      </c>
      <c r="C83" s="8">
        <v>0.06</v>
      </c>
      <c r="D83" s="8">
        <f t="shared" si="32"/>
        <v>6.3600000000000004E-2</v>
      </c>
      <c r="E83" s="8">
        <v>0.09</v>
      </c>
      <c r="F83" s="8">
        <f t="shared" si="33"/>
        <v>6.3600000000000004E-2</v>
      </c>
      <c r="G83" s="8">
        <f t="shared" si="34"/>
        <v>6.3600000000000004E-2</v>
      </c>
      <c r="H83" s="8">
        <f t="shared" si="35"/>
        <v>2.3808000000000002</v>
      </c>
      <c r="I83" s="11">
        <v>3.18</v>
      </c>
      <c r="J83" s="8">
        <f t="shared" si="36"/>
        <v>0.79919999999999991</v>
      </c>
      <c r="K83" s="12">
        <f t="shared" si="37"/>
        <v>0.25132075471698107</v>
      </c>
      <c r="L83" s="4"/>
      <c r="M83" s="6">
        <f t="shared" si="38"/>
        <v>2.7029999999999998</v>
      </c>
      <c r="N83" s="6">
        <f t="shared" si="39"/>
        <v>0.3221999999999996</v>
      </c>
      <c r="O83" s="12">
        <f t="shared" ref="O83:O96" si="40">N83/M83</f>
        <v>0.1192008879023306</v>
      </c>
    </row>
    <row r="84" spans="1:15" ht="15.75" customHeight="1" x14ac:dyDescent="0.25">
      <c r="A84" s="3" t="s">
        <v>52</v>
      </c>
      <c r="B84" s="8">
        <v>1.5</v>
      </c>
      <c r="C84" s="8">
        <v>0.06</v>
      </c>
      <c r="D84" s="8">
        <f t="shared" si="32"/>
        <v>6.3600000000000004E-2</v>
      </c>
      <c r="E84" s="8">
        <v>0.09</v>
      </c>
      <c r="F84" s="8">
        <f t="shared" si="33"/>
        <v>6.3600000000000004E-2</v>
      </c>
      <c r="G84" s="8">
        <f t="shared" si="34"/>
        <v>6.3600000000000004E-2</v>
      </c>
      <c r="H84" s="8">
        <f t="shared" si="35"/>
        <v>1.8408000000000004</v>
      </c>
      <c r="I84" s="11">
        <v>3.18</v>
      </c>
      <c r="J84" s="8">
        <f t="shared" si="36"/>
        <v>1.3391999999999997</v>
      </c>
      <c r="K84" s="12">
        <f t="shared" si="37"/>
        <v>0.42113207547169801</v>
      </c>
      <c r="L84" s="4"/>
      <c r="M84" s="6">
        <f t="shared" si="38"/>
        <v>2.7029999999999998</v>
      </c>
      <c r="N84" s="6">
        <f t="shared" si="39"/>
        <v>0.86219999999999941</v>
      </c>
      <c r="O84" s="12">
        <f t="shared" si="40"/>
        <v>0.31897891231964465</v>
      </c>
    </row>
    <row r="85" spans="1:15" ht="15.75" customHeight="1" x14ac:dyDescent="0.25">
      <c r="A85" s="3" t="s">
        <v>53</v>
      </c>
      <c r="B85" s="8">
        <v>1.6</v>
      </c>
      <c r="C85" s="8">
        <v>0.06</v>
      </c>
      <c r="D85" s="8">
        <f t="shared" si="32"/>
        <v>6.3600000000000004E-2</v>
      </c>
      <c r="E85" s="8">
        <v>0.09</v>
      </c>
      <c r="F85" s="8">
        <f t="shared" si="33"/>
        <v>6.3600000000000004E-2</v>
      </c>
      <c r="G85" s="8">
        <f t="shared" si="34"/>
        <v>6.3600000000000004E-2</v>
      </c>
      <c r="H85" s="8">
        <f t="shared" si="35"/>
        <v>1.9408000000000005</v>
      </c>
      <c r="I85" s="11">
        <v>3.18</v>
      </c>
      <c r="J85" s="8">
        <f t="shared" si="36"/>
        <v>1.2391999999999996</v>
      </c>
      <c r="K85" s="12">
        <f t="shared" si="37"/>
        <v>0.38968553459119482</v>
      </c>
      <c r="L85" s="4"/>
      <c r="M85" s="6">
        <f t="shared" si="38"/>
        <v>2.7029999999999998</v>
      </c>
      <c r="N85" s="6">
        <f t="shared" si="39"/>
        <v>0.76219999999999932</v>
      </c>
      <c r="O85" s="12">
        <f t="shared" si="40"/>
        <v>0.28198298187199383</v>
      </c>
    </row>
    <row r="86" spans="1:15" ht="15.75" customHeight="1" x14ac:dyDescent="0.25">
      <c r="A86" s="3" t="s">
        <v>54</v>
      </c>
      <c r="B86" s="8">
        <v>1.66</v>
      </c>
      <c r="C86" s="8">
        <v>0.06</v>
      </c>
      <c r="D86" s="8">
        <f t="shared" si="32"/>
        <v>6.3600000000000004E-2</v>
      </c>
      <c r="E86" s="8">
        <v>0.09</v>
      </c>
      <c r="F86" s="8">
        <f t="shared" si="33"/>
        <v>6.3600000000000004E-2</v>
      </c>
      <c r="G86" s="8">
        <f t="shared" si="34"/>
        <v>6.3600000000000004E-2</v>
      </c>
      <c r="H86" s="8">
        <f t="shared" si="35"/>
        <v>2.0008000000000004</v>
      </c>
      <c r="I86" s="11">
        <v>3.18</v>
      </c>
      <c r="J86" s="8">
        <f t="shared" si="36"/>
        <v>1.1791999999999998</v>
      </c>
      <c r="K86" s="12">
        <f t="shared" si="37"/>
        <v>0.37081761006289299</v>
      </c>
      <c r="L86" s="4"/>
      <c r="M86" s="6">
        <f t="shared" si="38"/>
        <v>2.7029999999999998</v>
      </c>
      <c r="N86" s="6">
        <f t="shared" si="39"/>
        <v>0.70219999999999949</v>
      </c>
      <c r="O86" s="12">
        <f t="shared" si="40"/>
        <v>0.25978542360340345</v>
      </c>
    </row>
    <row r="87" spans="1:15" ht="15.75" customHeight="1" x14ac:dyDescent="0.25">
      <c r="A87" s="3" t="s">
        <v>55</v>
      </c>
      <c r="B87" s="8">
        <v>1.48</v>
      </c>
      <c r="C87" s="8">
        <v>0.06</v>
      </c>
      <c r="D87" s="8">
        <f t="shared" si="32"/>
        <v>6.3600000000000004E-2</v>
      </c>
      <c r="E87" s="8">
        <v>0.09</v>
      </c>
      <c r="F87" s="8">
        <f t="shared" si="33"/>
        <v>6.3600000000000004E-2</v>
      </c>
      <c r="G87" s="8">
        <f t="shared" si="34"/>
        <v>6.3600000000000004E-2</v>
      </c>
      <c r="H87" s="8">
        <f t="shared" si="35"/>
        <v>1.8208000000000004</v>
      </c>
      <c r="I87" s="11">
        <v>3.18</v>
      </c>
      <c r="J87" s="8">
        <f t="shared" si="36"/>
        <v>1.3591999999999997</v>
      </c>
      <c r="K87" s="12">
        <f t="shared" si="37"/>
        <v>0.42742138364779864</v>
      </c>
      <c r="L87" s="4"/>
      <c r="M87" s="6">
        <f t="shared" si="38"/>
        <v>2.7029999999999998</v>
      </c>
      <c r="N87" s="6">
        <f t="shared" si="39"/>
        <v>0.88219999999999943</v>
      </c>
      <c r="O87" s="12">
        <f t="shared" si="40"/>
        <v>0.32637809840917481</v>
      </c>
    </row>
    <row r="88" spans="1:15" ht="12.75" x14ac:dyDescent="0.2">
      <c r="A88" s="3" t="s">
        <v>56</v>
      </c>
      <c r="B88" s="8">
        <v>4.45</v>
      </c>
      <c r="C88" s="8">
        <v>0.06</v>
      </c>
      <c r="D88" s="8">
        <f t="shared" si="32"/>
        <v>0.192</v>
      </c>
      <c r="E88" s="8">
        <v>0.09</v>
      </c>
      <c r="F88" s="8">
        <f t="shared" si="33"/>
        <v>0.192</v>
      </c>
      <c r="G88" s="8">
        <f t="shared" si="34"/>
        <v>0.192</v>
      </c>
      <c r="H88" s="8">
        <f t="shared" si="35"/>
        <v>5.1760000000000002</v>
      </c>
      <c r="I88" s="8">
        <v>9.6</v>
      </c>
      <c r="J88" s="8">
        <f t="shared" si="36"/>
        <v>4.4239999999999995</v>
      </c>
      <c r="K88" s="12">
        <f t="shared" si="37"/>
        <v>0.46083333333333332</v>
      </c>
      <c r="L88" s="4"/>
      <c r="M88" s="6">
        <f t="shared" si="38"/>
        <v>8.16</v>
      </c>
      <c r="N88" s="6">
        <f t="shared" si="39"/>
        <v>2.984</v>
      </c>
      <c r="O88" s="12">
        <f t="shared" si="40"/>
        <v>0.3656862745098039</v>
      </c>
    </row>
    <row r="89" spans="1:15" ht="12.75" x14ac:dyDescent="0.2">
      <c r="A89" s="3" t="s">
        <v>57</v>
      </c>
      <c r="B89" s="8">
        <v>2.2200000000000002</v>
      </c>
      <c r="C89" s="8">
        <v>0.06</v>
      </c>
      <c r="D89" s="8">
        <f t="shared" si="32"/>
        <v>0.10199999999999999</v>
      </c>
      <c r="E89" s="8">
        <v>0.09</v>
      </c>
      <c r="F89" s="8">
        <f t="shared" si="33"/>
        <v>0.10199999999999999</v>
      </c>
      <c r="G89" s="8">
        <f t="shared" si="34"/>
        <v>0.10199999999999999</v>
      </c>
      <c r="H89" s="8">
        <f t="shared" si="35"/>
        <v>2.6759999999999997</v>
      </c>
      <c r="I89" s="8">
        <v>5.0999999999999996</v>
      </c>
      <c r="J89" s="8">
        <f t="shared" si="36"/>
        <v>2.4239999999999999</v>
      </c>
      <c r="K89" s="12">
        <f t="shared" si="37"/>
        <v>0.47529411764705887</v>
      </c>
      <c r="L89" s="4"/>
      <c r="M89" s="6">
        <f t="shared" si="38"/>
        <v>4.335</v>
      </c>
      <c r="N89" s="6">
        <f t="shared" si="39"/>
        <v>1.6590000000000003</v>
      </c>
      <c r="O89" s="12">
        <f t="shared" si="40"/>
        <v>0.3826989619377163</v>
      </c>
    </row>
    <row r="90" spans="1:15" ht="12.75" x14ac:dyDescent="0.2">
      <c r="A90" s="3" t="s">
        <v>58</v>
      </c>
      <c r="B90" s="8">
        <v>1.82</v>
      </c>
      <c r="C90" s="8">
        <v>0.06</v>
      </c>
      <c r="D90" s="8">
        <f t="shared" si="32"/>
        <v>0.10199999999999999</v>
      </c>
      <c r="E90" s="8">
        <v>0.09</v>
      </c>
      <c r="F90" s="8">
        <f t="shared" si="33"/>
        <v>0.10199999999999999</v>
      </c>
      <c r="G90" s="8">
        <f t="shared" si="34"/>
        <v>0.10199999999999999</v>
      </c>
      <c r="H90" s="8">
        <f t="shared" si="35"/>
        <v>2.2759999999999998</v>
      </c>
      <c r="I90" s="8">
        <v>5.0999999999999996</v>
      </c>
      <c r="J90" s="8">
        <f t="shared" si="36"/>
        <v>2.8239999999999998</v>
      </c>
      <c r="K90" s="12">
        <f t="shared" si="37"/>
        <v>0.55372549019607842</v>
      </c>
      <c r="L90" s="4"/>
      <c r="M90" s="6">
        <f t="shared" si="38"/>
        <v>4.335</v>
      </c>
      <c r="N90" s="6">
        <f t="shared" si="39"/>
        <v>2.0590000000000002</v>
      </c>
      <c r="O90" s="12">
        <f t="shared" si="40"/>
        <v>0.47497116493656288</v>
      </c>
    </row>
    <row r="91" spans="1:15" ht="12.75" x14ac:dyDescent="0.2">
      <c r="A91" s="3" t="s">
        <v>59</v>
      </c>
      <c r="B91" s="8">
        <v>2.41</v>
      </c>
      <c r="C91" s="8">
        <v>0.06</v>
      </c>
      <c r="D91" s="8">
        <f t="shared" si="32"/>
        <v>0.10199999999999999</v>
      </c>
      <c r="E91" s="8">
        <v>0.09</v>
      </c>
      <c r="F91" s="8">
        <f t="shared" si="33"/>
        <v>0.10199999999999999</v>
      </c>
      <c r="G91" s="8">
        <f t="shared" si="34"/>
        <v>0.10199999999999999</v>
      </c>
      <c r="H91" s="8">
        <f t="shared" si="35"/>
        <v>2.8659999999999997</v>
      </c>
      <c r="I91" s="8">
        <v>5.0999999999999996</v>
      </c>
      <c r="J91" s="8">
        <f t="shared" si="36"/>
        <v>2.234</v>
      </c>
      <c r="K91" s="12">
        <f t="shared" si="37"/>
        <v>0.43803921568627452</v>
      </c>
      <c r="L91" s="4"/>
      <c r="M91" s="6">
        <f t="shared" si="38"/>
        <v>4.335</v>
      </c>
      <c r="N91" s="6">
        <f t="shared" si="39"/>
        <v>1.4690000000000003</v>
      </c>
      <c r="O91" s="12">
        <f t="shared" si="40"/>
        <v>0.3388696655132642</v>
      </c>
    </row>
    <row r="92" spans="1:15" ht="12.75" x14ac:dyDescent="0.2">
      <c r="A92" s="3" t="s">
        <v>34</v>
      </c>
      <c r="B92" s="8">
        <v>2.76</v>
      </c>
      <c r="C92" s="8">
        <v>0.06</v>
      </c>
      <c r="D92" s="8">
        <f t="shared" si="32"/>
        <v>0.08</v>
      </c>
      <c r="E92" s="8">
        <v>0</v>
      </c>
      <c r="F92" s="8">
        <f t="shared" si="33"/>
        <v>0.08</v>
      </c>
      <c r="G92" s="8">
        <f t="shared" si="34"/>
        <v>0.08</v>
      </c>
      <c r="H92" s="8">
        <f t="shared" si="35"/>
        <v>3.06</v>
      </c>
      <c r="I92" s="8">
        <v>4</v>
      </c>
      <c r="J92" s="8">
        <f t="shared" si="36"/>
        <v>0.94</v>
      </c>
      <c r="K92" s="12">
        <f t="shared" si="37"/>
        <v>0.23499999999999999</v>
      </c>
      <c r="L92" s="5"/>
      <c r="M92" s="6">
        <f t="shared" si="38"/>
        <v>3.4</v>
      </c>
      <c r="N92" s="6">
        <f t="shared" si="39"/>
        <v>0.33999999999999986</v>
      </c>
      <c r="O92" s="12">
        <f t="shared" si="40"/>
        <v>9.9999999999999964E-2</v>
      </c>
    </row>
    <row r="93" spans="1:15" ht="12.75" x14ac:dyDescent="0.2">
      <c r="A93" s="3" t="s">
        <v>35</v>
      </c>
      <c r="B93" s="8">
        <v>2.37</v>
      </c>
      <c r="C93" s="8">
        <v>0.06</v>
      </c>
      <c r="D93" s="8">
        <f t="shared" si="32"/>
        <v>0.08</v>
      </c>
      <c r="E93" s="8">
        <v>0</v>
      </c>
      <c r="F93" s="8">
        <f t="shared" si="33"/>
        <v>0.08</v>
      </c>
      <c r="G93" s="8">
        <f t="shared" si="34"/>
        <v>0.08</v>
      </c>
      <c r="H93" s="8">
        <f t="shared" si="35"/>
        <v>2.6700000000000004</v>
      </c>
      <c r="I93" s="8">
        <v>4</v>
      </c>
      <c r="J93" s="8">
        <f t="shared" si="36"/>
        <v>1.3299999999999996</v>
      </c>
      <c r="K93" s="12">
        <f t="shared" si="37"/>
        <v>0.33249999999999991</v>
      </c>
      <c r="L93" s="4"/>
      <c r="M93" s="6">
        <f t="shared" si="38"/>
        <v>3.4</v>
      </c>
      <c r="N93" s="6">
        <f t="shared" si="39"/>
        <v>0.72999999999999954</v>
      </c>
      <c r="O93" s="12">
        <f t="shared" si="40"/>
        <v>0.21470588235294105</v>
      </c>
    </row>
    <row r="94" spans="1:15" ht="12.75" x14ac:dyDescent="0.2">
      <c r="A94" s="3" t="s">
        <v>36</v>
      </c>
      <c r="B94" s="8">
        <v>2.4700000000000002</v>
      </c>
      <c r="C94" s="8">
        <v>0.08</v>
      </c>
      <c r="D94" s="8">
        <f t="shared" si="32"/>
        <v>0.12</v>
      </c>
      <c r="E94" s="8">
        <v>0</v>
      </c>
      <c r="F94" s="8">
        <f t="shared" si="33"/>
        <v>0.12</v>
      </c>
      <c r="G94" s="8">
        <f t="shared" si="34"/>
        <v>0.12</v>
      </c>
      <c r="H94" s="8">
        <f t="shared" si="35"/>
        <v>2.9100000000000006</v>
      </c>
      <c r="I94" s="8">
        <v>6</v>
      </c>
      <c r="J94" s="8">
        <f t="shared" si="36"/>
        <v>3.0899999999999994</v>
      </c>
      <c r="K94" s="12">
        <f t="shared" si="37"/>
        <v>0.5149999999999999</v>
      </c>
      <c r="L94" s="4"/>
      <c r="M94" s="6">
        <f t="shared" si="38"/>
        <v>5.0999999999999996</v>
      </c>
      <c r="N94" s="6">
        <f t="shared" si="39"/>
        <v>2.1899999999999991</v>
      </c>
      <c r="O94" s="12">
        <f t="shared" si="40"/>
        <v>0.42941176470588222</v>
      </c>
    </row>
    <row r="95" spans="1:15" ht="12.75" x14ac:dyDescent="0.2">
      <c r="A95" s="3" t="s">
        <v>67</v>
      </c>
      <c r="B95" s="8">
        <v>2.76</v>
      </c>
      <c r="C95" s="8">
        <v>0.08</v>
      </c>
      <c r="D95" s="8">
        <f t="shared" si="32"/>
        <v>0.12</v>
      </c>
      <c r="E95" s="8">
        <v>0</v>
      </c>
      <c r="F95" s="8">
        <f t="shared" si="33"/>
        <v>0.12</v>
      </c>
      <c r="G95" s="8">
        <f t="shared" si="34"/>
        <v>0.12</v>
      </c>
      <c r="H95" s="8">
        <f t="shared" si="35"/>
        <v>3.2</v>
      </c>
      <c r="I95" s="8">
        <v>6</v>
      </c>
      <c r="J95" s="8">
        <f t="shared" si="36"/>
        <v>2.8</v>
      </c>
      <c r="K95" s="12">
        <f t="shared" si="37"/>
        <v>0.46666666666666662</v>
      </c>
      <c r="L95" s="4"/>
      <c r="M95" s="6">
        <f t="shared" si="38"/>
        <v>5.0999999999999996</v>
      </c>
      <c r="N95" s="6">
        <f t="shared" si="39"/>
        <v>1.8999999999999995</v>
      </c>
      <c r="O95" s="12">
        <f t="shared" si="40"/>
        <v>0.37254901960784303</v>
      </c>
    </row>
    <row r="96" spans="1:15" ht="12.75" x14ac:dyDescent="0.2">
      <c r="A96" s="3" t="s">
        <v>38</v>
      </c>
      <c r="B96" s="8">
        <v>3.07</v>
      </c>
      <c r="C96" s="8">
        <v>0.08</v>
      </c>
      <c r="D96" s="8">
        <f t="shared" si="32"/>
        <v>0.12</v>
      </c>
      <c r="E96" s="8">
        <v>0</v>
      </c>
      <c r="F96" s="8">
        <f t="shared" si="33"/>
        <v>0.12</v>
      </c>
      <c r="G96" s="8">
        <f t="shared" si="34"/>
        <v>0.12</v>
      </c>
      <c r="H96" s="8">
        <f t="shared" si="35"/>
        <v>3.5100000000000002</v>
      </c>
      <c r="I96" s="8">
        <v>6</v>
      </c>
      <c r="J96" s="8">
        <f t="shared" si="36"/>
        <v>2.4899999999999998</v>
      </c>
      <c r="K96" s="12">
        <f t="shared" si="37"/>
        <v>0.41499999999999998</v>
      </c>
      <c r="L96" s="4"/>
      <c r="M96" s="6">
        <f t="shared" si="38"/>
        <v>5.0999999999999996</v>
      </c>
      <c r="N96" s="6">
        <f t="shared" si="39"/>
        <v>1.5899999999999994</v>
      </c>
      <c r="O96" s="12">
        <f t="shared" si="40"/>
        <v>0.31176470588235283</v>
      </c>
    </row>
  </sheetData>
  <conditionalFormatting sqref="K3:K31">
    <cfRule type="cellIs" dxfId="12" priority="13" operator="lessThan">
      <formula>0.42</formula>
    </cfRule>
  </conditionalFormatting>
  <conditionalFormatting sqref="L3:L31">
    <cfRule type="cellIs" dxfId="10" priority="11" operator="lessThan">
      <formula>0.42</formula>
    </cfRule>
  </conditionalFormatting>
  <conditionalFormatting sqref="O3:O31">
    <cfRule type="cellIs" dxfId="9" priority="10" operator="lessThan">
      <formula>0.42</formula>
    </cfRule>
  </conditionalFormatting>
  <conditionalFormatting sqref="P3:P31">
    <cfRule type="cellIs" dxfId="8" priority="9" operator="lessThan">
      <formula>0.42</formula>
    </cfRule>
  </conditionalFormatting>
  <conditionalFormatting sqref="K34:K48">
    <cfRule type="cellIs" dxfId="7" priority="8" operator="lessThan">
      <formula>0.42</formula>
    </cfRule>
  </conditionalFormatting>
  <conditionalFormatting sqref="K51:K79">
    <cfRule type="cellIs" dxfId="6" priority="7" operator="lessThan">
      <formula>0.42</formula>
    </cfRule>
  </conditionalFormatting>
  <conditionalFormatting sqref="K82:K96">
    <cfRule type="cellIs" dxfId="5" priority="6" operator="lessThan">
      <formula>0.42</formula>
    </cfRule>
  </conditionalFormatting>
  <conditionalFormatting sqref="O34:O48">
    <cfRule type="cellIs" dxfId="4" priority="5" operator="lessThan">
      <formula>0.42</formula>
    </cfRule>
  </conditionalFormatting>
  <conditionalFormatting sqref="L51:L79">
    <cfRule type="cellIs" dxfId="3" priority="4" operator="lessThan">
      <formula>0.42</formula>
    </cfRule>
  </conditionalFormatting>
  <conditionalFormatting sqref="O51:O79">
    <cfRule type="cellIs" dxfId="2" priority="3" operator="lessThan">
      <formula>0.42</formula>
    </cfRule>
  </conditionalFormatting>
  <conditionalFormatting sqref="P51:P79">
    <cfRule type="cellIs" dxfId="1" priority="2" operator="lessThan">
      <formula>0.42</formula>
    </cfRule>
  </conditionalFormatting>
  <conditionalFormatting sqref="O82:O96">
    <cfRule type="cellIs" dxfId="0" priority="1" operator="lessThan">
      <formula>0.42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clark</cp:lastModifiedBy>
  <dcterms:created xsi:type="dcterms:W3CDTF">2024-08-13T20:58:18Z</dcterms:created>
  <dcterms:modified xsi:type="dcterms:W3CDTF">2024-08-15T20:14:00Z</dcterms:modified>
</cp:coreProperties>
</file>