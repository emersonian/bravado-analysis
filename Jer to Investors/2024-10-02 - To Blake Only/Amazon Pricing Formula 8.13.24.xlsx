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59187e96f9a85847/Clark ^0 Assoc/Bravado/"/>
    </mc:Choice>
  </mc:AlternateContent>
  <xr:revisionPtr revIDLastSave="39" documentId="8_{FCEF9568-8F84-4A4F-B5B6-83A187D97B4D}" xr6:coauthVersionLast="47" xr6:coauthVersionMax="47" xr10:uidLastSave="{D4D2BF65-031A-49B4-BB86-897AEA251CB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80" i="1"/>
  <c r="N81" i="1"/>
  <c r="N82" i="1"/>
  <c r="N83" i="1"/>
  <c r="N84" i="1"/>
  <c r="N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80" i="1"/>
  <c r="K81" i="1"/>
  <c r="K82" i="1"/>
  <c r="K83" i="1"/>
  <c r="K84" i="1"/>
  <c r="K3" i="1"/>
  <c r="M84" i="1" l="1"/>
  <c r="H84" i="1"/>
  <c r="J84" i="1" s="1"/>
  <c r="M83" i="1"/>
  <c r="H83" i="1"/>
  <c r="J83" i="1" s="1"/>
  <c r="H82" i="1"/>
  <c r="M82" i="1" s="1"/>
  <c r="M81" i="1"/>
  <c r="J81" i="1"/>
  <c r="H81" i="1"/>
  <c r="M80" i="1"/>
  <c r="J80" i="1"/>
  <c r="H80" i="1"/>
  <c r="M75" i="1"/>
  <c r="H75" i="1"/>
  <c r="J75" i="1" s="1"/>
  <c r="M74" i="1"/>
  <c r="H74" i="1"/>
  <c r="J74" i="1" s="1"/>
  <c r="H73" i="1"/>
  <c r="M73" i="1" s="1"/>
  <c r="M72" i="1"/>
  <c r="H72" i="1"/>
  <c r="J72" i="1" s="1"/>
  <c r="M71" i="1"/>
  <c r="H71" i="1"/>
  <c r="J71" i="1" s="1"/>
  <c r="H70" i="1"/>
  <c r="M70" i="1" s="1"/>
  <c r="M69" i="1"/>
  <c r="J69" i="1"/>
  <c r="H69" i="1"/>
  <c r="M68" i="1"/>
  <c r="J68" i="1"/>
  <c r="H68" i="1"/>
  <c r="M67" i="1"/>
  <c r="H67" i="1"/>
  <c r="J67" i="1" s="1"/>
  <c r="M66" i="1"/>
  <c r="H66" i="1"/>
  <c r="J66" i="1" s="1"/>
  <c r="H65" i="1"/>
  <c r="M65" i="1" s="1"/>
  <c r="M64" i="1"/>
  <c r="H64" i="1"/>
  <c r="J64" i="1" s="1"/>
  <c r="M63" i="1"/>
  <c r="H63" i="1"/>
  <c r="J63" i="1" s="1"/>
  <c r="H62" i="1"/>
  <c r="M62" i="1" s="1"/>
  <c r="M61" i="1"/>
  <c r="J61" i="1"/>
  <c r="H61" i="1"/>
  <c r="M60" i="1"/>
  <c r="J60" i="1"/>
  <c r="H60" i="1"/>
  <c r="M59" i="1"/>
  <c r="H59" i="1"/>
  <c r="J59" i="1" s="1"/>
  <c r="M58" i="1"/>
  <c r="H58" i="1"/>
  <c r="J58" i="1" s="1"/>
  <c r="H57" i="1"/>
  <c r="M57" i="1" s="1"/>
  <c r="M56" i="1"/>
  <c r="J56" i="1"/>
  <c r="H56" i="1"/>
  <c r="G50" i="1"/>
  <c r="H50" i="1" s="1"/>
  <c r="H49" i="1"/>
  <c r="J49" i="1" s="1"/>
  <c r="G49" i="1"/>
  <c r="G48" i="1"/>
  <c r="H48" i="1" s="1"/>
  <c r="M47" i="1"/>
  <c r="J47" i="1"/>
  <c r="H47" i="1"/>
  <c r="G47" i="1"/>
  <c r="G46" i="1"/>
  <c r="H46" i="1" s="1"/>
  <c r="H45" i="1"/>
  <c r="J45" i="1" s="1"/>
  <c r="G45" i="1"/>
  <c r="G44" i="1"/>
  <c r="H44" i="1" s="1"/>
  <c r="M43" i="1"/>
  <c r="J43" i="1"/>
  <c r="H43" i="1"/>
  <c r="G43" i="1"/>
  <c r="G42" i="1"/>
  <c r="H42" i="1" s="1"/>
  <c r="H41" i="1"/>
  <c r="J41" i="1" s="1"/>
  <c r="G41" i="1"/>
  <c r="G40" i="1"/>
  <c r="H40" i="1" s="1"/>
  <c r="M39" i="1"/>
  <c r="J39" i="1"/>
  <c r="H39" i="1"/>
  <c r="G39" i="1"/>
  <c r="G38" i="1"/>
  <c r="H38" i="1" s="1"/>
  <c r="H37" i="1"/>
  <c r="M37" i="1" s="1"/>
  <c r="G37" i="1"/>
  <c r="G36" i="1"/>
  <c r="H36" i="1" s="1"/>
  <c r="M35" i="1"/>
  <c r="J35" i="1"/>
  <c r="H35" i="1"/>
  <c r="G35" i="1"/>
  <c r="G34" i="1"/>
  <c r="H34" i="1" s="1"/>
  <c r="H33" i="1"/>
  <c r="J33" i="1" s="1"/>
  <c r="G33" i="1"/>
  <c r="G32" i="1"/>
  <c r="H32" i="1" s="1"/>
  <c r="M31" i="1"/>
  <c r="J31" i="1"/>
  <c r="H31" i="1"/>
  <c r="G31" i="1"/>
  <c r="G30" i="1"/>
  <c r="H30" i="1" s="1"/>
  <c r="H29" i="1"/>
  <c r="M29" i="1" s="1"/>
  <c r="G29" i="1"/>
  <c r="G28" i="1"/>
  <c r="H28" i="1" s="1"/>
  <c r="M25" i="1"/>
  <c r="J25" i="1"/>
  <c r="H25" i="1"/>
  <c r="G25" i="1"/>
  <c r="G24" i="1"/>
  <c r="H24" i="1" s="1"/>
  <c r="H23" i="1"/>
  <c r="M23" i="1" s="1"/>
  <c r="G23" i="1"/>
  <c r="G22" i="1"/>
  <c r="H22" i="1" s="1"/>
  <c r="M21" i="1"/>
  <c r="J21" i="1"/>
  <c r="H21" i="1"/>
  <c r="G21" i="1"/>
  <c r="G20" i="1"/>
  <c r="H20" i="1" s="1"/>
  <c r="H19" i="1"/>
  <c r="M19" i="1" s="1"/>
  <c r="G19" i="1"/>
  <c r="G18" i="1"/>
  <c r="H18" i="1" s="1"/>
  <c r="M17" i="1"/>
  <c r="J17" i="1"/>
  <c r="H17" i="1"/>
  <c r="G17" i="1"/>
  <c r="G16" i="1"/>
  <c r="H16" i="1" s="1"/>
  <c r="H15" i="1"/>
  <c r="M15" i="1" s="1"/>
  <c r="G15" i="1"/>
  <c r="G14" i="1"/>
  <c r="H14" i="1" s="1"/>
  <c r="M13" i="1"/>
  <c r="J13" i="1"/>
  <c r="H13" i="1"/>
  <c r="G13" i="1"/>
  <c r="G12" i="1"/>
  <c r="H12" i="1" s="1"/>
  <c r="H11" i="1"/>
  <c r="J11" i="1" s="1"/>
  <c r="G11" i="1"/>
  <c r="G10" i="1"/>
  <c r="H10" i="1" s="1"/>
  <c r="M9" i="1"/>
  <c r="J9" i="1"/>
  <c r="H9" i="1"/>
  <c r="G9" i="1"/>
  <c r="G8" i="1"/>
  <c r="H8" i="1" s="1"/>
  <c r="H7" i="1"/>
  <c r="J7" i="1" s="1"/>
  <c r="G7" i="1"/>
  <c r="G6" i="1"/>
  <c r="H6" i="1" s="1"/>
  <c r="M5" i="1"/>
  <c r="J5" i="1"/>
  <c r="H5" i="1"/>
  <c r="G5" i="1"/>
  <c r="G4" i="1"/>
  <c r="H4" i="1" s="1"/>
  <c r="H3" i="1"/>
  <c r="J3" i="1" s="1"/>
  <c r="G3" i="1"/>
  <c r="J42" i="1" l="1"/>
  <c r="M42" i="1"/>
  <c r="J12" i="1"/>
  <c r="M12" i="1"/>
  <c r="J46" i="1"/>
  <c r="M46" i="1"/>
  <c r="J16" i="1"/>
  <c r="M16" i="1"/>
  <c r="J50" i="1"/>
  <c r="M50" i="1"/>
  <c r="M32" i="1"/>
  <c r="J32" i="1"/>
  <c r="J24" i="1"/>
  <c r="M24" i="1"/>
  <c r="M36" i="1"/>
  <c r="J36" i="1"/>
  <c r="M6" i="1"/>
  <c r="J6" i="1"/>
  <c r="J30" i="1"/>
  <c r="M30" i="1"/>
  <c r="M40" i="1"/>
  <c r="J40" i="1"/>
  <c r="J8" i="1"/>
  <c r="M8" i="1"/>
  <c r="M18" i="1"/>
  <c r="J18" i="1"/>
  <c r="M22" i="1"/>
  <c r="J22" i="1"/>
  <c r="M28" i="1"/>
  <c r="J28" i="1"/>
  <c r="J20" i="1"/>
  <c r="M20" i="1"/>
  <c r="M10" i="1"/>
  <c r="J10" i="1"/>
  <c r="J34" i="1"/>
  <c r="M34" i="1"/>
  <c r="M44" i="1"/>
  <c r="J44" i="1"/>
  <c r="J4" i="1"/>
  <c r="M4" i="1"/>
  <c r="M14" i="1"/>
  <c r="J14" i="1"/>
  <c r="J38" i="1"/>
  <c r="M38" i="1"/>
  <c r="M48" i="1"/>
  <c r="J48" i="1"/>
  <c r="J15" i="1"/>
  <c r="J19" i="1"/>
  <c r="J23" i="1"/>
  <c r="J29" i="1"/>
  <c r="J37" i="1"/>
  <c r="J57" i="1"/>
  <c r="J65" i="1"/>
  <c r="J73" i="1"/>
  <c r="J70" i="1"/>
  <c r="M3" i="1"/>
  <c r="M7" i="1"/>
  <c r="M11" i="1"/>
  <c r="M33" i="1"/>
  <c r="M41" i="1"/>
  <c r="M45" i="1"/>
  <c r="M49" i="1"/>
  <c r="J62" i="1"/>
  <c r="J82" i="1"/>
</calcChain>
</file>

<file path=xl/sharedStrings.xml><?xml version="1.0" encoding="utf-8"?>
<sst xmlns="http://schemas.openxmlformats.org/spreadsheetml/2006/main" count="91" uniqueCount="48">
  <si>
    <t>Prod Cost</t>
  </si>
  <si>
    <t>Inbound Freight</t>
  </si>
  <si>
    <t>Outbound Freight</t>
  </si>
  <si>
    <t>Packaging</t>
  </si>
  <si>
    <t>FBA Fee</t>
  </si>
  <si>
    <t>AMZ Ref Fee</t>
  </si>
  <si>
    <t>COGS</t>
  </si>
  <si>
    <t>Price</t>
  </si>
  <si>
    <t>Profit</t>
  </si>
  <si>
    <t>Margin</t>
  </si>
  <si>
    <t>Disco Floor</t>
  </si>
  <si>
    <t>Disco Profit</t>
  </si>
  <si>
    <t>FBA</t>
  </si>
  <si>
    <t>Black Garlic</t>
  </si>
  <si>
    <t>Creamy</t>
  </si>
  <si>
    <t>Pine Hab</t>
  </si>
  <si>
    <t>Serrano</t>
  </si>
  <si>
    <t>Blueberry</t>
  </si>
  <si>
    <t>ACG</t>
  </si>
  <si>
    <t>Manuka</t>
  </si>
  <si>
    <t>Aka Miso</t>
  </si>
  <si>
    <t>GAMS</t>
  </si>
  <si>
    <t>Ancho Masala</t>
  </si>
  <si>
    <t>Blueberry x 2</t>
  </si>
  <si>
    <t>Creamy x 2</t>
  </si>
  <si>
    <t>Serrano x 2</t>
  </si>
  <si>
    <t>Black Garlic x 2</t>
  </si>
  <si>
    <t>Jalapeno Seasoning</t>
  </si>
  <si>
    <t>Arbol Seasoning</t>
  </si>
  <si>
    <t>Pine Mix</t>
  </si>
  <si>
    <t>Lime &amp; Yuzu Mix</t>
  </si>
  <si>
    <t>Ruby Red Mix</t>
  </si>
  <si>
    <t>Marg Mix Set 17oz</t>
  </si>
  <si>
    <t>Pine Mix x 2 17oz</t>
  </si>
  <si>
    <t>4 Pack</t>
  </si>
  <si>
    <t>Super Hot</t>
  </si>
  <si>
    <t>SELLER FULLFILLED</t>
  </si>
  <si>
    <t>SHOPIFY</t>
  </si>
  <si>
    <t>Pine Mix 35</t>
  </si>
  <si>
    <t>Lime &amp; Yuzu Mix 35</t>
  </si>
  <si>
    <t>Ruby Red Mix 35</t>
  </si>
  <si>
    <t>MARG 750ML WEB</t>
  </si>
  <si>
    <t>Classic Mix</t>
  </si>
  <si>
    <t>Marg Mix Set 750ml x 3</t>
  </si>
  <si>
    <t>Marg Mix Set 750ml x 2</t>
  </si>
  <si>
    <t>We ship directly</t>
  </si>
  <si>
    <t>Shipped by Amazon inventory</t>
  </si>
  <si>
    <t>Our website, customer pays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</si>
</sst>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4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1" fillId="4" borderId="0" xfId="0" applyFont="1" applyFill="1" applyAlignment="1">
      <alignment horizontal="center"/>
    </xf>
    <xf numFmtId="39" fontId="2" fillId="0" borderId="0" xfId="0" applyNumberFormat="1" applyFont="1"/>
    <xf numFmtId="39" fontId="3" fillId="0" borderId="0" xfId="0" applyNumberFormat="1" applyFont="1" applyAlignment="1">
      <alignment horizontal="right"/>
    </xf>
    <xf numFmtId="39" fontId="0" fillId="0" borderId="0" xfId="0" applyNumberFormat="1"/>
    <xf numFmtId="39" fontId="1" fillId="4" borderId="0" xfId="0" applyNumberFormat="1" applyFont="1" applyFill="1" applyAlignment="1">
      <alignment horizontal="center"/>
    </xf>
    <xf numFmtId="164" fontId="0" fillId="0" borderId="0" xfId="0" applyNumberFormat="1"/>
    <xf numFmtId="164" fontId="4" fillId="0" borderId="0" xfId="0" applyNumberFormat="1" applyFont="1"/>
  </cellXfs>
  <cellStyles count="1">
    <cellStyle name="Normal" xfId="0" builtinId="0"/>
  </cellStyles>
  <dxfs count="4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0000FF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75" sqref="Q75"/>
    </sheetView>
  </sheetViews>
  <sheetFormatPr defaultColWidth="12.5703125" defaultRowHeight="15.75" customHeight="1" x14ac:dyDescent="0.2"/>
  <cols>
    <col min="1" max="1" width="18.42578125" customWidth="1"/>
    <col min="3" max="3" width="14.5703125" customWidth="1"/>
    <col min="4" max="4" width="17" customWidth="1"/>
    <col min="12" max="12" width="13.85546875" customWidth="1"/>
  </cols>
  <sheetData>
    <row r="1" spans="1:2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9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1" t="s">
        <v>12</v>
      </c>
      <c r="B2" s="3"/>
      <c r="C2" s="3"/>
      <c r="D2" s="3"/>
      <c r="E2" s="3"/>
      <c r="F2" s="3"/>
      <c r="I2" s="3"/>
      <c r="L2" s="3"/>
      <c r="O2" t="s">
        <v>46</v>
      </c>
    </row>
    <row r="3" spans="1:27" x14ac:dyDescent="0.2">
      <c r="A3" s="4" t="s">
        <v>13</v>
      </c>
      <c r="B3" s="8">
        <v>2.42</v>
      </c>
      <c r="C3" s="8">
        <v>0.06</v>
      </c>
      <c r="D3" s="8">
        <v>0.34</v>
      </c>
      <c r="E3" s="8">
        <v>0.27</v>
      </c>
      <c r="F3" s="8">
        <v>4.1500000000000004</v>
      </c>
      <c r="G3" s="8">
        <f t="shared" ref="G3:G25" si="0">I3*0.08</f>
        <v>1.1584000000000001</v>
      </c>
      <c r="H3" s="8">
        <f t="shared" ref="H3:H25" si="1">SUM(B3:G3)</f>
        <v>8.3984000000000005</v>
      </c>
      <c r="I3" s="8">
        <v>14.48</v>
      </c>
      <c r="J3" s="8">
        <f t="shared" ref="J3:J25" si="2">I3-H3</f>
        <v>6.0815999999999999</v>
      </c>
      <c r="K3" s="13">
        <f>J3/I3</f>
        <v>0.42</v>
      </c>
      <c r="L3" s="8">
        <v>13.55</v>
      </c>
      <c r="M3" s="8">
        <f t="shared" ref="M3:M25" si="3">L3-H3</f>
        <v>5.1516000000000002</v>
      </c>
      <c r="N3" s="13">
        <f>M3/L3</f>
        <v>0.3801918819188192</v>
      </c>
    </row>
    <row r="4" spans="1:27" x14ac:dyDescent="0.2">
      <c r="A4" s="4" t="s">
        <v>14</v>
      </c>
      <c r="B4" s="8">
        <v>2.04</v>
      </c>
      <c r="C4" s="8">
        <v>0.06</v>
      </c>
      <c r="D4" s="8">
        <v>0.34</v>
      </c>
      <c r="E4" s="8">
        <v>0.27</v>
      </c>
      <c r="F4" s="8">
        <v>4.1500000000000004</v>
      </c>
      <c r="G4" s="8">
        <f t="shared" si="0"/>
        <v>1.0976000000000001</v>
      </c>
      <c r="H4" s="8">
        <f t="shared" si="1"/>
        <v>7.9576000000000002</v>
      </c>
      <c r="I4" s="8">
        <v>13.72</v>
      </c>
      <c r="J4" s="8">
        <f t="shared" si="2"/>
        <v>5.7624000000000004</v>
      </c>
      <c r="K4" s="13">
        <f t="shared" ref="K4:K67" si="4">J4/I4</f>
        <v>0.42</v>
      </c>
      <c r="L4" s="8">
        <v>12.84</v>
      </c>
      <c r="M4" s="8">
        <f t="shared" si="3"/>
        <v>4.8823999999999996</v>
      </c>
      <c r="N4" s="13">
        <f t="shared" ref="N4:N67" si="5">M4/L4</f>
        <v>0.38024922118380061</v>
      </c>
    </row>
    <row r="5" spans="1:27" x14ac:dyDescent="0.2">
      <c r="A5" s="4" t="s">
        <v>15</v>
      </c>
      <c r="B5" s="8">
        <v>1.5</v>
      </c>
      <c r="C5" s="8">
        <v>0.06</v>
      </c>
      <c r="D5" s="8">
        <v>0.34</v>
      </c>
      <c r="E5" s="8">
        <v>0.27</v>
      </c>
      <c r="F5" s="8">
        <v>4.1500000000000004</v>
      </c>
      <c r="G5" s="8">
        <f t="shared" si="0"/>
        <v>1.0112000000000001</v>
      </c>
      <c r="H5" s="8">
        <f t="shared" si="1"/>
        <v>7.3312000000000008</v>
      </c>
      <c r="I5" s="8">
        <v>12.64</v>
      </c>
      <c r="J5" s="8">
        <f t="shared" si="2"/>
        <v>5.3087999999999997</v>
      </c>
      <c r="K5" s="13">
        <f t="shared" si="4"/>
        <v>0.42</v>
      </c>
      <c r="L5" s="8">
        <v>11.99</v>
      </c>
      <c r="M5" s="8">
        <f t="shared" si="3"/>
        <v>4.6587999999999994</v>
      </c>
      <c r="N5" s="13">
        <f t="shared" si="5"/>
        <v>0.38855713094245198</v>
      </c>
    </row>
    <row r="6" spans="1:27" x14ac:dyDescent="0.2">
      <c r="A6" s="4" t="s">
        <v>16</v>
      </c>
      <c r="B6" s="8">
        <v>1.6</v>
      </c>
      <c r="C6" s="8">
        <v>0.06</v>
      </c>
      <c r="D6" s="8">
        <v>0.34</v>
      </c>
      <c r="E6" s="8">
        <v>0.27</v>
      </c>
      <c r="F6" s="8">
        <v>4.1500000000000004</v>
      </c>
      <c r="G6" s="8">
        <f t="shared" si="0"/>
        <v>1.0272000000000001</v>
      </c>
      <c r="H6" s="8">
        <f t="shared" si="1"/>
        <v>7.4472000000000005</v>
      </c>
      <c r="I6" s="8">
        <v>12.84</v>
      </c>
      <c r="J6" s="8">
        <f t="shared" si="2"/>
        <v>5.3927999999999994</v>
      </c>
      <c r="K6" s="13">
        <f t="shared" si="4"/>
        <v>0.41999999999999993</v>
      </c>
      <c r="L6" s="8">
        <v>12.05</v>
      </c>
      <c r="M6" s="8">
        <f t="shared" si="3"/>
        <v>4.6028000000000002</v>
      </c>
      <c r="N6" s="13">
        <f t="shared" si="5"/>
        <v>0.38197510373443982</v>
      </c>
    </row>
    <row r="7" spans="1:27" x14ac:dyDescent="0.2">
      <c r="A7" s="4" t="s">
        <v>17</v>
      </c>
      <c r="B7" s="8">
        <v>1.66</v>
      </c>
      <c r="C7" s="8">
        <v>0.06</v>
      </c>
      <c r="D7" s="8">
        <v>0.34</v>
      </c>
      <c r="E7" s="8">
        <v>0.27</v>
      </c>
      <c r="F7" s="8">
        <v>4.1500000000000004</v>
      </c>
      <c r="G7" s="8">
        <f t="shared" si="0"/>
        <v>1.0368000000000002</v>
      </c>
      <c r="H7" s="8">
        <f t="shared" si="1"/>
        <v>7.5168000000000008</v>
      </c>
      <c r="I7" s="8">
        <v>12.96</v>
      </c>
      <c r="J7" s="8">
        <f t="shared" si="2"/>
        <v>5.4432</v>
      </c>
      <c r="K7" s="13">
        <f t="shared" si="4"/>
        <v>0.42</v>
      </c>
      <c r="L7" s="8">
        <v>12.14</v>
      </c>
      <c r="M7" s="8">
        <f t="shared" si="3"/>
        <v>4.6231999999999998</v>
      </c>
      <c r="N7" s="13">
        <f t="shared" si="5"/>
        <v>0.38082372322899499</v>
      </c>
    </row>
    <row r="8" spans="1:27" x14ac:dyDescent="0.2">
      <c r="A8" s="4" t="s">
        <v>18</v>
      </c>
      <c r="B8" s="8">
        <v>1.48</v>
      </c>
      <c r="C8" s="8">
        <v>0.06</v>
      </c>
      <c r="D8" s="8">
        <v>0.34</v>
      </c>
      <c r="E8" s="8">
        <v>0.27</v>
      </c>
      <c r="F8" s="8">
        <v>4.1500000000000004</v>
      </c>
      <c r="G8" s="8">
        <f t="shared" si="0"/>
        <v>1.008</v>
      </c>
      <c r="H8" s="8">
        <f t="shared" si="1"/>
        <v>7.3080000000000007</v>
      </c>
      <c r="I8" s="8">
        <v>12.6</v>
      </c>
      <c r="J8" s="8">
        <f t="shared" si="2"/>
        <v>5.2919999999999989</v>
      </c>
      <c r="K8" s="13">
        <f t="shared" si="4"/>
        <v>0.41999999999999993</v>
      </c>
      <c r="L8" s="8">
        <v>11.49</v>
      </c>
      <c r="M8" s="8">
        <f t="shared" si="3"/>
        <v>4.1819999999999995</v>
      </c>
      <c r="N8" s="13">
        <f t="shared" si="5"/>
        <v>0.36396866840731068</v>
      </c>
    </row>
    <row r="9" spans="1:27" x14ac:dyDescent="0.2">
      <c r="A9" s="4" t="s">
        <v>19</v>
      </c>
      <c r="B9" s="8">
        <v>4.45</v>
      </c>
      <c r="C9" s="8">
        <v>0.06</v>
      </c>
      <c r="D9" s="8">
        <v>0.34</v>
      </c>
      <c r="E9" s="8">
        <v>0.27</v>
      </c>
      <c r="F9" s="8">
        <v>4.1500000000000004</v>
      </c>
      <c r="G9" s="8">
        <f t="shared" si="0"/>
        <v>1.5992</v>
      </c>
      <c r="H9" s="8">
        <f t="shared" si="1"/>
        <v>10.869199999999999</v>
      </c>
      <c r="I9" s="8">
        <v>19.989999999999998</v>
      </c>
      <c r="J9" s="8">
        <f t="shared" si="2"/>
        <v>9.1207999999999991</v>
      </c>
      <c r="K9" s="13">
        <f t="shared" si="4"/>
        <v>0.45626813406703348</v>
      </c>
      <c r="L9" s="8">
        <v>18.989999999999998</v>
      </c>
      <c r="M9" s="8">
        <f t="shared" si="3"/>
        <v>8.1207999999999991</v>
      </c>
      <c r="N9" s="13">
        <f t="shared" si="5"/>
        <v>0.42763559768299103</v>
      </c>
    </row>
    <row r="10" spans="1:27" x14ac:dyDescent="0.2">
      <c r="A10" s="4" t="s">
        <v>20</v>
      </c>
      <c r="B10" s="8">
        <v>2.2200000000000002</v>
      </c>
      <c r="C10" s="8">
        <v>0.06</v>
      </c>
      <c r="D10" s="8">
        <v>0.34</v>
      </c>
      <c r="E10" s="8">
        <v>0.27</v>
      </c>
      <c r="F10" s="8">
        <v>4.1500000000000004</v>
      </c>
      <c r="G10" s="8">
        <f t="shared" si="0"/>
        <v>1.1264000000000001</v>
      </c>
      <c r="H10" s="8">
        <f t="shared" si="1"/>
        <v>8.1664000000000012</v>
      </c>
      <c r="I10" s="8">
        <v>14.08</v>
      </c>
      <c r="J10" s="8">
        <f t="shared" si="2"/>
        <v>5.9135999999999989</v>
      </c>
      <c r="K10" s="13">
        <f t="shared" si="4"/>
        <v>0.41999999999999993</v>
      </c>
      <c r="L10" s="8">
        <v>14.99</v>
      </c>
      <c r="M10" s="8">
        <f t="shared" si="3"/>
        <v>6.823599999999999</v>
      </c>
      <c r="N10" s="13">
        <f t="shared" si="5"/>
        <v>0.4552101400933955</v>
      </c>
    </row>
    <row r="11" spans="1:27" x14ac:dyDescent="0.2">
      <c r="A11" s="4" t="s">
        <v>21</v>
      </c>
      <c r="B11" s="8">
        <v>1.82</v>
      </c>
      <c r="C11" s="8">
        <v>0.06</v>
      </c>
      <c r="D11" s="8">
        <v>0.34</v>
      </c>
      <c r="E11" s="8">
        <v>0.27</v>
      </c>
      <c r="F11" s="8">
        <v>4.1500000000000004</v>
      </c>
      <c r="G11" s="8">
        <f t="shared" si="0"/>
        <v>1.0624</v>
      </c>
      <c r="H11" s="8">
        <f t="shared" si="1"/>
        <v>7.7024000000000008</v>
      </c>
      <c r="I11" s="8">
        <v>13.28</v>
      </c>
      <c r="J11" s="8">
        <f t="shared" si="2"/>
        <v>5.5775999999999986</v>
      </c>
      <c r="K11" s="13">
        <f t="shared" si="4"/>
        <v>0.41999999999999993</v>
      </c>
      <c r="L11" s="8">
        <v>14.99</v>
      </c>
      <c r="M11" s="8">
        <f t="shared" si="3"/>
        <v>7.2875999999999994</v>
      </c>
      <c r="N11" s="13">
        <f t="shared" si="5"/>
        <v>0.48616410940627081</v>
      </c>
    </row>
    <row r="12" spans="1:27" x14ac:dyDescent="0.2">
      <c r="A12" s="4" t="s">
        <v>22</v>
      </c>
      <c r="B12" s="8">
        <v>2.41</v>
      </c>
      <c r="C12" s="8">
        <v>0.06</v>
      </c>
      <c r="D12" s="8">
        <v>0.34</v>
      </c>
      <c r="E12" s="8">
        <v>0.27</v>
      </c>
      <c r="F12" s="8">
        <v>4.1500000000000004</v>
      </c>
      <c r="G12" s="8">
        <f t="shared" si="0"/>
        <v>1.1568000000000001</v>
      </c>
      <c r="H12" s="8">
        <f t="shared" si="1"/>
        <v>8.3868000000000009</v>
      </c>
      <c r="I12" s="8">
        <v>14.46</v>
      </c>
      <c r="J12" s="8">
        <f t="shared" si="2"/>
        <v>6.0731999999999999</v>
      </c>
      <c r="K12" s="13">
        <f t="shared" si="4"/>
        <v>0.42</v>
      </c>
      <c r="L12" s="8">
        <v>13.53</v>
      </c>
      <c r="M12" s="8">
        <f t="shared" si="3"/>
        <v>5.1431999999999984</v>
      </c>
      <c r="N12" s="13">
        <f t="shared" si="5"/>
        <v>0.38013303769401319</v>
      </c>
    </row>
    <row r="13" spans="1:27" x14ac:dyDescent="0.2">
      <c r="A13" s="5" t="s">
        <v>23</v>
      </c>
      <c r="B13" s="9">
        <v>3.32</v>
      </c>
      <c r="C13" s="9">
        <v>0.12</v>
      </c>
      <c r="D13" s="9">
        <v>0.44</v>
      </c>
      <c r="E13" s="9">
        <v>0.5</v>
      </c>
      <c r="F13" s="9">
        <v>4.1500000000000004</v>
      </c>
      <c r="G13" s="9">
        <f t="shared" si="0"/>
        <v>1.5992</v>
      </c>
      <c r="H13" s="9">
        <f t="shared" si="1"/>
        <v>10.129200000000001</v>
      </c>
      <c r="I13" s="9">
        <v>19.989999999999998</v>
      </c>
      <c r="J13" s="9">
        <f t="shared" si="2"/>
        <v>9.8607999999999976</v>
      </c>
      <c r="K13" s="13">
        <f t="shared" si="4"/>
        <v>0.49328664332166072</v>
      </c>
      <c r="L13" s="9">
        <v>19.989999999999998</v>
      </c>
      <c r="M13" s="9">
        <f t="shared" si="3"/>
        <v>9.8607999999999976</v>
      </c>
      <c r="N13" s="13">
        <f t="shared" si="5"/>
        <v>0.49328664332166072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">
      <c r="A14" s="5" t="s">
        <v>24</v>
      </c>
      <c r="B14" s="9">
        <v>4.08</v>
      </c>
      <c r="C14" s="9">
        <v>0.12</v>
      </c>
      <c r="D14" s="9">
        <v>0.44</v>
      </c>
      <c r="E14" s="9">
        <v>0.5</v>
      </c>
      <c r="F14" s="9">
        <v>4.1500000000000004</v>
      </c>
      <c r="G14" s="9">
        <f t="shared" si="0"/>
        <v>1.7991999999999999</v>
      </c>
      <c r="H14" s="9">
        <f t="shared" si="1"/>
        <v>11.089200000000002</v>
      </c>
      <c r="I14" s="9">
        <v>22.49</v>
      </c>
      <c r="J14" s="9">
        <f t="shared" si="2"/>
        <v>11.400799999999997</v>
      </c>
      <c r="K14" s="13">
        <f t="shared" si="4"/>
        <v>0.50692752334370816</v>
      </c>
      <c r="L14" s="9">
        <v>19.149999999999999</v>
      </c>
      <c r="M14" s="9">
        <f t="shared" si="3"/>
        <v>8.0607999999999969</v>
      </c>
      <c r="N14" s="13">
        <f t="shared" si="5"/>
        <v>0.42092950391644895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">
      <c r="A15" s="5" t="s">
        <v>25</v>
      </c>
      <c r="B15" s="9">
        <v>3.2</v>
      </c>
      <c r="C15" s="9">
        <v>0.12</v>
      </c>
      <c r="D15" s="9">
        <v>0.44</v>
      </c>
      <c r="E15" s="9">
        <v>0.5</v>
      </c>
      <c r="F15" s="9">
        <v>4.1500000000000004</v>
      </c>
      <c r="G15" s="9">
        <f t="shared" si="0"/>
        <v>1.5992</v>
      </c>
      <c r="H15" s="9">
        <f t="shared" si="1"/>
        <v>10.0092</v>
      </c>
      <c r="I15" s="9">
        <v>19.989999999999998</v>
      </c>
      <c r="J15" s="9">
        <f t="shared" si="2"/>
        <v>9.9807999999999986</v>
      </c>
      <c r="K15" s="13">
        <f t="shared" si="4"/>
        <v>0.49928964482241117</v>
      </c>
      <c r="L15" s="9">
        <v>17.260000000000002</v>
      </c>
      <c r="M15" s="9">
        <f t="shared" si="3"/>
        <v>7.2508000000000017</v>
      </c>
      <c r="N15" s="13">
        <f t="shared" si="5"/>
        <v>0.42009269988412523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">
      <c r="A16" s="5" t="s">
        <v>26</v>
      </c>
      <c r="B16" s="9">
        <v>4.84</v>
      </c>
      <c r="C16" s="9">
        <v>0.12</v>
      </c>
      <c r="D16" s="9">
        <v>0.44</v>
      </c>
      <c r="E16" s="9">
        <v>0.5</v>
      </c>
      <c r="F16" s="9">
        <v>4.1500000000000004</v>
      </c>
      <c r="G16" s="9">
        <f t="shared" si="0"/>
        <v>1.9192</v>
      </c>
      <c r="H16" s="9">
        <f t="shared" si="1"/>
        <v>11.969200000000001</v>
      </c>
      <c r="I16" s="9">
        <v>23.99</v>
      </c>
      <c r="J16" s="9">
        <f t="shared" si="2"/>
        <v>12.020799999999998</v>
      </c>
      <c r="K16" s="13">
        <f t="shared" si="4"/>
        <v>0.50107544810337634</v>
      </c>
      <c r="L16" s="9">
        <v>23.99</v>
      </c>
      <c r="M16" s="9">
        <f t="shared" si="3"/>
        <v>12.020799999999998</v>
      </c>
      <c r="N16" s="13">
        <f t="shared" si="5"/>
        <v>0.50107544810337634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15" x14ac:dyDescent="0.2">
      <c r="A17" s="4" t="s">
        <v>27</v>
      </c>
      <c r="B17" s="8">
        <v>2.76</v>
      </c>
      <c r="C17" s="8">
        <v>0.06</v>
      </c>
      <c r="D17" s="8">
        <v>0.34</v>
      </c>
      <c r="E17" s="8">
        <v>0.27</v>
      </c>
      <c r="F17" s="8">
        <v>4.1500000000000004</v>
      </c>
      <c r="G17" s="8">
        <f t="shared" si="0"/>
        <v>1.1992</v>
      </c>
      <c r="H17" s="8">
        <f t="shared" si="1"/>
        <v>8.7791999999999994</v>
      </c>
      <c r="I17" s="8">
        <v>14.99</v>
      </c>
      <c r="J17" s="8">
        <f t="shared" si="2"/>
        <v>6.2108000000000008</v>
      </c>
      <c r="K17" s="13">
        <f t="shared" si="4"/>
        <v>0.41432955303535696</v>
      </c>
      <c r="L17" s="8">
        <v>14.16</v>
      </c>
      <c r="M17" s="8">
        <f t="shared" si="3"/>
        <v>5.3808000000000007</v>
      </c>
      <c r="N17" s="13">
        <f t="shared" si="5"/>
        <v>0.38000000000000006</v>
      </c>
    </row>
    <row r="18" spans="1:15" x14ac:dyDescent="0.2">
      <c r="A18" s="4" t="s">
        <v>28</v>
      </c>
      <c r="B18" s="8">
        <v>2.37</v>
      </c>
      <c r="C18" s="8">
        <v>0.06</v>
      </c>
      <c r="D18" s="8">
        <v>0.34</v>
      </c>
      <c r="E18" s="8">
        <v>0.27</v>
      </c>
      <c r="F18" s="8">
        <v>4.1500000000000004</v>
      </c>
      <c r="G18" s="8">
        <f t="shared" si="0"/>
        <v>1.1592</v>
      </c>
      <c r="H18" s="8">
        <f t="shared" si="1"/>
        <v>8.3491999999999997</v>
      </c>
      <c r="I18" s="8">
        <v>14.49</v>
      </c>
      <c r="J18" s="8">
        <f t="shared" si="2"/>
        <v>6.1408000000000005</v>
      </c>
      <c r="K18" s="13">
        <f t="shared" si="4"/>
        <v>0.42379572118702558</v>
      </c>
      <c r="L18" s="8">
        <v>13.49</v>
      </c>
      <c r="M18" s="8">
        <f t="shared" si="3"/>
        <v>5.1408000000000005</v>
      </c>
      <c r="N18" s="13">
        <f t="shared" si="5"/>
        <v>0.38108228317272058</v>
      </c>
    </row>
    <row r="19" spans="1:15" x14ac:dyDescent="0.2">
      <c r="A19" s="4" t="s">
        <v>29</v>
      </c>
      <c r="B19" s="8">
        <v>2.4700000000000002</v>
      </c>
      <c r="C19" s="8">
        <v>0.08</v>
      </c>
      <c r="D19" s="8">
        <v>0.49</v>
      </c>
      <c r="E19" s="8">
        <v>0.37</v>
      </c>
      <c r="F19" s="8">
        <v>5.77</v>
      </c>
      <c r="G19" s="8">
        <f t="shared" si="0"/>
        <v>1.4791999999999998</v>
      </c>
      <c r="H19" s="8">
        <f t="shared" si="1"/>
        <v>10.6592</v>
      </c>
      <c r="I19" s="8">
        <v>18.489999999999998</v>
      </c>
      <c r="J19" s="8">
        <f t="shared" si="2"/>
        <v>7.8307999999999982</v>
      </c>
      <c r="K19" s="13">
        <f t="shared" si="4"/>
        <v>0.42351541373715518</v>
      </c>
      <c r="L19" s="8">
        <v>17.2</v>
      </c>
      <c r="M19" s="8">
        <f t="shared" si="3"/>
        <v>6.5407999999999991</v>
      </c>
      <c r="N19" s="13">
        <f t="shared" si="5"/>
        <v>0.3802790697674418</v>
      </c>
    </row>
    <row r="20" spans="1:15" x14ac:dyDescent="0.2">
      <c r="A20" s="4" t="s">
        <v>30</v>
      </c>
      <c r="B20" s="8">
        <v>2.94</v>
      </c>
      <c r="C20" s="8">
        <v>0.08</v>
      </c>
      <c r="D20" s="8">
        <v>0.49</v>
      </c>
      <c r="E20" s="8">
        <v>0.37</v>
      </c>
      <c r="F20" s="8">
        <v>5.77</v>
      </c>
      <c r="G20" s="8">
        <f t="shared" si="0"/>
        <v>1.5512000000000001</v>
      </c>
      <c r="H20" s="8">
        <f t="shared" si="1"/>
        <v>11.201199999999998</v>
      </c>
      <c r="I20" s="8">
        <v>19.39</v>
      </c>
      <c r="J20" s="8">
        <f t="shared" si="2"/>
        <v>8.1888000000000023</v>
      </c>
      <c r="K20" s="13">
        <f t="shared" si="4"/>
        <v>0.42232078390923167</v>
      </c>
      <c r="L20" s="8">
        <v>18.09</v>
      </c>
      <c r="M20" s="8">
        <f t="shared" si="3"/>
        <v>6.8888000000000016</v>
      </c>
      <c r="N20" s="13">
        <f t="shared" si="5"/>
        <v>0.38080707573244899</v>
      </c>
    </row>
    <row r="21" spans="1:15" x14ac:dyDescent="0.2">
      <c r="A21" s="4" t="s">
        <v>31</v>
      </c>
      <c r="B21" s="8">
        <v>2.99</v>
      </c>
      <c r="C21" s="8">
        <v>0.08</v>
      </c>
      <c r="D21" s="8">
        <v>0.49</v>
      </c>
      <c r="E21" s="8">
        <v>0.37</v>
      </c>
      <c r="F21" s="8">
        <v>5.77</v>
      </c>
      <c r="G21" s="8">
        <f t="shared" si="0"/>
        <v>1.5591999999999999</v>
      </c>
      <c r="H21" s="8">
        <f t="shared" si="1"/>
        <v>11.2592</v>
      </c>
      <c r="I21" s="8">
        <v>19.489999999999998</v>
      </c>
      <c r="J21" s="8">
        <f t="shared" si="2"/>
        <v>8.2307999999999986</v>
      </c>
      <c r="K21" s="13">
        <f t="shared" si="4"/>
        <v>0.4223088763468445</v>
      </c>
      <c r="L21" s="8">
        <v>18.16</v>
      </c>
      <c r="M21" s="8">
        <f t="shared" si="3"/>
        <v>6.9008000000000003</v>
      </c>
      <c r="N21" s="13">
        <f t="shared" si="5"/>
        <v>0.38</v>
      </c>
    </row>
    <row r="22" spans="1:15" x14ac:dyDescent="0.2">
      <c r="A22" s="4" t="s">
        <v>32</v>
      </c>
      <c r="B22" s="8">
        <v>8.2200000000000006</v>
      </c>
      <c r="C22" s="8">
        <v>0.24</v>
      </c>
      <c r="D22" s="8">
        <v>0.49</v>
      </c>
      <c r="E22" s="8">
        <v>0.5</v>
      </c>
      <c r="F22" s="8">
        <v>7</v>
      </c>
      <c r="G22" s="8">
        <f t="shared" si="0"/>
        <v>3.1992000000000003</v>
      </c>
      <c r="H22" s="8">
        <f t="shared" si="1"/>
        <v>19.649200000000004</v>
      </c>
      <c r="I22" s="8">
        <v>39.99</v>
      </c>
      <c r="J22" s="8">
        <f t="shared" si="2"/>
        <v>20.340799999999998</v>
      </c>
      <c r="K22" s="13">
        <f t="shared" si="4"/>
        <v>0.50864716179044756</v>
      </c>
      <c r="L22" s="8">
        <v>33.99</v>
      </c>
      <c r="M22" s="8">
        <f t="shared" si="3"/>
        <v>14.340799999999998</v>
      </c>
      <c r="N22" s="13">
        <f t="shared" si="5"/>
        <v>0.42191232715504551</v>
      </c>
    </row>
    <row r="23" spans="1:15" x14ac:dyDescent="0.2">
      <c r="A23" s="4" t="s">
        <v>33</v>
      </c>
      <c r="B23" s="8">
        <v>4.9400000000000004</v>
      </c>
      <c r="C23" s="8">
        <v>0.16</v>
      </c>
      <c r="D23" s="8">
        <v>0.49</v>
      </c>
      <c r="E23" s="8">
        <v>0.5</v>
      </c>
      <c r="F23" s="8">
        <v>7</v>
      </c>
      <c r="G23" s="8">
        <f t="shared" si="0"/>
        <v>2.3992</v>
      </c>
      <c r="H23" s="8">
        <f t="shared" si="1"/>
        <v>15.4892</v>
      </c>
      <c r="I23" s="8">
        <v>29.99</v>
      </c>
      <c r="J23" s="8">
        <f t="shared" si="2"/>
        <v>14.500799999999998</v>
      </c>
      <c r="K23" s="13">
        <f t="shared" si="4"/>
        <v>0.48352117372457482</v>
      </c>
      <c r="L23" s="8">
        <v>26.99</v>
      </c>
      <c r="M23" s="8">
        <f t="shared" si="3"/>
        <v>11.500799999999998</v>
      </c>
      <c r="N23" s="13">
        <f t="shared" si="5"/>
        <v>0.42611337532419408</v>
      </c>
    </row>
    <row r="24" spans="1:15" x14ac:dyDescent="0.2">
      <c r="A24" s="4" t="s">
        <v>34</v>
      </c>
      <c r="B24" s="8">
        <v>6.8</v>
      </c>
      <c r="C24" s="8">
        <v>0.24</v>
      </c>
      <c r="D24" s="8">
        <v>0.68</v>
      </c>
      <c r="E24" s="8">
        <v>1.63</v>
      </c>
      <c r="F24" s="8">
        <v>7</v>
      </c>
      <c r="G24" s="8">
        <f t="shared" si="0"/>
        <v>3.1992000000000003</v>
      </c>
      <c r="H24" s="8">
        <f t="shared" si="1"/>
        <v>19.549200000000003</v>
      </c>
      <c r="I24" s="8">
        <v>39.99</v>
      </c>
      <c r="J24" s="8">
        <f t="shared" si="2"/>
        <v>20.440799999999999</v>
      </c>
      <c r="K24" s="13">
        <f t="shared" si="4"/>
        <v>0.51114778694673668</v>
      </c>
      <c r="L24" s="8">
        <v>33.99</v>
      </c>
      <c r="M24" s="8">
        <f t="shared" si="3"/>
        <v>14.440799999999999</v>
      </c>
      <c r="N24" s="13">
        <f t="shared" si="5"/>
        <v>0.42485436893203882</v>
      </c>
    </row>
    <row r="25" spans="1:15" x14ac:dyDescent="0.2">
      <c r="A25" s="4" t="s">
        <v>35</v>
      </c>
      <c r="B25" s="8">
        <v>8.8699999999999992</v>
      </c>
      <c r="C25" s="8">
        <v>0.24</v>
      </c>
      <c r="D25" s="8">
        <v>0.68</v>
      </c>
      <c r="E25" s="8">
        <v>1.63</v>
      </c>
      <c r="F25" s="8">
        <v>7</v>
      </c>
      <c r="G25" s="8">
        <f t="shared" si="0"/>
        <v>3.9992000000000001</v>
      </c>
      <c r="H25" s="8">
        <f t="shared" si="1"/>
        <v>22.419199999999996</v>
      </c>
      <c r="I25" s="8">
        <v>49.99</v>
      </c>
      <c r="J25" s="8">
        <f t="shared" si="2"/>
        <v>27.570800000000006</v>
      </c>
      <c r="K25" s="13">
        <f t="shared" si="4"/>
        <v>0.55152630526105229</v>
      </c>
      <c r="L25" s="8">
        <v>38.99</v>
      </c>
      <c r="M25" s="8">
        <f t="shared" si="3"/>
        <v>16.570800000000006</v>
      </c>
      <c r="N25" s="13">
        <f t="shared" si="5"/>
        <v>0.4250012823800976</v>
      </c>
    </row>
    <row r="26" spans="1:15" x14ac:dyDescent="0.2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3"/>
      <c r="L26" s="10"/>
      <c r="M26" s="10"/>
      <c r="N26" s="13"/>
    </row>
    <row r="27" spans="1:15" x14ac:dyDescent="0.2">
      <c r="A27" s="1" t="s">
        <v>36</v>
      </c>
      <c r="B27" s="11"/>
      <c r="C27" s="11"/>
      <c r="D27" s="11"/>
      <c r="E27" s="11"/>
      <c r="F27" s="11"/>
      <c r="G27" s="11"/>
      <c r="H27" s="11"/>
      <c r="I27" s="11"/>
      <c r="J27" s="11"/>
      <c r="K27" s="13"/>
      <c r="L27" s="11"/>
      <c r="M27" s="8"/>
      <c r="N27" s="13"/>
      <c r="O27" s="7" t="s">
        <v>45</v>
      </c>
    </row>
    <row r="28" spans="1:15" x14ac:dyDescent="0.2">
      <c r="A28" s="4" t="s">
        <v>13</v>
      </c>
      <c r="B28" s="8">
        <v>2.42</v>
      </c>
      <c r="C28" s="8">
        <v>0.06</v>
      </c>
      <c r="D28" s="8">
        <v>4.5</v>
      </c>
      <c r="E28" s="8">
        <v>0.3</v>
      </c>
      <c r="F28" s="10"/>
      <c r="G28" s="8">
        <f t="shared" ref="G28:G50" si="6">I28*0.08</f>
        <v>1.1592</v>
      </c>
      <c r="H28" s="8">
        <f t="shared" ref="H28:H50" si="7">SUM(B28:G28)</f>
        <v>8.4391999999999996</v>
      </c>
      <c r="I28" s="8">
        <v>14.49</v>
      </c>
      <c r="J28" s="8">
        <f t="shared" ref="J28:J50" si="8">I28-H28</f>
        <v>6.0508000000000006</v>
      </c>
      <c r="K28" s="13">
        <f t="shared" si="4"/>
        <v>0.41758454106280196</v>
      </c>
      <c r="L28" s="8">
        <v>14.49</v>
      </c>
      <c r="M28" s="8">
        <f t="shared" ref="M28:M50" si="9">L28-H28</f>
        <v>6.0508000000000006</v>
      </c>
      <c r="N28" s="13">
        <f t="shared" si="5"/>
        <v>0.41758454106280196</v>
      </c>
    </row>
    <row r="29" spans="1:15" x14ac:dyDescent="0.2">
      <c r="A29" s="4" t="s">
        <v>14</v>
      </c>
      <c r="B29" s="8">
        <v>2.04</v>
      </c>
      <c r="C29" s="8">
        <v>0.06</v>
      </c>
      <c r="D29" s="8">
        <v>4.5</v>
      </c>
      <c r="E29" s="8">
        <v>0.3</v>
      </c>
      <c r="F29" s="10"/>
      <c r="G29" s="8">
        <f t="shared" si="6"/>
        <v>1.0992</v>
      </c>
      <c r="H29" s="8">
        <f t="shared" si="7"/>
        <v>7.9991999999999992</v>
      </c>
      <c r="I29" s="8">
        <v>13.74</v>
      </c>
      <c r="J29" s="8">
        <f t="shared" si="8"/>
        <v>5.740800000000001</v>
      </c>
      <c r="K29" s="13">
        <f t="shared" si="4"/>
        <v>0.41781659388646297</v>
      </c>
      <c r="L29" s="8">
        <v>13.74</v>
      </c>
      <c r="M29" s="8">
        <f t="shared" si="9"/>
        <v>5.740800000000001</v>
      </c>
      <c r="N29" s="13">
        <f t="shared" si="5"/>
        <v>0.41781659388646297</v>
      </c>
    </row>
    <row r="30" spans="1:15" x14ac:dyDescent="0.2">
      <c r="A30" s="4" t="s">
        <v>15</v>
      </c>
      <c r="B30" s="8">
        <v>1.5</v>
      </c>
      <c r="C30" s="8">
        <v>0.06</v>
      </c>
      <c r="D30" s="8">
        <v>4.5</v>
      </c>
      <c r="E30" s="8">
        <v>0.3</v>
      </c>
      <c r="F30" s="10"/>
      <c r="G30" s="8">
        <f t="shared" si="6"/>
        <v>1.012</v>
      </c>
      <c r="H30" s="8">
        <f t="shared" si="7"/>
        <v>7.3719999999999999</v>
      </c>
      <c r="I30" s="8">
        <v>12.65</v>
      </c>
      <c r="J30" s="8">
        <f t="shared" si="8"/>
        <v>5.2780000000000005</v>
      </c>
      <c r="K30" s="13">
        <f t="shared" si="4"/>
        <v>0.41723320158102767</v>
      </c>
      <c r="L30" s="8">
        <v>12.65</v>
      </c>
      <c r="M30" s="8">
        <f t="shared" si="9"/>
        <v>5.2780000000000005</v>
      </c>
      <c r="N30" s="13">
        <f t="shared" si="5"/>
        <v>0.41723320158102767</v>
      </c>
    </row>
    <row r="31" spans="1:15" x14ac:dyDescent="0.2">
      <c r="A31" s="4" t="s">
        <v>16</v>
      </c>
      <c r="B31" s="8">
        <v>1.6</v>
      </c>
      <c r="C31" s="8">
        <v>0.06</v>
      </c>
      <c r="D31" s="8">
        <v>4.5</v>
      </c>
      <c r="E31" s="8">
        <v>0.3</v>
      </c>
      <c r="F31" s="10"/>
      <c r="G31" s="8">
        <f t="shared" si="6"/>
        <v>1.028</v>
      </c>
      <c r="H31" s="8">
        <f t="shared" si="7"/>
        <v>7.4879999999999995</v>
      </c>
      <c r="I31" s="8">
        <v>12.85</v>
      </c>
      <c r="J31" s="8">
        <f t="shared" si="8"/>
        <v>5.3620000000000001</v>
      </c>
      <c r="K31" s="13">
        <f t="shared" si="4"/>
        <v>0.41727626459143968</v>
      </c>
      <c r="L31" s="8">
        <v>12.85</v>
      </c>
      <c r="M31" s="8">
        <f t="shared" si="9"/>
        <v>5.3620000000000001</v>
      </c>
      <c r="N31" s="13">
        <f t="shared" si="5"/>
        <v>0.41727626459143968</v>
      </c>
    </row>
    <row r="32" spans="1:15" x14ac:dyDescent="0.2">
      <c r="A32" s="4" t="s">
        <v>17</v>
      </c>
      <c r="B32" s="8">
        <v>1.66</v>
      </c>
      <c r="C32" s="8">
        <v>0.06</v>
      </c>
      <c r="D32" s="8">
        <v>4.5</v>
      </c>
      <c r="E32" s="8">
        <v>0.3</v>
      </c>
      <c r="F32" s="10"/>
      <c r="G32" s="8">
        <f t="shared" si="6"/>
        <v>1.0392000000000001</v>
      </c>
      <c r="H32" s="8">
        <f t="shared" si="7"/>
        <v>7.5591999999999997</v>
      </c>
      <c r="I32" s="8">
        <v>12.99</v>
      </c>
      <c r="J32" s="8">
        <f t="shared" si="8"/>
        <v>5.4308000000000005</v>
      </c>
      <c r="K32" s="13">
        <f t="shared" si="4"/>
        <v>0.41807544264819096</v>
      </c>
      <c r="L32" s="8">
        <v>12.99</v>
      </c>
      <c r="M32" s="8">
        <f t="shared" si="9"/>
        <v>5.4308000000000005</v>
      </c>
      <c r="N32" s="13">
        <f t="shared" si="5"/>
        <v>0.41807544264819096</v>
      </c>
    </row>
    <row r="33" spans="1:27" x14ac:dyDescent="0.2">
      <c r="A33" s="4" t="s">
        <v>18</v>
      </c>
      <c r="B33" s="8">
        <v>1.48</v>
      </c>
      <c r="C33" s="8">
        <v>0.06</v>
      </c>
      <c r="D33" s="8">
        <v>4.5</v>
      </c>
      <c r="E33" s="8">
        <v>0.3</v>
      </c>
      <c r="F33" s="10"/>
      <c r="G33" s="8">
        <f t="shared" si="6"/>
        <v>1.012</v>
      </c>
      <c r="H33" s="8">
        <f t="shared" si="7"/>
        <v>7.3520000000000003</v>
      </c>
      <c r="I33" s="8">
        <v>12.65</v>
      </c>
      <c r="J33" s="8">
        <f t="shared" si="8"/>
        <v>5.298</v>
      </c>
      <c r="K33" s="13">
        <f t="shared" si="4"/>
        <v>0.41881422924901185</v>
      </c>
      <c r="L33" s="8">
        <v>12.65</v>
      </c>
      <c r="M33" s="8">
        <f t="shared" si="9"/>
        <v>5.298</v>
      </c>
      <c r="N33" s="13">
        <f t="shared" si="5"/>
        <v>0.41881422924901185</v>
      </c>
    </row>
    <row r="34" spans="1:27" x14ac:dyDescent="0.2">
      <c r="A34" s="4" t="s">
        <v>19</v>
      </c>
      <c r="B34" s="8">
        <v>4.45</v>
      </c>
      <c r="C34" s="8">
        <v>0.06</v>
      </c>
      <c r="D34" s="8">
        <v>4.5</v>
      </c>
      <c r="E34" s="8">
        <v>0.3</v>
      </c>
      <c r="F34" s="10"/>
      <c r="G34" s="8">
        <f t="shared" si="6"/>
        <v>1.4872000000000001</v>
      </c>
      <c r="H34" s="8">
        <f t="shared" si="7"/>
        <v>10.7972</v>
      </c>
      <c r="I34" s="8">
        <v>18.59</v>
      </c>
      <c r="J34" s="8">
        <f t="shared" si="8"/>
        <v>7.7927999999999997</v>
      </c>
      <c r="K34" s="13">
        <f t="shared" si="4"/>
        <v>0.41919311457772995</v>
      </c>
      <c r="L34" s="8">
        <v>18.59</v>
      </c>
      <c r="M34" s="8">
        <f t="shared" si="9"/>
        <v>7.7927999999999997</v>
      </c>
      <c r="N34" s="13">
        <f t="shared" si="5"/>
        <v>0.41919311457772995</v>
      </c>
    </row>
    <row r="35" spans="1:27" x14ac:dyDescent="0.2">
      <c r="A35" s="4" t="s">
        <v>20</v>
      </c>
      <c r="B35" s="8">
        <v>2.2200000000000002</v>
      </c>
      <c r="C35" s="8">
        <v>0.06</v>
      </c>
      <c r="D35" s="8">
        <v>4.5</v>
      </c>
      <c r="E35" s="8">
        <v>0.3</v>
      </c>
      <c r="F35" s="10"/>
      <c r="G35" s="8">
        <f t="shared" si="6"/>
        <v>1.1592</v>
      </c>
      <c r="H35" s="8">
        <f t="shared" si="7"/>
        <v>8.2392000000000003</v>
      </c>
      <c r="I35" s="8">
        <v>14.49</v>
      </c>
      <c r="J35" s="8">
        <f t="shared" si="8"/>
        <v>6.2507999999999999</v>
      </c>
      <c r="K35" s="13">
        <f t="shared" si="4"/>
        <v>0.43138716356107659</v>
      </c>
      <c r="L35" s="8">
        <v>14.99</v>
      </c>
      <c r="M35" s="8">
        <f t="shared" si="9"/>
        <v>6.7507999999999999</v>
      </c>
      <c r="N35" s="13">
        <f t="shared" si="5"/>
        <v>0.45035356904603069</v>
      </c>
    </row>
    <row r="36" spans="1:27" x14ac:dyDescent="0.2">
      <c r="A36" s="4" t="s">
        <v>21</v>
      </c>
      <c r="B36" s="8">
        <v>1.82</v>
      </c>
      <c r="C36" s="8">
        <v>0.06</v>
      </c>
      <c r="D36" s="8">
        <v>4.5</v>
      </c>
      <c r="E36" s="8">
        <v>0.3</v>
      </c>
      <c r="F36" s="10"/>
      <c r="G36" s="8">
        <f t="shared" si="6"/>
        <v>1.1592</v>
      </c>
      <c r="H36" s="8">
        <f t="shared" si="7"/>
        <v>7.8391999999999999</v>
      </c>
      <c r="I36" s="8">
        <v>14.49</v>
      </c>
      <c r="J36" s="8">
        <f t="shared" si="8"/>
        <v>6.6508000000000003</v>
      </c>
      <c r="K36" s="13">
        <f t="shared" si="4"/>
        <v>0.45899240855762596</v>
      </c>
      <c r="L36" s="8">
        <v>14.99</v>
      </c>
      <c r="M36" s="8">
        <f t="shared" si="9"/>
        <v>7.1508000000000003</v>
      </c>
      <c r="N36" s="13">
        <f t="shared" si="5"/>
        <v>0.47703802535023349</v>
      </c>
    </row>
    <row r="37" spans="1:27" x14ac:dyDescent="0.2">
      <c r="A37" s="4" t="s">
        <v>22</v>
      </c>
      <c r="B37" s="8">
        <v>2.41</v>
      </c>
      <c r="C37" s="8">
        <v>0.06</v>
      </c>
      <c r="D37" s="8">
        <v>4.5</v>
      </c>
      <c r="E37" s="8">
        <v>0.3</v>
      </c>
      <c r="F37" s="10"/>
      <c r="G37" s="8">
        <f t="shared" si="6"/>
        <v>1.1992</v>
      </c>
      <c r="H37" s="8">
        <f t="shared" si="7"/>
        <v>8.4692000000000007</v>
      </c>
      <c r="I37" s="8">
        <v>14.99</v>
      </c>
      <c r="J37" s="8">
        <f t="shared" si="8"/>
        <v>6.5207999999999995</v>
      </c>
      <c r="K37" s="13">
        <f t="shared" si="4"/>
        <v>0.43501000667111406</v>
      </c>
      <c r="L37" s="8">
        <v>14.99</v>
      </c>
      <c r="M37" s="8">
        <f t="shared" si="9"/>
        <v>6.5207999999999995</v>
      </c>
      <c r="N37" s="13">
        <f t="shared" si="5"/>
        <v>0.43501000667111406</v>
      </c>
    </row>
    <row r="38" spans="1:27" x14ac:dyDescent="0.2">
      <c r="A38" s="4" t="s">
        <v>27</v>
      </c>
      <c r="B38" s="8">
        <v>2.76</v>
      </c>
      <c r="C38" s="8">
        <v>0.06</v>
      </c>
      <c r="D38" s="8">
        <v>4.3</v>
      </c>
      <c r="E38" s="8">
        <v>0.3</v>
      </c>
      <c r="F38" s="10"/>
      <c r="G38" s="8">
        <f t="shared" si="6"/>
        <v>1.1992</v>
      </c>
      <c r="H38" s="8">
        <f t="shared" si="7"/>
        <v>8.6191999999999993</v>
      </c>
      <c r="I38" s="8">
        <v>14.99</v>
      </c>
      <c r="J38" s="8">
        <f t="shared" si="8"/>
        <v>6.3708000000000009</v>
      </c>
      <c r="K38" s="13">
        <f t="shared" si="4"/>
        <v>0.42500333555703806</v>
      </c>
      <c r="L38" s="8">
        <v>14.99</v>
      </c>
      <c r="M38" s="8">
        <f t="shared" si="9"/>
        <v>6.3708000000000009</v>
      </c>
      <c r="N38" s="13">
        <f t="shared" si="5"/>
        <v>0.42500333555703806</v>
      </c>
    </row>
    <row r="39" spans="1:27" x14ac:dyDescent="0.2">
      <c r="A39" s="4" t="s">
        <v>28</v>
      </c>
      <c r="B39" s="8">
        <v>2.37</v>
      </c>
      <c r="C39" s="8">
        <v>0.06</v>
      </c>
      <c r="D39" s="8">
        <v>4.3</v>
      </c>
      <c r="E39" s="8">
        <v>0.3</v>
      </c>
      <c r="F39" s="10"/>
      <c r="G39" s="8">
        <f t="shared" si="6"/>
        <v>1.1592</v>
      </c>
      <c r="H39" s="8">
        <f t="shared" si="7"/>
        <v>8.1891999999999996</v>
      </c>
      <c r="I39" s="8">
        <v>14.49</v>
      </c>
      <c r="J39" s="8">
        <f t="shared" si="8"/>
        <v>6.3008000000000006</v>
      </c>
      <c r="K39" s="13">
        <f t="shared" si="4"/>
        <v>0.43483781918564529</v>
      </c>
      <c r="L39" s="8">
        <v>14.49</v>
      </c>
      <c r="M39" s="8">
        <f t="shared" si="9"/>
        <v>6.3008000000000006</v>
      </c>
      <c r="N39" s="13">
        <f t="shared" si="5"/>
        <v>0.43483781918564529</v>
      </c>
    </row>
    <row r="40" spans="1:27" x14ac:dyDescent="0.2">
      <c r="A40" s="4" t="s">
        <v>29</v>
      </c>
      <c r="B40" s="8">
        <v>2.4700000000000002</v>
      </c>
      <c r="C40" s="8">
        <v>0.08</v>
      </c>
      <c r="D40" s="8">
        <v>5.56</v>
      </c>
      <c r="E40" s="8">
        <v>0.3</v>
      </c>
      <c r="F40" s="10"/>
      <c r="G40" s="8">
        <f t="shared" si="6"/>
        <v>1.3592</v>
      </c>
      <c r="H40" s="8">
        <f t="shared" si="7"/>
        <v>9.7691999999999997</v>
      </c>
      <c r="I40" s="8">
        <v>16.989999999999998</v>
      </c>
      <c r="J40" s="8">
        <f t="shared" si="8"/>
        <v>7.2207999999999988</v>
      </c>
      <c r="K40" s="13">
        <f t="shared" si="4"/>
        <v>0.42500294290759266</v>
      </c>
      <c r="L40" s="8">
        <v>15.79</v>
      </c>
      <c r="M40" s="8">
        <f t="shared" si="9"/>
        <v>6.0207999999999995</v>
      </c>
      <c r="N40" s="13">
        <f t="shared" si="5"/>
        <v>0.38130462317922736</v>
      </c>
    </row>
    <row r="41" spans="1:27" x14ac:dyDescent="0.2">
      <c r="A41" s="4" t="s">
        <v>30</v>
      </c>
      <c r="B41" s="8">
        <v>2.94</v>
      </c>
      <c r="C41" s="8">
        <v>0.08</v>
      </c>
      <c r="D41" s="8">
        <v>5.56</v>
      </c>
      <c r="E41" s="8">
        <v>0.3</v>
      </c>
      <c r="F41" s="10"/>
      <c r="G41" s="8">
        <f t="shared" si="6"/>
        <v>1.4232</v>
      </c>
      <c r="H41" s="8">
        <f t="shared" si="7"/>
        <v>10.3032</v>
      </c>
      <c r="I41" s="8">
        <v>17.79</v>
      </c>
      <c r="J41" s="8">
        <f t="shared" si="8"/>
        <v>7.4867999999999988</v>
      </c>
      <c r="K41" s="13">
        <f t="shared" si="4"/>
        <v>0.42084317032040469</v>
      </c>
      <c r="L41" s="8">
        <v>16.649999999999999</v>
      </c>
      <c r="M41" s="8">
        <f t="shared" si="9"/>
        <v>6.3467999999999982</v>
      </c>
      <c r="N41" s="13">
        <f t="shared" si="5"/>
        <v>0.38118918918918909</v>
      </c>
    </row>
    <row r="42" spans="1:27" x14ac:dyDescent="0.2">
      <c r="A42" s="4" t="s">
        <v>31</v>
      </c>
      <c r="B42" s="8">
        <v>2.99</v>
      </c>
      <c r="C42" s="8">
        <v>0.08</v>
      </c>
      <c r="D42" s="8">
        <v>5.56</v>
      </c>
      <c r="E42" s="8">
        <v>0.3</v>
      </c>
      <c r="F42" s="10"/>
      <c r="G42" s="8">
        <f t="shared" si="6"/>
        <v>1.4391999999999998</v>
      </c>
      <c r="H42" s="8">
        <f t="shared" si="7"/>
        <v>10.369199999999999</v>
      </c>
      <c r="I42" s="8">
        <v>17.989999999999998</v>
      </c>
      <c r="J42" s="8">
        <f t="shared" si="8"/>
        <v>7.6207999999999991</v>
      </c>
      <c r="K42" s="13">
        <f t="shared" si="4"/>
        <v>0.42361311839911059</v>
      </c>
      <c r="L42" s="8">
        <v>16.79</v>
      </c>
      <c r="M42" s="8">
        <f t="shared" si="9"/>
        <v>6.4207999999999998</v>
      </c>
      <c r="N42" s="13">
        <f t="shared" si="5"/>
        <v>0.38241810601548543</v>
      </c>
    </row>
    <row r="43" spans="1:27" x14ac:dyDescent="0.2">
      <c r="A43" s="4" t="s">
        <v>32</v>
      </c>
      <c r="B43" s="8">
        <v>8.2200000000000006</v>
      </c>
      <c r="C43" s="8">
        <v>0.24</v>
      </c>
      <c r="D43" s="8">
        <v>14</v>
      </c>
      <c r="E43" s="8">
        <v>0.5</v>
      </c>
      <c r="F43" s="10"/>
      <c r="G43" s="8">
        <f t="shared" si="6"/>
        <v>3.6792000000000002</v>
      </c>
      <c r="H43" s="8">
        <f t="shared" si="7"/>
        <v>26.639200000000002</v>
      </c>
      <c r="I43" s="8">
        <v>45.99</v>
      </c>
      <c r="J43" s="8">
        <f t="shared" si="8"/>
        <v>19.3508</v>
      </c>
      <c r="K43" s="13">
        <f t="shared" si="4"/>
        <v>0.42076103500761031</v>
      </c>
      <c r="L43" s="8">
        <v>42.99</v>
      </c>
      <c r="M43" s="8">
        <f t="shared" si="9"/>
        <v>16.3508</v>
      </c>
      <c r="N43" s="13">
        <f t="shared" si="5"/>
        <v>0.3803396138636892</v>
      </c>
    </row>
    <row r="44" spans="1:27" x14ac:dyDescent="0.2">
      <c r="A44" s="4" t="s">
        <v>33</v>
      </c>
      <c r="B44" s="8">
        <v>4.9400000000000004</v>
      </c>
      <c r="C44" s="8">
        <v>0.16</v>
      </c>
      <c r="D44" s="8">
        <v>12</v>
      </c>
      <c r="E44" s="8">
        <v>0.5</v>
      </c>
      <c r="F44" s="10"/>
      <c r="G44" s="8">
        <f t="shared" si="6"/>
        <v>2.8392000000000004</v>
      </c>
      <c r="H44" s="8">
        <f t="shared" si="7"/>
        <v>20.439200000000003</v>
      </c>
      <c r="I44" s="8">
        <v>35.49</v>
      </c>
      <c r="J44" s="8">
        <f t="shared" si="8"/>
        <v>15.050799999999999</v>
      </c>
      <c r="K44" s="13">
        <f t="shared" si="4"/>
        <v>0.42408565793181174</v>
      </c>
      <c r="L44" s="8">
        <v>32.99</v>
      </c>
      <c r="M44" s="8">
        <f t="shared" si="9"/>
        <v>12.550799999999999</v>
      </c>
      <c r="N44" s="13">
        <f t="shared" si="5"/>
        <v>0.38044255835101543</v>
      </c>
    </row>
    <row r="45" spans="1:27" x14ac:dyDescent="0.2">
      <c r="A45" s="4" t="s">
        <v>34</v>
      </c>
      <c r="B45" s="8">
        <v>6.8</v>
      </c>
      <c r="C45" s="8">
        <v>0.24</v>
      </c>
      <c r="D45" s="8">
        <v>6.5</v>
      </c>
      <c r="E45" s="8">
        <v>1.63</v>
      </c>
      <c r="F45" s="10"/>
      <c r="G45" s="8">
        <f t="shared" si="6"/>
        <v>3.1992000000000003</v>
      </c>
      <c r="H45" s="8">
        <f t="shared" si="7"/>
        <v>18.369199999999999</v>
      </c>
      <c r="I45" s="8">
        <v>39.99</v>
      </c>
      <c r="J45" s="8">
        <f t="shared" si="8"/>
        <v>21.620800000000003</v>
      </c>
      <c r="K45" s="13">
        <f t="shared" si="4"/>
        <v>0.5406551637909478</v>
      </c>
      <c r="L45" s="8">
        <v>31.99</v>
      </c>
      <c r="M45" s="8">
        <f t="shared" si="9"/>
        <v>13.620799999999999</v>
      </c>
      <c r="N45" s="13">
        <f t="shared" si="5"/>
        <v>0.42578305720537668</v>
      </c>
    </row>
    <row r="46" spans="1:27" x14ac:dyDescent="0.2">
      <c r="A46" s="4" t="s">
        <v>35</v>
      </c>
      <c r="B46" s="8">
        <v>8.8699999999999992</v>
      </c>
      <c r="C46" s="8">
        <v>0.24</v>
      </c>
      <c r="D46" s="8">
        <v>6.5</v>
      </c>
      <c r="E46" s="8">
        <v>1.63</v>
      </c>
      <c r="F46" s="10"/>
      <c r="G46" s="8">
        <f t="shared" si="6"/>
        <v>3.5992000000000002</v>
      </c>
      <c r="H46" s="8">
        <f t="shared" si="7"/>
        <v>20.839199999999998</v>
      </c>
      <c r="I46" s="8">
        <v>44.99</v>
      </c>
      <c r="J46" s="8">
        <f t="shared" si="8"/>
        <v>24.150800000000004</v>
      </c>
      <c r="K46" s="13">
        <f t="shared" si="4"/>
        <v>0.53680373416314742</v>
      </c>
      <c r="L46" s="8">
        <v>36.99</v>
      </c>
      <c r="M46" s="8">
        <f t="shared" si="9"/>
        <v>16.150800000000004</v>
      </c>
      <c r="N46" s="13">
        <f t="shared" si="5"/>
        <v>0.43662611516626121</v>
      </c>
    </row>
    <row r="47" spans="1:27" x14ac:dyDescent="0.2">
      <c r="A47" s="5" t="s">
        <v>23</v>
      </c>
      <c r="B47" s="9">
        <v>3.32</v>
      </c>
      <c r="C47" s="9">
        <v>0.12</v>
      </c>
      <c r="D47" s="8">
        <v>4.5</v>
      </c>
      <c r="E47" s="9">
        <v>0.5</v>
      </c>
      <c r="F47" s="9"/>
      <c r="G47" s="9">
        <f t="shared" si="6"/>
        <v>1.5992</v>
      </c>
      <c r="H47" s="9">
        <f t="shared" si="7"/>
        <v>10.039199999999999</v>
      </c>
      <c r="I47" s="9">
        <v>19.989999999999998</v>
      </c>
      <c r="J47" s="9">
        <f t="shared" si="8"/>
        <v>9.9507999999999992</v>
      </c>
      <c r="K47" s="13">
        <f t="shared" si="4"/>
        <v>0.49778889444722363</v>
      </c>
      <c r="L47" s="9">
        <v>17.39</v>
      </c>
      <c r="M47" s="9">
        <f t="shared" si="9"/>
        <v>7.3508000000000013</v>
      </c>
      <c r="N47" s="13">
        <f t="shared" si="5"/>
        <v>0.42270270270270277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">
      <c r="A48" s="5" t="s">
        <v>24</v>
      </c>
      <c r="B48" s="9">
        <v>4.08</v>
      </c>
      <c r="C48" s="9">
        <v>0.12</v>
      </c>
      <c r="D48" s="8">
        <v>4.5</v>
      </c>
      <c r="E48" s="9">
        <v>0.5</v>
      </c>
      <c r="F48" s="9"/>
      <c r="G48" s="9">
        <f t="shared" si="6"/>
        <v>1.7991999999999999</v>
      </c>
      <c r="H48" s="9">
        <f t="shared" si="7"/>
        <v>10.999199999999998</v>
      </c>
      <c r="I48" s="9">
        <v>22.49</v>
      </c>
      <c r="J48" s="9">
        <f t="shared" si="8"/>
        <v>11.4908</v>
      </c>
      <c r="K48" s="13">
        <f t="shared" si="4"/>
        <v>0.51092930191196095</v>
      </c>
      <c r="L48" s="9">
        <v>19.149999999999999</v>
      </c>
      <c r="M48" s="9">
        <f t="shared" si="9"/>
        <v>8.1508000000000003</v>
      </c>
      <c r="N48" s="13">
        <f t="shared" si="5"/>
        <v>0.42562924281984338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">
      <c r="A49" s="5" t="s">
        <v>25</v>
      </c>
      <c r="B49" s="9">
        <v>3.2</v>
      </c>
      <c r="C49" s="9">
        <v>0.12</v>
      </c>
      <c r="D49" s="8">
        <v>4.5</v>
      </c>
      <c r="E49" s="9">
        <v>0.5</v>
      </c>
      <c r="F49" s="9"/>
      <c r="G49" s="9">
        <f t="shared" si="6"/>
        <v>1.5992</v>
      </c>
      <c r="H49" s="9">
        <f t="shared" si="7"/>
        <v>9.9192</v>
      </c>
      <c r="I49" s="9">
        <v>19.989999999999998</v>
      </c>
      <c r="J49" s="9">
        <f t="shared" si="8"/>
        <v>10.070799999999998</v>
      </c>
      <c r="K49" s="13">
        <f t="shared" si="4"/>
        <v>0.50379189594797391</v>
      </c>
      <c r="L49" s="9">
        <v>17.260000000000002</v>
      </c>
      <c r="M49" s="9">
        <f t="shared" si="9"/>
        <v>7.3408000000000015</v>
      </c>
      <c r="N49" s="13">
        <f t="shared" si="5"/>
        <v>0.42530706836616461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">
      <c r="A50" s="5" t="s">
        <v>26</v>
      </c>
      <c r="B50" s="9">
        <v>4.84</v>
      </c>
      <c r="C50" s="9">
        <v>0.12</v>
      </c>
      <c r="D50" s="8">
        <v>4.5</v>
      </c>
      <c r="E50" s="9">
        <v>0.5</v>
      </c>
      <c r="F50" s="9"/>
      <c r="G50" s="9">
        <f t="shared" si="6"/>
        <v>1.9192</v>
      </c>
      <c r="H50" s="9">
        <f t="shared" si="7"/>
        <v>11.879200000000001</v>
      </c>
      <c r="I50" s="9">
        <v>23.99</v>
      </c>
      <c r="J50" s="9">
        <f t="shared" si="8"/>
        <v>12.110799999999998</v>
      </c>
      <c r="K50" s="13">
        <f t="shared" si="4"/>
        <v>0.50482701125468943</v>
      </c>
      <c r="L50" s="9">
        <v>20.49</v>
      </c>
      <c r="M50" s="9">
        <f t="shared" si="9"/>
        <v>8.6107999999999976</v>
      </c>
      <c r="N50" s="13">
        <f t="shared" si="5"/>
        <v>0.42024402147388962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x14ac:dyDescent="0.2">
      <c r="A51" s="4"/>
      <c r="B51" s="10"/>
      <c r="C51" s="10"/>
      <c r="D51" s="10"/>
      <c r="E51" s="10"/>
      <c r="F51" s="10"/>
      <c r="G51" s="10"/>
      <c r="H51" s="10"/>
      <c r="I51" s="10"/>
      <c r="J51" s="10"/>
      <c r="K51" s="13"/>
      <c r="L51" s="10"/>
      <c r="M51" s="10"/>
      <c r="N51" s="13"/>
    </row>
    <row r="52" spans="1:27" x14ac:dyDescent="0.2">
      <c r="A52" s="4"/>
      <c r="B52" s="10"/>
      <c r="C52" s="10"/>
      <c r="D52" s="10"/>
      <c r="E52" s="10"/>
      <c r="F52" s="10"/>
      <c r="G52" s="10"/>
      <c r="H52" s="10"/>
      <c r="I52" s="10"/>
      <c r="J52" s="10"/>
      <c r="K52" s="13"/>
      <c r="L52" s="10"/>
      <c r="M52" s="10"/>
      <c r="N52" s="13"/>
    </row>
    <row r="53" spans="1:27" x14ac:dyDescent="0.2">
      <c r="A53" s="4"/>
      <c r="B53" s="10"/>
      <c r="C53" s="10"/>
      <c r="D53" s="10"/>
      <c r="E53" s="10"/>
      <c r="F53" s="10"/>
      <c r="G53" s="10"/>
      <c r="H53" s="10"/>
      <c r="I53" s="10"/>
      <c r="J53" s="10"/>
      <c r="K53" s="13"/>
      <c r="L53" s="10"/>
      <c r="M53" s="10"/>
      <c r="N53" s="13"/>
    </row>
    <row r="54" spans="1:27" x14ac:dyDescent="0.2">
      <c r="A54" s="4"/>
      <c r="B54" s="10"/>
      <c r="C54" s="10"/>
      <c r="D54" s="10"/>
      <c r="E54" s="10"/>
      <c r="F54" s="10"/>
      <c r="G54" s="10"/>
      <c r="H54" s="10"/>
      <c r="I54" s="10"/>
      <c r="J54" s="10"/>
      <c r="K54" s="13"/>
      <c r="L54" s="10"/>
      <c r="M54" s="10"/>
      <c r="N54" s="13"/>
    </row>
    <row r="55" spans="1:27" x14ac:dyDescent="0.2">
      <c r="A55" s="1" t="s">
        <v>37</v>
      </c>
      <c r="B55" s="11"/>
      <c r="C55" s="11"/>
      <c r="D55" s="11"/>
      <c r="E55" s="11"/>
      <c r="F55" s="11"/>
      <c r="G55" s="11"/>
      <c r="H55" s="11"/>
      <c r="I55" s="11"/>
      <c r="J55" s="11"/>
      <c r="K55" s="13"/>
      <c r="L55" s="11"/>
      <c r="M55" s="8"/>
      <c r="N55" s="13"/>
      <c r="O55" s="7" t="s">
        <v>47</v>
      </c>
    </row>
    <row r="56" spans="1:27" x14ac:dyDescent="0.2">
      <c r="A56" s="4" t="s">
        <v>13</v>
      </c>
      <c r="B56" s="8">
        <v>2.42</v>
      </c>
      <c r="C56" s="8">
        <v>0.06</v>
      </c>
      <c r="D56" s="10"/>
      <c r="E56" s="8">
        <v>0.3</v>
      </c>
      <c r="F56" s="10"/>
      <c r="G56" s="10"/>
      <c r="H56" s="8">
        <f t="shared" ref="H56:H75" si="10">SUM(B56:G56)</f>
        <v>2.78</v>
      </c>
      <c r="I56" s="8">
        <v>11.49</v>
      </c>
      <c r="J56" s="8">
        <f t="shared" ref="J56:J75" si="11">I56-H56</f>
        <v>8.7100000000000009</v>
      </c>
      <c r="K56" s="13">
        <f t="shared" si="4"/>
        <v>0.75805047867711062</v>
      </c>
      <c r="L56" s="8">
        <v>11.49</v>
      </c>
      <c r="M56" s="8">
        <f t="shared" ref="M56:M75" si="12">L56-H56</f>
        <v>8.7100000000000009</v>
      </c>
      <c r="N56" s="13">
        <f t="shared" si="5"/>
        <v>0.75805047867711062</v>
      </c>
    </row>
    <row r="57" spans="1:27" x14ac:dyDescent="0.2">
      <c r="A57" s="4" t="s">
        <v>14</v>
      </c>
      <c r="B57" s="8">
        <v>2.04</v>
      </c>
      <c r="C57" s="8">
        <v>0.06</v>
      </c>
      <c r="D57" s="10"/>
      <c r="E57" s="8">
        <v>0.3</v>
      </c>
      <c r="F57" s="10"/>
      <c r="G57" s="10"/>
      <c r="H57" s="8">
        <f t="shared" si="10"/>
        <v>2.4</v>
      </c>
      <c r="I57" s="8">
        <v>6.49</v>
      </c>
      <c r="J57" s="8">
        <f t="shared" si="11"/>
        <v>4.09</v>
      </c>
      <c r="K57" s="13">
        <f t="shared" si="4"/>
        <v>0.63020030816640982</v>
      </c>
      <c r="L57" s="8">
        <v>6.49</v>
      </c>
      <c r="M57" s="8">
        <f t="shared" si="12"/>
        <v>4.09</v>
      </c>
      <c r="N57" s="13">
        <f t="shared" si="5"/>
        <v>0.63020030816640982</v>
      </c>
    </row>
    <row r="58" spans="1:27" x14ac:dyDescent="0.2">
      <c r="A58" s="4" t="s">
        <v>15</v>
      </c>
      <c r="B58" s="8">
        <v>1.5</v>
      </c>
      <c r="C58" s="8">
        <v>0.06</v>
      </c>
      <c r="D58" s="10"/>
      <c r="E58" s="8">
        <v>0.3</v>
      </c>
      <c r="F58" s="10"/>
      <c r="G58" s="10"/>
      <c r="H58" s="8">
        <f t="shared" si="10"/>
        <v>1.86</v>
      </c>
      <c r="I58" s="8">
        <v>6.49</v>
      </c>
      <c r="J58" s="8">
        <f t="shared" si="11"/>
        <v>4.63</v>
      </c>
      <c r="K58" s="13">
        <f t="shared" si="4"/>
        <v>0.71340523882896756</v>
      </c>
      <c r="L58" s="8">
        <v>6.49</v>
      </c>
      <c r="M58" s="8">
        <f t="shared" si="12"/>
        <v>4.63</v>
      </c>
      <c r="N58" s="13">
        <f t="shared" si="5"/>
        <v>0.71340523882896756</v>
      </c>
    </row>
    <row r="59" spans="1:27" x14ac:dyDescent="0.2">
      <c r="A59" s="4" t="s">
        <v>16</v>
      </c>
      <c r="B59" s="8">
        <v>1.6</v>
      </c>
      <c r="C59" s="8">
        <v>0.06</v>
      </c>
      <c r="D59" s="10"/>
      <c r="E59" s="8">
        <v>0.3</v>
      </c>
      <c r="F59" s="10"/>
      <c r="G59" s="10"/>
      <c r="H59" s="8">
        <f t="shared" si="10"/>
        <v>1.9600000000000002</v>
      </c>
      <c r="I59" s="8">
        <v>6.49</v>
      </c>
      <c r="J59" s="8">
        <f t="shared" si="11"/>
        <v>4.53</v>
      </c>
      <c r="K59" s="13">
        <f t="shared" si="4"/>
        <v>0.69799691833590138</v>
      </c>
      <c r="L59" s="8">
        <v>6.49</v>
      </c>
      <c r="M59" s="8">
        <f t="shared" si="12"/>
        <v>4.53</v>
      </c>
      <c r="N59" s="13">
        <f t="shared" si="5"/>
        <v>0.69799691833590138</v>
      </c>
    </row>
    <row r="60" spans="1:27" x14ac:dyDescent="0.2">
      <c r="A60" s="4" t="s">
        <v>17</v>
      </c>
      <c r="B60" s="8">
        <v>1.66</v>
      </c>
      <c r="C60" s="8">
        <v>0.06</v>
      </c>
      <c r="D60" s="10"/>
      <c r="E60" s="8">
        <v>0.3</v>
      </c>
      <c r="F60" s="10"/>
      <c r="G60" s="10"/>
      <c r="H60" s="8">
        <f t="shared" si="10"/>
        <v>2.02</v>
      </c>
      <c r="I60" s="8">
        <v>6.49</v>
      </c>
      <c r="J60" s="8">
        <f t="shared" si="11"/>
        <v>4.4700000000000006</v>
      </c>
      <c r="K60" s="13">
        <f t="shared" si="4"/>
        <v>0.68875192604006175</v>
      </c>
      <c r="L60" s="8">
        <v>6.49</v>
      </c>
      <c r="M60" s="8">
        <f t="shared" si="12"/>
        <v>4.4700000000000006</v>
      </c>
      <c r="N60" s="13">
        <f t="shared" si="5"/>
        <v>0.68875192604006175</v>
      </c>
    </row>
    <row r="61" spans="1:27" x14ac:dyDescent="0.2">
      <c r="A61" s="4" t="s">
        <v>18</v>
      </c>
      <c r="B61" s="8">
        <v>1.48</v>
      </c>
      <c r="C61" s="8">
        <v>0.06</v>
      </c>
      <c r="D61" s="10"/>
      <c r="E61" s="8">
        <v>0.3</v>
      </c>
      <c r="F61" s="10"/>
      <c r="G61" s="10"/>
      <c r="H61" s="8">
        <f t="shared" si="10"/>
        <v>1.84</v>
      </c>
      <c r="I61" s="8">
        <v>6.49</v>
      </c>
      <c r="J61" s="8">
        <f t="shared" si="11"/>
        <v>4.6500000000000004</v>
      </c>
      <c r="K61" s="13">
        <f t="shared" si="4"/>
        <v>0.71648690292758088</v>
      </c>
      <c r="L61" s="8">
        <v>6.49</v>
      </c>
      <c r="M61" s="8">
        <f t="shared" si="12"/>
        <v>4.6500000000000004</v>
      </c>
      <c r="N61" s="13">
        <f t="shared" si="5"/>
        <v>0.71648690292758088</v>
      </c>
    </row>
    <row r="62" spans="1:27" x14ac:dyDescent="0.2">
      <c r="A62" s="4" t="s">
        <v>19</v>
      </c>
      <c r="B62" s="8">
        <v>4.45</v>
      </c>
      <c r="C62" s="8">
        <v>0.06</v>
      </c>
      <c r="D62" s="10"/>
      <c r="E62" s="8">
        <v>0.3</v>
      </c>
      <c r="F62" s="10"/>
      <c r="G62" s="10"/>
      <c r="H62" s="8">
        <f t="shared" si="10"/>
        <v>4.8099999999999996</v>
      </c>
      <c r="I62" s="8">
        <v>19.989999999999998</v>
      </c>
      <c r="J62" s="8">
        <f t="shared" si="11"/>
        <v>15.18</v>
      </c>
      <c r="K62" s="13">
        <f t="shared" si="4"/>
        <v>0.75937968984492255</v>
      </c>
      <c r="L62" s="8">
        <v>19.989999999999998</v>
      </c>
      <c r="M62" s="8">
        <f t="shared" si="12"/>
        <v>15.18</v>
      </c>
      <c r="N62" s="13">
        <f t="shared" si="5"/>
        <v>0.75937968984492255</v>
      </c>
    </row>
    <row r="63" spans="1:27" x14ac:dyDescent="0.2">
      <c r="A63" s="4" t="s">
        <v>20</v>
      </c>
      <c r="B63" s="8">
        <v>2.2200000000000002</v>
      </c>
      <c r="C63" s="8">
        <v>0.06</v>
      </c>
      <c r="D63" s="10"/>
      <c r="E63" s="8">
        <v>0.3</v>
      </c>
      <c r="F63" s="10"/>
      <c r="G63" s="10"/>
      <c r="H63" s="8">
        <f t="shared" si="10"/>
        <v>2.58</v>
      </c>
      <c r="I63" s="8">
        <v>11.49</v>
      </c>
      <c r="J63" s="8">
        <f t="shared" si="11"/>
        <v>8.91</v>
      </c>
      <c r="K63" s="13">
        <f t="shared" si="4"/>
        <v>0.77545691906005221</v>
      </c>
      <c r="L63" s="8">
        <v>11.49</v>
      </c>
      <c r="M63" s="8">
        <f t="shared" si="12"/>
        <v>8.91</v>
      </c>
      <c r="N63" s="13">
        <f t="shared" si="5"/>
        <v>0.77545691906005221</v>
      </c>
    </row>
    <row r="64" spans="1:27" x14ac:dyDescent="0.2">
      <c r="A64" s="4" t="s">
        <v>21</v>
      </c>
      <c r="B64" s="8">
        <v>1.82</v>
      </c>
      <c r="C64" s="8">
        <v>0.06</v>
      </c>
      <c r="D64" s="10"/>
      <c r="E64" s="8">
        <v>0.3</v>
      </c>
      <c r="F64" s="10"/>
      <c r="G64" s="10"/>
      <c r="H64" s="8">
        <f t="shared" si="10"/>
        <v>2.1800000000000002</v>
      </c>
      <c r="I64" s="8">
        <v>11.49</v>
      </c>
      <c r="J64" s="8">
        <f t="shared" si="11"/>
        <v>9.31</v>
      </c>
      <c r="K64" s="13">
        <f t="shared" si="4"/>
        <v>0.81026979982593561</v>
      </c>
      <c r="L64" s="8">
        <v>11.49</v>
      </c>
      <c r="M64" s="8">
        <f t="shared" si="12"/>
        <v>9.31</v>
      </c>
      <c r="N64" s="13">
        <f t="shared" si="5"/>
        <v>0.81026979982593561</v>
      </c>
    </row>
    <row r="65" spans="1:14" x14ac:dyDescent="0.2">
      <c r="A65" s="4" t="s">
        <v>22</v>
      </c>
      <c r="B65" s="8">
        <v>2.41</v>
      </c>
      <c r="C65" s="8">
        <v>0.06</v>
      </c>
      <c r="D65" s="10"/>
      <c r="E65" s="8">
        <v>0.3</v>
      </c>
      <c r="F65" s="10"/>
      <c r="G65" s="10"/>
      <c r="H65" s="8">
        <f t="shared" si="10"/>
        <v>2.77</v>
      </c>
      <c r="I65" s="8">
        <v>11.49</v>
      </c>
      <c r="J65" s="8">
        <f t="shared" si="11"/>
        <v>8.7200000000000006</v>
      </c>
      <c r="K65" s="13">
        <f t="shared" si="4"/>
        <v>0.75892080069625767</v>
      </c>
      <c r="L65" s="8">
        <v>11.49</v>
      </c>
      <c r="M65" s="8">
        <f t="shared" si="12"/>
        <v>8.7200000000000006</v>
      </c>
      <c r="N65" s="13">
        <f t="shared" si="5"/>
        <v>0.75892080069625767</v>
      </c>
    </row>
    <row r="66" spans="1:14" x14ac:dyDescent="0.2">
      <c r="A66" s="4" t="s">
        <v>27</v>
      </c>
      <c r="B66" s="8">
        <v>2.76</v>
      </c>
      <c r="C66" s="8">
        <v>0.06</v>
      </c>
      <c r="D66" s="10"/>
      <c r="E66" s="8">
        <v>0.3</v>
      </c>
      <c r="F66" s="10"/>
      <c r="G66" s="10"/>
      <c r="H66" s="8">
        <f t="shared" si="10"/>
        <v>3.1199999999999997</v>
      </c>
      <c r="I66" s="8">
        <v>9.49</v>
      </c>
      <c r="J66" s="8">
        <f t="shared" si="11"/>
        <v>6.370000000000001</v>
      </c>
      <c r="K66" s="13">
        <f t="shared" si="4"/>
        <v>0.6712328767123289</v>
      </c>
      <c r="L66" s="8">
        <v>9.49</v>
      </c>
      <c r="M66" s="8">
        <f t="shared" si="12"/>
        <v>6.370000000000001</v>
      </c>
      <c r="N66" s="13">
        <f t="shared" si="5"/>
        <v>0.6712328767123289</v>
      </c>
    </row>
    <row r="67" spans="1:14" x14ac:dyDescent="0.2">
      <c r="A67" s="4" t="s">
        <v>28</v>
      </c>
      <c r="B67" s="8">
        <v>2.37</v>
      </c>
      <c r="C67" s="8">
        <v>0.06</v>
      </c>
      <c r="D67" s="10"/>
      <c r="E67" s="8">
        <v>0.3</v>
      </c>
      <c r="F67" s="10"/>
      <c r="G67" s="10"/>
      <c r="H67" s="8">
        <f t="shared" si="10"/>
        <v>2.73</v>
      </c>
      <c r="I67" s="8">
        <v>9.49</v>
      </c>
      <c r="J67" s="8">
        <f t="shared" si="11"/>
        <v>6.76</v>
      </c>
      <c r="K67" s="13">
        <f t="shared" si="4"/>
        <v>0.71232876712328763</v>
      </c>
      <c r="L67" s="8">
        <v>9.49</v>
      </c>
      <c r="M67" s="8">
        <f t="shared" si="12"/>
        <v>6.76</v>
      </c>
      <c r="N67" s="13">
        <f t="shared" si="5"/>
        <v>0.71232876712328763</v>
      </c>
    </row>
    <row r="68" spans="1:14" x14ac:dyDescent="0.2">
      <c r="A68" s="4" t="s">
        <v>29</v>
      </c>
      <c r="B68" s="8">
        <v>2.4700000000000002</v>
      </c>
      <c r="C68" s="8">
        <v>0.08</v>
      </c>
      <c r="D68" s="10"/>
      <c r="E68" s="8">
        <v>0.3</v>
      </c>
      <c r="F68" s="10"/>
      <c r="G68" s="10"/>
      <c r="H68" s="8">
        <f t="shared" si="10"/>
        <v>2.85</v>
      </c>
      <c r="I68" s="8">
        <v>12.49</v>
      </c>
      <c r="J68" s="8">
        <f t="shared" si="11"/>
        <v>9.64</v>
      </c>
      <c r="K68" s="13">
        <f t="shared" ref="K68:K84" si="13">J68/I68</f>
        <v>0.77181745396317059</v>
      </c>
      <c r="L68" s="8">
        <v>12.49</v>
      </c>
      <c r="M68" s="8">
        <f t="shared" si="12"/>
        <v>9.64</v>
      </c>
      <c r="N68" s="13">
        <f t="shared" ref="N68:N84" si="14">M68/L68</f>
        <v>0.77181745396317059</v>
      </c>
    </row>
    <row r="69" spans="1:14" x14ac:dyDescent="0.2">
      <c r="A69" s="4" t="s">
        <v>38</v>
      </c>
      <c r="B69" s="8">
        <v>3.74</v>
      </c>
      <c r="C69" s="8">
        <v>0.08</v>
      </c>
      <c r="D69" s="10"/>
      <c r="E69" s="8">
        <v>0.37</v>
      </c>
      <c r="F69" s="10"/>
      <c r="G69" s="10"/>
      <c r="H69" s="8">
        <f t="shared" si="10"/>
        <v>4.1900000000000004</v>
      </c>
      <c r="I69" s="8">
        <v>15.49</v>
      </c>
      <c r="J69" s="8">
        <f t="shared" si="11"/>
        <v>11.3</v>
      </c>
      <c r="K69" s="13">
        <f t="shared" si="13"/>
        <v>0.72950290510006455</v>
      </c>
      <c r="L69" s="8">
        <v>15.49</v>
      </c>
      <c r="M69" s="8">
        <f t="shared" si="12"/>
        <v>11.3</v>
      </c>
      <c r="N69" s="13">
        <f t="shared" si="14"/>
        <v>0.72950290510006455</v>
      </c>
    </row>
    <row r="70" spans="1:14" x14ac:dyDescent="0.2">
      <c r="A70" s="4" t="s">
        <v>30</v>
      </c>
      <c r="B70" s="8">
        <v>2.94</v>
      </c>
      <c r="C70" s="8">
        <v>0.08</v>
      </c>
      <c r="D70" s="10"/>
      <c r="E70" s="8">
        <v>0.3</v>
      </c>
      <c r="F70" s="10"/>
      <c r="G70" s="10"/>
      <c r="H70" s="8">
        <f t="shared" si="10"/>
        <v>3.32</v>
      </c>
      <c r="I70" s="8">
        <v>12.49</v>
      </c>
      <c r="J70" s="8">
        <f t="shared" si="11"/>
        <v>9.17</v>
      </c>
      <c r="K70" s="13">
        <f t="shared" si="13"/>
        <v>0.73418734987990386</v>
      </c>
      <c r="L70" s="8">
        <v>12.49</v>
      </c>
      <c r="M70" s="8">
        <f t="shared" si="12"/>
        <v>9.17</v>
      </c>
      <c r="N70" s="13">
        <f t="shared" si="14"/>
        <v>0.73418734987990386</v>
      </c>
    </row>
    <row r="71" spans="1:14" x14ac:dyDescent="0.2">
      <c r="A71" s="4" t="s">
        <v>39</v>
      </c>
      <c r="B71" s="8">
        <v>4.3099999999999996</v>
      </c>
      <c r="C71" s="8">
        <v>0.08</v>
      </c>
      <c r="D71" s="10"/>
      <c r="E71" s="8">
        <v>0.37</v>
      </c>
      <c r="F71" s="10"/>
      <c r="G71" s="10"/>
      <c r="H71" s="8">
        <f t="shared" si="10"/>
        <v>4.76</v>
      </c>
      <c r="I71" s="8">
        <v>15.49</v>
      </c>
      <c r="J71" s="8">
        <f t="shared" si="11"/>
        <v>10.73</v>
      </c>
      <c r="K71" s="13">
        <f t="shared" si="13"/>
        <v>0.69270497094899941</v>
      </c>
      <c r="L71" s="8">
        <v>15.49</v>
      </c>
      <c r="M71" s="8">
        <f t="shared" si="12"/>
        <v>10.73</v>
      </c>
      <c r="N71" s="13">
        <f t="shared" si="14"/>
        <v>0.69270497094899941</v>
      </c>
    </row>
    <row r="72" spans="1:14" x14ac:dyDescent="0.2">
      <c r="A72" s="4" t="s">
        <v>31</v>
      </c>
      <c r="B72" s="8">
        <v>2.99</v>
      </c>
      <c r="C72" s="8">
        <v>0.08</v>
      </c>
      <c r="D72" s="10"/>
      <c r="E72" s="8">
        <v>0.3</v>
      </c>
      <c r="F72" s="10"/>
      <c r="G72" s="10"/>
      <c r="H72" s="8">
        <f t="shared" si="10"/>
        <v>3.37</v>
      </c>
      <c r="I72" s="8">
        <v>12.49</v>
      </c>
      <c r="J72" s="8">
        <f t="shared" si="11"/>
        <v>9.120000000000001</v>
      </c>
      <c r="K72" s="13">
        <f t="shared" si="13"/>
        <v>0.7301841473178543</v>
      </c>
      <c r="L72" s="8">
        <v>12.49</v>
      </c>
      <c r="M72" s="8">
        <f t="shared" si="12"/>
        <v>9.120000000000001</v>
      </c>
      <c r="N72" s="13">
        <f t="shared" si="14"/>
        <v>0.7301841473178543</v>
      </c>
    </row>
    <row r="73" spans="1:14" x14ac:dyDescent="0.2">
      <c r="A73" s="4" t="s">
        <v>40</v>
      </c>
      <c r="B73" s="8">
        <v>4.7699999999999996</v>
      </c>
      <c r="C73" s="8">
        <v>0.08</v>
      </c>
      <c r="D73" s="10"/>
      <c r="E73" s="8">
        <v>0.37</v>
      </c>
      <c r="F73" s="10"/>
      <c r="G73" s="10"/>
      <c r="H73" s="8">
        <f t="shared" si="10"/>
        <v>5.22</v>
      </c>
      <c r="I73" s="8">
        <v>15.49</v>
      </c>
      <c r="J73" s="8">
        <f t="shared" si="11"/>
        <v>10.27</v>
      </c>
      <c r="K73" s="13">
        <f t="shared" si="13"/>
        <v>0.66300839251129762</v>
      </c>
      <c r="L73" s="8">
        <v>15.49</v>
      </c>
      <c r="M73" s="8">
        <f t="shared" si="12"/>
        <v>10.27</v>
      </c>
      <c r="N73" s="13">
        <f t="shared" si="14"/>
        <v>0.66300839251129762</v>
      </c>
    </row>
    <row r="74" spans="1:14" x14ac:dyDescent="0.2">
      <c r="A74" s="4" t="s">
        <v>34</v>
      </c>
      <c r="B74" s="8">
        <v>6.8</v>
      </c>
      <c r="C74" s="8">
        <v>0.24</v>
      </c>
      <c r="D74" s="10"/>
      <c r="E74" s="8">
        <v>1.63</v>
      </c>
      <c r="F74" s="10"/>
      <c r="G74" s="10"/>
      <c r="H74" s="8">
        <f t="shared" si="10"/>
        <v>8.67</v>
      </c>
      <c r="I74" s="8">
        <v>24.99</v>
      </c>
      <c r="J74" s="8">
        <f t="shared" si="11"/>
        <v>16.32</v>
      </c>
      <c r="K74" s="13">
        <f t="shared" si="13"/>
        <v>0.65306122448979598</v>
      </c>
      <c r="L74" s="8">
        <v>24.99</v>
      </c>
      <c r="M74" s="8">
        <f t="shared" si="12"/>
        <v>16.32</v>
      </c>
      <c r="N74" s="13">
        <f t="shared" si="14"/>
        <v>0.65306122448979598</v>
      </c>
    </row>
    <row r="75" spans="1:14" x14ac:dyDescent="0.2">
      <c r="A75" s="4" t="s">
        <v>35</v>
      </c>
      <c r="B75" s="8">
        <v>8.8699999999999992</v>
      </c>
      <c r="C75" s="8">
        <v>0.24</v>
      </c>
      <c r="D75" s="10"/>
      <c r="E75" s="8">
        <v>1.63</v>
      </c>
      <c r="F75" s="10"/>
      <c r="G75" s="10"/>
      <c r="H75" s="8">
        <f t="shared" si="10"/>
        <v>10.739999999999998</v>
      </c>
      <c r="I75" s="8">
        <v>43.99</v>
      </c>
      <c r="J75" s="8">
        <f t="shared" si="11"/>
        <v>33.25</v>
      </c>
      <c r="K75" s="13">
        <f t="shared" si="13"/>
        <v>0.75585360309161165</v>
      </c>
      <c r="L75" s="8">
        <v>43.99</v>
      </c>
      <c r="M75" s="8">
        <f t="shared" si="12"/>
        <v>33.25</v>
      </c>
      <c r="N75" s="13">
        <f t="shared" si="14"/>
        <v>0.75585360309161165</v>
      </c>
    </row>
    <row r="76" spans="1:14" x14ac:dyDescent="0.2">
      <c r="A76" s="4"/>
      <c r="B76" s="10"/>
      <c r="C76" s="10"/>
      <c r="D76" s="10"/>
      <c r="E76" s="10"/>
      <c r="F76" s="10"/>
      <c r="G76" s="10"/>
      <c r="H76" s="10"/>
      <c r="I76" s="10"/>
      <c r="J76" s="10"/>
      <c r="K76" s="13"/>
      <c r="L76" s="10"/>
      <c r="M76" s="10"/>
      <c r="N76" s="13"/>
    </row>
    <row r="77" spans="1:14" x14ac:dyDescent="0.2">
      <c r="A77" s="4"/>
      <c r="B77" s="10"/>
      <c r="C77" s="10"/>
      <c r="D77" s="10"/>
      <c r="E77" s="10"/>
      <c r="F77" s="10"/>
      <c r="G77" s="10"/>
      <c r="H77" s="10"/>
      <c r="I77" s="10"/>
      <c r="J77" s="10"/>
      <c r="K77" s="13"/>
      <c r="L77" s="10"/>
      <c r="M77" s="10"/>
      <c r="N77" s="13"/>
    </row>
    <row r="78" spans="1:14" x14ac:dyDescent="0.2">
      <c r="A78" s="4"/>
      <c r="B78" s="10"/>
      <c r="C78" s="10"/>
      <c r="D78" s="10"/>
      <c r="E78" s="10"/>
      <c r="F78" s="10"/>
      <c r="G78" s="10"/>
      <c r="H78" s="10"/>
      <c r="I78" s="10"/>
      <c r="J78" s="10"/>
      <c r="K78" s="13"/>
      <c r="L78" s="10"/>
      <c r="M78" s="10"/>
      <c r="N78" s="13"/>
    </row>
    <row r="79" spans="1:14" x14ac:dyDescent="0.2">
      <c r="A79" s="1" t="s">
        <v>41</v>
      </c>
      <c r="B79" s="10"/>
      <c r="C79" s="10"/>
      <c r="D79" s="10"/>
      <c r="E79" s="10"/>
      <c r="F79" s="10"/>
      <c r="G79" s="10"/>
      <c r="H79" s="10"/>
      <c r="I79" s="10"/>
      <c r="J79" s="10"/>
      <c r="K79" s="13"/>
      <c r="L79" s="10"/>
      <c r="M79" s="10"/>
      <c r="N79" s="13"/>
    </row>
    <row r="80" spans="1:14" x14ac:dyDescent="0.2">
      <c r="A80" s="4" t="s">
        <v>29</v>
      </c>
      <c r="B80" s="8">
        <v>3.63</v>
      </c>
      <c r="C80" s="8">
        <v>0.08</v>
      </c>
      <c r="D80" s="10"/>
      <c r="E80" s="8">
        <v>1</v>
      </c>
      <c r="F80" s="10"/>
      <c r="G80" s="10"/>
      <c r="H80" s="8">
        <f t="shared" ref="H80:H84" si="15">SUM(B80:G80)</f>
        <v>4.71</v>
      </c>
      <c r="I80" s="8">
        <v>11.99</v>
      </c>
      <c r="J80" s="8">
        <f t="shared" ref="J80:J84" si="16">I80-H80</f>
        <v>7.28</v>
      </c>
      <c r="K80" s="13">
        <f t="shared" si="13"/>
        <v>0.60717264386989156</v>
      </c>
      <c r="L80" s="8">
        <v>9.99</v>
      </c>
      <c r="M80" s="8">
        <f t="shared" ref="M80:M84" si="17">L80-H80</f>
        <v>5.28</v>
      </c>
      <c r="N80" s="13">
        <f t="shared" si="14"/>
        <v>0.5285285285285285</v>
      </c>
    </row>
    <row r="81" spans="1:14" x14ac:dyDescent="0.2">
      <c r="A81" s="4" t="s">
        <v>42</v>
      </c>
      <c r="B81" s="8">
        <v>3.65</v>
      </c>
      <c r="C81" s="8">
        <v>0.08</v>
      </c>
      <c r="D81" s="10"/>
      <c r="E81" s="8">
        <v>1</v>
      </c>
      <c r="F81" s="10"/>
      <c r="G81" s="10"/>
      <c r="H81" s="8">
        <f t="shared" si="15"/>
        <v>4.7300000000000004</v>
      </c>
      <c r="I81" s="8">
        <v>11.99</v>
      </c>
      <c r="J81" s="8">
        <f t="shared" si="16"/>
        <v>7.26</v>
      </c>
      <c r="K81" s="13">
        <f t="shared" si="13"/>
        <v>0.60550458715596323</v>
      </c>
      <c r="L81" s="8">
        <v>9.99</v>
      </c>
      <c r="M81" s="8">
        <f t="shared" si="17"/>
        <v>5.26</v>
      </c>
      <c r="N81" s="13">
        <f t="shared" si="14"/>
        <v>0.52652652652652654</v>
      </c>
    </row>
    <row r="82" spans="1:14" x14ac:dyDescent="0.2">
      <c r="A82" s="4" t="s">
        <v>31</v>
      </c>
      <c r="B82" s="8">
        <v>3.69</v>
      </c>
      <c r="C82" s="8">
        <v>0.08</v>
      </c>
      <c r="D82" s="10"/>
      <c r="E82" s="8">
        <v>1</v>
      </c>
      <c r="F82" s="10"/>
      <c r="G82" s="10"/>
      <c r="H82" s="8">
        <f t="shared" si="15"/>
        <v>4.7699999999999996</v>
      </c>
      <c r="I82" s="8">
        <v>11.99</v>
      </c>
      <c r="J82" s="8">
        <f t="shared" si="16"/>
        <v>7.2200000000000006</v>
      </c>
      <c r="K82" s="13">
        <f t="shared" si="13"/>
        <v>0.60216847372810678</v>
      </c>
      <c r="L82" s="8">
        <v>9.99</v>
      </c>
      <c r="M82" s="8">
        <f t="shared" si="17"/>
        <v>5.2200000000000006</v>
      </c>
      <c r="N82" s="13">
        <f t="shared" si="14"/>
        <v>0.52252252252252263</v>
      </c>
    </row>
    <row r="83" spans="1:14" x14ac:dyDescent="0.2">
      <c r="A83" s="4" t="s">
        <v>43</v>
      </c>
      <c r="B83" s="8">
        <v>10.8</v>
      </c>
      <c r="C83" s="8">
        <v>0.24</v>
      </c>
      <c r="D83" s="10"/>
      <c r="E83" s="8">
        <v>2</v>
      </c>
      <c r="F83" s="10"/>
      <c r="G83" s="10"/>
      <c r="H83" s="8">
        <f t="shared" si="15"/>
        <v>13.040000000000001</v>
      </c>
      <c r="I83" s="8">
        <v>29.99</v>
      </c>
      <c r="J83" s="8">
        <f t="shared" si="16"/>
        <v>16.949999999999996</v>
      </c>
      <c r="K83" s="13">
        <f t="shared" si="13"/>
        <v>0.56518839613204386</v>
      </c>
      <c r="L83" s="8">
        <v>25.99</v>
      </c>
      <c r="M83" s="8">
        <f t="shared" si="17"/>
        <v>12.949999999999998</v>
      </c>
      <c r="N83" s="13">
        <f t="shared" si="14"/>
        <v>0.49826856483262788</v>
      </c>
    </row>
    <row r="84" spans="1:14" x14ac:dyDescent="0.2">
      <c r="A84" s="4" t="s">
        <v>44</v>
      </c>
      <c r="B84" s="8">
        <v>7.2</v>
      </c>
      <c r="C84" s="8">
        <v>0.16</v>
      </c>
      <c r="D84" s="10"/>
      <c r="E84" s="8">
        <v>2</v>
      </c>
      <c r="F84" s="10"/>
      <c r="G84" s="10"/>
      <c r="H84" s="8">
        <f t="shared" si="15"/>
        <v>9.36</v>
      </c>
      <c r="I84" s="8">
        <v>22.99</v>
      </c>
      <c r="J84" s="8">
        <f t="shared" si="16"/>
        <v>13.629999999999999</v>
      </c>
      <c r="K84" s="13">
        <f t="shared" si="13"/>
        <v>0.59286646367986084</v>
      </c>
      <c r="L84" s="8">
        <v>18.989999999999998</v>
      </c>
      <c r="M84" s="8">
        <f t="shared" si="17"/>
        <v>9.629999999999999</v>
      </c>
      <c r="N84" s="13">
        <f t="shared" si="14"/>
        <v>0.50710900473933651</v>
      </c>
    </row>
    <row r="85" spans="1:14" x14ac:dyDescent="0.2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2"/>
      <c r="L85" s="10"/>
      <c r="M85" s="10"/>
    </row>
    <row r="86" spans="1:14" x14ac:dyDescent="0.2">
      <c r="A86" s="4"/>
      <c r="B86" s="10"/>
      <c r="C86" s="10"/>
      <c r="D86" s="10"/>
      <c r="E86" s="10"/>
      <c r="F86" s="10"/>
      <c r="G86" s="10"/>
      <c r="H86" s="10"/>
      <c r="I86" s="10"/>
      <c r="J86" s="10"/>
      <c r="K86" s="12"/>
      <c r="L86" s="10"/>
      <c r="M86" s="10"/>
    </row>
    <row r="87" spans="1:14" x14ac:dyDescent="0.2">
      <c r="A87" s="4"/>
      <c r="B87" s="10"/>
      <c r="C87" s="10"/>
      <c r="D87" s="10"/>
      <c r="E87" s="10"/>
      <c r="F87" s="10"/>
      <c r="G87" s="10"/>
      <c r="H87" s="10"/>
      <c r="I87" s="10"/>
      <c r="J87" s="10"/>
      <c r="K87" s="12"/>
      <c r="L87" s="10"/>
      <c r="M87" s="10"/>
    </row>
    <row r="88" spans="1:14" x14ac:dyDescent="0.2">
      <c r="A88" s="4"/>
      <c r="B88" s="10"/>
      <c r="C88" s="10"/>
      <c r="D88" s="10"/>
      <c r="E88" s="10"/>
      <c r="F88" s="10"/>
      <c r="G88" s="10"/>
      <c r="H88" s="10"/>
      <c r="I88" s="10"/>
      <c r="J88" s="10"/>
      <c r="K88" s="12"/>
      <c r="L88" s="10"/>
      <c r="M88" s="10"/>
    </row>
    <row r="89" spans="1:14" x14ac:dyDescent="0.2">
      <c r="A89" s="4"/>
      <c r="B89" s="10"/>
      <c r="C89" s="10"/>
      <c r="D89" s="10"/>
      <c r="E89" s="10"/>
      <c r="F89" s="10"/>
      <c r="G89" s="10"/>
      <c r="H89" s="10"/>
      <c r="I89" s="10"/>
      <c r="J89" s="10"/>
      <c r="K89" s="12"/>
      <c r="L89" s="10"/>
      <c r="M89" s="10"/>
    </row>
    <row r="90" spans="1:14" x14ac:dyDescent="0.2">
      <c r="A90" s="4"/>
      <c r="B90" s="10"/>
      <c r="C90" s="10"/>
      <c r="D90" s="10"/>
      <c r="E90" s="10"/>
      <c r="F90" s="10"/>
      <c r="G90" s="10"/>
      <c r="H90" s="10"/>
      <c r="I90" s="10"/>
      <c r="J90" s="10"/>
      <c r="K90" s="12"/>
      <c r="L90" s="10"/>
      <c r="M90" s="10"/>
    </row>
    <row r="91" spans="1:14" x14ac:dyDescent="0.2">
      <c r="A91" s="4"/>
      <c r="B91" s="10"/>
      <c r="C91" s="10"/>
      <c r="D91" s="10"/>
      <c r="E91" s="10"/>
      <c r="F91" s="10"/>
      <c r="G91" s="10"/>
      <c r="H91" s="10"/>
      <c r="I91" s="10"/>
      <c r="J91" s="10"/>
      <c r="K91" s="12"/>
      <c r="L91" s="10"/>
      <c r="M91" s="10"/>
    </row>
    <row r="92" spans="1:14" x14ac:dyDescent="0.2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2"/>
      <c r="L92" s="10"/>
      <c r="M92" s="10"/>
    </row>
    <row r="93" spans="1:14" x14ac:dyDescent="0.2">
      <c r="A93" s="4"/>
      <c r="B93" s="10"/>
      <c r="C93" s="10"/>
      <c r="D93" s="10"/>
      <c r="E93" s="10"/>
      <c r="F93" s="10"/>
      <c r="G93" s="10"/>
      <c r="H93" s="10"/>
      <c r="I93" s="10"/>
      <c r="J93" s="10"/>
      <c r="L93" s="10"/>
      <c r="M93" s="10"/>
    </row>
    <row r="94" spans="1:14" x14ac:dyDescent="0.2">
      <c r="A94" s="4"/>
      <c r="B94" s="10"/>
      <c r="C94" s="10"/>
      <c r="D94" s="10"/>
      <c r="E94" s="10"/>
      <c r="F94" s="10"/>
      <c r="G94" s="10"/>
      <c r="H94" s="10"/>
      <c r="I94" s="10"/>
      <c r="J94" s="10"/>
      <c r="L94" s="10"/>
      <c r="M94" s="10"/>
    </row>
    <row r="95" spans="1:14" x14ac:dyDescent="0.2">
      <c r="A95" s="4"/>
      <c r="B95" s="10"/>
      <c r="C95" s="10"/>
      <c r="D95" s="10"/>
      <c r="E95" s="10"/>
      <c r="F95" s="10"/>
      <c r="G95" s="10"/>
      <c r="H95" s="10"/>
      <c r="I95" s="10"/>
      <c r="J95" s="10"/>
      <c r="L95" s="10"/>
      <c r="M95" s="10"/>
    </row>
    <row r="96" spans="1:14" x14ac:dyDescent="0.2">
      <c r="A96" s="4"/>
      <c r="B96" s="10"/>
      <c r="C96" s="10"/>
      <c r="D96" s="10"/>
      <c r="E96" s="10"/>
      <c r="F96" s="10"/>
      <c r="G96" s="10"/>
      <c r="H96" s="10"/>
      <c r="I96" s="10"/>
      <c r="J96" s="10"/>
    </row>
    <row r="97" spans="1:10" x14ac:dyDescent="0.2">
      <c r="A97" s="4"/>
      <c r="B97" s="10"/>
      <c r="C97" s="10"/>
      <c r="D97" s="10"/>
      <c r="E97" s="10"/>
      <c r="F97" s="10"/>
      <c r="G97" s="10"/>
      <c r="H97" s="10"/>
      <c r="I97" s="10"/>
      <c r="J97" s="10"/>
    </row>
    <row r="98" spans="1:10" x14ac:dyDescent="0.2">
      <c r="A98" s="4"/>
      <c r="B98" s="10"/>
      <c r="C98" s="10"/>
      <c r="D98" s="10"/>
      <c r="E98" s="10"/>
      <c r="F98" s="10"/>
      <c r="G98" s="10"/>
      <c r="H98" s="10"/>
      <c r="I98" s="10"/>
      <c r="J98" s="10"/>
    </row>
    <row r="99" spans="1:10" x14ac:dyDescent="0.2">
      <c r="A99" s="4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2">
      <c r="A100" s="4"/>
    </row>
    <row r="101" spans="1:10" x14ac:dyDescent="0.2">
      <c r="A101" s="4"/>
    </row>
    <row r="102" spans="1:10" x14ac:dyDescent="0.2">
      <c r="A102" s="4"/>
    </row>
    <row r="103" spans="1:10" x14ac:dyDescent="0.2">
      <c r="A103" s="4"/>
    </row>
    <row r="104" spans="1:10" x14ac:dyDescent="0.2">
      <c r="A104" s="4"/>
    </row>
    <row r="105" spans="1:10" x14ac:dyDescent="0.2">
      <c r="A105" s="4"/>
    </row>
    <row r="106" spans="1:10" x14ac:dyDescent="0.2">
      <c r="A106" s="4"/>
    </row>
    <row r="107" spans="1:10" x14ac:dyDescent="0.2">
      <c r="A107" s="4"/>
    </row>
    <row r="108" spans="1:10" x14ac:dyDescent="0.2">
      <c r="A108" s="4"/>
    </row>
    <row r="109" spans="1:10" x14ac:dyDescent="0.2">
      <c r="A109" s="4"/>
    </row>
    <row r="110" spans="1:10" x14ac:dyDescent="0.2">
      <c r="A110" s="4"/>
    </row>
    <row r="111" spans="1:10" x14ac:dyDescent="0.2">
      <c r="A111" s="4"/>
    </row>
    <row r="112" spans="1:10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  <row r="605" spans="1:1" x14ac:dyDescent="0.2">
      <c r="A605" s="4"/>
    </row>
    <row r="606" spans="1:1" x14ac:dyDescent="0.2">
      <c r="A606" s="4"/>
    </row>
    <row r="607" spans="1:1" x14ac:dyDescent="0.2">
      <c r="A607" s="4"/>
    </row>
    <row r="608" spans="1:1" x14ac:dyDescent="0.2">
      <c r="A608" s="4"/>
    </row>
    <row r="609" spans="1:1" x14ac:dyDescent="0.2">
      <c r="A609" s="4"/>
    </row>
    <row r="610" spans="1:1" x14ac:dyDescent="0.2">
      <c r="A610" s="4"/>
    </row>
    <row r="611" spans="1:1" x14ac:dyDescent="0.2">
      <c r="A611" s="4"/>
    </row>
    <row r="612" spans="1:1" x14ac:dyDescent="0.2">
      <c r="A612" s="4"/>
    </row>
    <row r="613" spans="1:1" x14ac:dyDescent="0.2">
      <c r="A613" s="4"/>
    </row>
    <row r="614" spans="1:1" x14ac:dyDescent="0.2">
      <c r="A614" s="4"/>
    </row>
    <row r="615" spans="1:1" x14ac:dyDescent="0.2">
      <c r="A615" s="4"/>
    </row>
    <row r="616" spans="1:1" x14ac:dyDescent="0.2">
      <c r="A616" s="4"/>
    </row>
    <row r="617" spans="1:1" x14ac:dyDescent="0.2">
      <c r="A617" s="4"/>
    </row>
    <row r="618" spans="1:1" x14ac:dyDescent="0.2">
      <c r="A618" s="4"/>
    </row>
    <row r="619" spans="1:1" x14ac:dyDescent="0.2">
      <c r="A619" s="4"/>
    </row>
    <row r="620" spans="1:1" x14ac:dyDescent="0.2">
      <c r="A620" s="4"/>
    </row>
    <row r="621" spans="1:1" x14ac:dyDescent="0.2">
      <c r="A621" s="4"/>
    </row>
    <row r="622" spans="1:1" x14ac:dyDescent="0.2">
      <c r="A622" s="4"/>
    </row>
    <row r="623" spans="1:1" x14ac:dyDescent="0.2">
      <c r="A623" s="4"/>
    </row>
    <row r="624" spans="1:1" x14ac:dyDescent="0.2">
      <c r="A624" s="4"/>
    </row>
    <row r="625" spans="1:1" x14ac:dyDescent="0.2">
      <c r="A625" s="4"/>
    </row>
    <row r="626" spans="1:1" x14ac:dyDescent="0.2">
      <c r="A626" s="4"/>
    </row>
    <row r="627" spans="1:1" x14ac:dyDescent="0.2">
      <c r="A627" s="4"/>
    </row>
    <row r="628" spans="1:1" x14ac:dyDescent="0.2">
      <c r="A628" s="4"/>
    </row>
    <row r="629" spans="1:1" x14ac:dyDescent="0.2">
      <c r="A629" s="4"/>
    </row>
    <row r="630" spans="1:1" x14ac:dyDescent="0.2">
      <c r="A630" s="4"/>
    </row>
    <row r="631" spans="1:1" x14ac:dyDescent="0.2">
      <c r="A631" s="4"/>
    </row>
    <row r="632" spans="1:1" x14ac:dyDescent="0.2">
      <c r="A632" s="4"/>
    </row>
    <row r="633" spans="1:1" x14ac:dyDescent="0.2">
      <c r="A633" s="4"/>
    </row>
    <row r="634" spans="1:1" x14ac:dyDescent="0.2">
      <c r="A634" s="4"/>
    </row>
    <row r="635" spans="1:1" x14ac:dyDescent="0.2">
      <c r="A635" s="4"/>
    </row>
    <row r="636" spans="1:1" x14ac:dyDescent="0.2">
      <c r="A636" s="4"/>
    </row>
    <row r="637" spans="1:1" x14ac:dyDescent="0.2">
      <c r="A637" s="4"/>
    </row>
    <row r="638" spans="1:1" x14ac:dyDescent="0.2">
      <c r="A638" s="4"/>
    </row>
    <row r="639" spans="1:1" x14ac:dyDescent="0.2">
      <c r="A639" s="4"/>
    </row>
    <row r="640" spans="1:1" x14ac:dyDescent="0.2">
      <c r="A640" s="4"/>
    </row>
    <row r="641" spans="1:1" x14ac:dyDescent="0.2">
      <c r="A641" s="4"/>
    </row>
    <row r="642" spans="1:1" x14ac:dyDescent="0.2">
      <c r="A642" s="4"/>
    </row>
    <row r="643" spans="1:1" x14ac:dyDescent="0.2">
      <c r="A643" s="4"/>
    </row>
    <row r="644" spans="1:1" x14ac:dyDescent="0.2">
      <c r="A644" s="4"/>
    </row>
    <row r="645" spans="1:1" x14ac:dyDescent="0.2">
      <c r="A645" s="4"/>
    </row>
    <row r="646" spans="1:1" x14ac:dyDescent="0.2">
      <c r="A646" s="4"/>
    </row>
    <row r="647" spans="1:1" x14ac:dyDescent="0.2">
      <c r="A647" s="4"/>
    </row>
    <row r="648" spans="1:1" x14ac:dyDescent="0.2">
      <c r="A648" s="4"/>
    </row>
    <row r="649" spans="1:1" x14ac:dyDescent="0.2">
      <c r="A649" s="4"/>
    </row>
    <row r="650" spans="1:1" x14ac:dyDescent="0.2">
      <c r="A650" s="4"/>
    </row>
    <row r="651" spans="1:1" x14ac:dyDescent="0.2">
      <c r="A651" s="4"/>
    </row>
    <row r="652" spans="1:1" x14ac:dyDescent="0.2">
      <c r="A652" s="4"/>
    </row>
    <row r="653" spans="1:1" x14ac:dyDescent="0.2">
      <c r="A653" s="4"/>
    </row>
    <row r="654" spans="1:1" x14ac:dyDescent="0.2">
      <c r="A654" s="4"/>
    </row>
    <row r="655" spans="1:1" x14ac:dyDescent="0.2">
      <c r="A655" s="4"/>
    </row>
    <row r="656" spans="1:1" x14ac:dyDescent="0.2">
      <c r="A656" s="4"/>
    </row>
    <row r="657" spans="1:1" x14ac:dyDescent="0.2">
      <c r="A657" s="4"/>
    </row>
    <row r="658" spans="1:1" x14ac:dyDescent="0.2">
      <c r="A658" s="4"/>
    </row>
    <row r="659" spans="1:1" x14ac:dyDescent="0.2">
      <c r="A659" s="4"/>
    </row>
    <row r="660" spans="1:1" x14ac:dyDescent="0.2">
      <c r="A660" s="4"/>
    </row>
    <row r="661" spans="1:1" x14ac:dyDescent="0.2">
      <c r="A661" s="4"/>
    </row>
    <row r="662" spans="1:1" x14ac:dyDescent="0.2">
      <c r="A662" s="4"/>
    </row>
    <row r="663" spans="1:1" x14ac:dyDescent="0.2">
      <c r="A663" s="4"/>
    </row>
    <row r="664" spans="1:1" x14ac:dyDescent="0.2">
      <c r="A664" s="4"/>
    </row>
    <row r="665" spans="1:1" x14ac:dyDescent="0.2">
      <c r="A665" s="4"/>
    </row>
    <row r="666" spans="1:1" x14ac:dyDescent="0.2">
      <c r="A666" s="4"/>
    </row>
    <row r="667" spans="1:1" x14ac:dyDescent="0.2">
      <c r="A667" s="4"/>
    </row>
    <row r="668" spans="1:1" x14ac:dyDescent="0.2">
      <c r="A668" s="4"/>
    </row>
    <row r="669" spans="1:1" x14ac:dyDescent="0.2">
      <c r="A669" s="4"/>
    </row>
    <row r="670" spans="1:1" x14ac:dyDescent="0.2">
      <c r="A670" s="4"/>
    </row>
    <row r="671" spans="1:1" x14ac:dyDescent="0.2">
      <c r="A671" s="4"/>
    </row>
    <row r="672" spans="1:1" x14ac:dyDescent="0.2">
      <c r="A672" s="4"/>
    </row>
    <row r="673" spans="1:1" x14ac:dyDescent="0.2">
      <c r="A673" s="4"/>
    </row>
    <row r="674" spans="1:1" x14ac:dyDescent="0.2">
      <c r="A674" s="4"/>
    </row>
    <row r="675" spans="1:1" x14ac:dyDescent="0.2">
      <c r="A675" s="4"/>
    </row>
    <row r="676" spans="1:1" x14ac:dyDescent="0.2">
      <c r="A676" s="4"/>
    </row>
    <row r="677" spans="1:1" x14ac:dyDescent="0.2">
      <c r="A677" s="4"/>
    </row>
    <row r="678" spans="1:1" x14ac:dyDescent="0.2">
      <c r="A678" s="4"/>
    </row>
    <row r="679" spans="1:1" x14ac:dyDescent="0.2">
      <c r="A679" s="4"/>
    </row>
    <row r="680" spans="1:1" x14ac:dyDescent="0.2">
      <c r="A680" s="4"/>
    </row>
    <row r="681" spans="1:1" x14ac:dyDescent="0.2">
      <c r="A681" s="4"/>
    </row>
    <row r="682" spans="1:1" x14ac:dyDescent="0.2">
      <c r="A682" s="4"/>
    </row>
    <row r="683" spans="1:1" x14ac:dyDescent="0.2">
      <c r="A683" s="4"/>
    </row>
    <row r="684" spans="1:1" x14ac:dyDescent="0.2">
      <c r="A684" s="4"/>
    </row>
    <row r="685" spans="1:1" x14ac:dyDescent="0.2">
      <c r="A685" s="4"/>
    </row>
    <row r="686" spans="1:1" x14ac:dyDescent="0.2">
      <c r="A686" s="4"/>
    </row>
    <row r="687" spans="1:1" x14ac:dyDescent="0.2">
      <c r="A687" s="4"/>
    </row>
    <row r="688" spans="1:1" x14ac:dyDescent="0.2">
      <c r="A688" s="4"/>
    </row>
    <row r="689" spans="1:1" x14ac:dyDescent="0.2">
      <c r="A689" s="4"/>
    </row>
    <row r="690" spans="1:1" x14ac:dyDescent="0.2">
      <c r="A690" s="4"/>
    </row>
    <row r="691" spans="1:1" x14ac:dyDescent="0.2">
      <c r="A691" s="4"/>
    </row>
    <row r="692" spans="1:1" x14ac:dyDescent="0.2">
      <c r="A692" s="4"/>
    </row>
    <row r="693" spans="1:1" x14ac:dyDescent="0.2">
      <c r="A693" s="4"/>
    </row>
    <row r="694" spans="1:1" x14ac:dyDescent="0.2">
      <c r="A694" s="4"/>
    </row>
    <row r="695" spans="1:1" x14ac:dyDescent="0.2">
      <c r="A695" s="4"/>
    </row>
    <row r="696" spans="1:1" x14ac:dyDescent="0.2">
      <c r="A696" s="4"/>
    </row>
    <row r="697" spans="1:1" x14ac:dyDescent="0.2">
      <c r="A697" s="4"/>
    </row>
    <row r="698" spans="1:1" x14ac:dyDescent="0.2">
      <c r="A698" s="4"/>
    </row>
    <row r="699" spans="1:1" x14ac:dyDescent="0.2">
      <c r="A699" s="4"/>
    </row>
    <row r="700" spans="1:1" x14ac:dyDescent="0.2">
      <c r="A700" s="4"/>
    </row>
    <row r="701" spans="1:1" x14ac:dyDescent="0.2">
      <c r="A701" s="4"/>
    </row>
    <row r="702" spans="1:1" x14ac:dyDescent="0.2">
      <c r="A702" s="4"/>
    </row>
    <row r="703" spans="1:1" x14ac:dyDescent="0.2">
      <c r="A703" s="4"/>
    </row>
    <row r="704" spans="1:1" x14ac:dyDescent="0.2">
      <c r="A704" s="4"/>
    </row>
    <row r="705" spans="1:1" x14ac:dyDescent="0.2">
      <c r="A705" s="4"/>
    </row>
    <row r="706" spans="1:1" x14ac:dyDescent="0.2">
      <c r="A706" s="4"/>
    </row>
    <row r="707" spans="1:1" x14ac:dyDescent="0.2">
      <c r="A707" s="4"/>
    </row>
    <row r="708" spans="1:1" x14ac:dyDescent="0.2">
      <c r="A708" s="4"/>
    </row>
    <row r="709" spans="1:1" x14ac:dyDescent="0.2">
      <c r="A709" s="4"/>
    </row>
    <row r="710" spans="1:1" x14ac:dyDescent="0.2">
      <c r="A710" s="4"/>
    </row>
    <row r="711" spans="1:1" x14ac:dyDescent="0.2">
      <c r="A711" s="4"/>
    </row>
    <row r="712" spans="1:1" x14ac:dyDescent="0.2">
      <c r="A712" s="4"/>
    </row>
    <row r="713" spans="1:1" x14ac:dyDescent="0.2">
      <c r="A713" s="4"/>
    </row>
    <row r="714" spans="1:1" x14ac:dyDescent="0.2">
      <c r="A714" s="4"/>
    </row>
    <row r="715" spans="1:1" x14ac:dyDescent="0.2">
      <c r="A715" s="4"/>
    </row>
    <row r="716" spans="1:1" x14ac:dyDescent="0.2">
      <c r="A716" s="4"/>
    </row>
    <row r="717" spans="1:1" x14ac:dyDescent="0.2">
      <c r="A717" s="4"/>
    </row>
    <row r="718" spans="1:1" x14ac:dyDescent="0.2">
      <c r="A718" s="4"/>
    </row>
    <row r="719" spans="1:1" x14ac:dyDescent="0.2">
      <c r="A719" s="4"/>
    </row>
    <row r="720" spans="1:1" x14ac:dyDescent="0.2">
      <c r="A720" s="4"/>
    </row>
    <row r="721" spans="1:1" x14ac:dyDescent="0.2">
      <c r="A721" s="4"/>
    </row>
    <row r="722" spans="1:1" x14ac:dyDescent="0.2">
      <c r="A722" s="4"/>
    </row>
    <row r="723" spans="1:1" x14ac:dyDescent="0.2">
      <c r="A723" s="4"/>
    </row>
    <row r="724" spans="1:1" x14ac:dyDescent="0.2">
      <c r="A724" s="4"/>
    </row>
    <row r="725" spans="1:1" x14ac:dyDescent="0.2">
      <c r="A725" s="4"/>
    </row>
    <row r="726" spans="1:1" x14ac:dyDescent="0.2">
      <c r="A726" s="4"/>
    </row>
    <row r="727" spans="1:1" x14ac:dyDescent="0.2">
      <c r="A727" s="4"/>
    </row>
    <row r="728" spans="1:1" x14ac:dyDescent="0.2">
      <c r="A728" s="4"/>
    </row>
    <row r="729" spans="1:1" x14ac:dyDescent="0.2">
      <c r="A729" s="4"/>
    </row>
    <row r="730" spans="1:1" x14ac:dyDescent="0.2">
      <c r="A730" s="4"/>
    </row>
    <row r="731" spans="1:1" x14ac:dyDescent="0.2">
      <c r="A731" s="4"/>
    </row>
    <row r="732" spans="1:1" x14ac:dyDescent="0.2">
      <c r="A732" s="4"/>
    </row>
    <row r="733" spans="1:1" x14ac:dyDescent="0.2">
      <c r="A733" s="4"/>
    </row>
    <row r="734" spans="1:1" x14ac:dyDescent="0.2">
      <c r="A734" s="4"/>
    </row>
    <row r="735" spans="1:1" x14ac:dyDescent="0.2">
      <c r="A735" s="4"/>
    </row>
    <row r="736" spans="1:1" x14ac:dyDescent="0.2">
      <c r="A736" s="4"/>
    </row>
    <row r="737" spans="1:1" x14ac:dyDescent="0.2">
      <c r="A737" s="4"/>
    </row>
    <row r="738" spans="1:1" x14ac:dyDescent="0.2">
      <c r="A738" s="4"/>
    </row>
    <row r="739" spans="1:1" x14ac:dyDescent="0.2">
      <c r="A739" s="4"/>
    </row>
    <row r="740" spans="1:1" x14ac:dyDescent="0.2">
      <c r="A740" s="4"/>
    </row>
    <row r="741" spans="1:1" x14ac:dyDescent="0.2">
      <c r="A741" s="4"/>
    </row>
    <row r="742" spans="1:1" x14ac:dyDescent="0.2">
      <c r="A742" s="4"/>
    </row>
    <row r="743" spans="1:1" x14ac:dyDescent="0.2">
      <c r="A743" s="4"/>
    </row>
    <row r="744" spans="1:1" x14ac:dyDescent="0.2">
      <c r="A744" s="4"/>
    </row>
    <row r="745" spans="1:1" x14ac:dyDescent="0.2">
      <c r="A745" s="4"/>
    </row>
    <row r="746" spans="1:1" x14ac:dyDescent="0.2">
      <c r="A746" s="4"/>
    </row>
    <row r="747" spans="1:1" x14ac:dyDescent="0.2">
      <c r="A747" s="4"/>
    </row>
    <row r="748" spans="1:1" x14ac:dyDescent="0.2">
      <c r="A748" s="4"/>
    </row>
    <row r="749" spans="1:1" x14ac:dyDescent="0.2">
      <c r="A749" s="4"/>
    </row>
    <row r="750" spans="1:1" x14ac:dyDescent="0.2">
      <c r="A750" s="4"/>
    </row>
    <row r="751" spans="1:1" x14ac:dyDescent="0.2">
      <c r="A751" s="4"/>
    </row>
    <row r="752" spans="1:1" x14ac:dyDescent="0.2">
      <c r="A752" s="4"/>
    </row>
    <row r="753" spans="1:1" x14ac:dyDescent="0.2">
      <c r="A753" s="4"/>
    </row>
    <row r="754" spans="1:1" x14ac:dyDescent="0.2">
      <c r="A754" s="4"/>
    </row>
    <row r="755" spans="1:1" x14ac:dyDescent="0.2">
      <c r="A755" s="4"/>
    </row>
    <row r="756" spans="1:1" x14ac:dyDescent="0.2">
      <c r="A756" s="4"/>
    </row>
    <row r="757" spans="1:1" x14ac:dyDescent="0.2">
      <c r="A757" s="4"/>
    </row>
    <row r="758" spans="1:1" x14ac:dyDescent="0.2">
      <c r="A758" s="4"/>
    </row>
    <row r="759" spans="1:1" x14ac:dyDescent="0.2">
      <c r="A759" s="4"/>
    </row>
    <row r="760" spans="1:1" x14ac:dyDescent="0.2">
      <c r="A760" s="4"/>
    </row>
    <row r="761" spans="1:1" x14ac:dyDescent="0.2">
      <c r="A761" s="4"/>
    </row>
    <row r="762" spans="1:1" x14ac:dyDescent="0.2">
      <c r="A762" s="4"/>
    </row>
    <row r="763" spans="1:1" x14ac:dyDescent="0.2">
      <c r="A763" s="4"/>
    </row>
    <row r="764" spans="1:1" x14ac:dyDescent="0.2">
      <c r="A764" s="4"/>
    </row>
    <row r="765" spans="1:1" x14ac:dyDescent="0.2">
      <c r="A765" s="4"/>
    </row>
    <row r="766" spans="1:1" x14ac:dyDescent="0.2">
      <c r="A766" s="4"/>
    </row>
    <row r="767" spans="1:1" x14ac:dyDescent="0.2">
      <c r="A767" s="4"/>
    </row>
    <row r="768" spans="1:1" x14ac:dyDescent="0.2">
      <c r="A768" s="4"/>
    </row>
    <row r="769" spans="1:1" x14ac:dyDescent="0.2">
      <c r="A769" s="4"/>
    </row>
    <row r="770" spans="1:1" x14ac:dyDescent="0.2">
      <c r="A770" s="4"/>
    </row>
    <row r="771" spans="1:1" x14ac:dyDescent="0.2">
      <c r="A771" s="4"/>
    </row>
    <row r="772" spans="1:1" x14ac:dyDescent="0.2">
      <c r="A772" s="4"/>
    </row>
    <row r="773" spans="1:1" x14ac:dyDescent="0.2">
      <c r="A773" s="4"/>
    </row>
    <row r="774" spans="1:1" x14ac:dyDescent="0.2">
      <c r="A774" s="4"/>
    </row>
    <row r="775" spans="1:1" x14ac:dyDescent="0.2">
      <c r="A775" s="4"/>
    </row>
    <row r="776" spans="1:1" x14ac:dyDescent="0.2">
      <c r="A776" s="4"/>
    </row>
    <row r="777" spans="1:1" x14ac:dyDescent="0.2">
      <c r="A777" s="4"/>
    </row>
    <row r="778" spans="1:1" x14ac:dyDescent="0.2">
      <c r="A778" s="4"/>
    </row>
    <row r="779" spans="1:1" x14ac:dyDescent="0.2">
      <c r="A779" s="4"/>
    </row>
    <row r="780" spans="1:1" x14ac:dyDescent="0.2">
      <c r="A780" s="4"/>
    </row>
    <row r="781" spans="1:1" x14ac:dyDescent="0.2">
      <c r="A781" s="4"/>
    </row>
    <row r="782" spans="1:1" x14ac:dyDescent="0.2">
      <c r="A782" s="4"/>
    </row>
    <row r="783" spans="1:1" x14ac:dyDescent="0.2">
      <c r="A783" s="4"/>
    </row>
    <row r="784" spans="1:1" x14ac:dyDescent="0.2">
      <c r="A784" s="4"/>
    </row>
    <row r="785" spans="1:1" x14ac:dyDescent="0.2">
      <c r="A785" s="4"/>
    </row>
    <row r="786" spans="1:1" x14ac:dyDescent="0.2">
      <c r="A786" s="4"/>
    </row>
    <row r="787" spans="1:1" x14ac:dyDescent="0.2">
      <c r="A787" s="4"/>
    </row>
    <row r="788" spans="1:1" x14ac:dyDescent="0.2">
      <c r="A788" s="4"/>
    </row>
    <row r="789" spans="1:1" x14ac:dyDescent="0.2">
      <c r="A789" s="4"/>
    </row>
    <row r="790" spans="1:1" x14ac:dyDescent="0.2">
      <c r="A790" s="4"/>
    </row>
    <row r="791" spans="1:1" x14ac:dyDescent="0.2">
      <c r="A791" s="4"/>
    </row>
    <row r="792" spans="1:1" x14ac:dyDescent="0.2">
      <c r="A792" s="4"/>
    </row>
    <row r="793" spans="1:1" x14ac:dyDescent="0.2">
      <c r="A793" s="4"/>
    </row>
    <row r="794" spans="1:1" x14ac:dyDescent="0.2">
      <c r="A794" s="4"/>
    </row>
    <row r="795" spans="1:1" x14ac:dyDescent="0.2">
      <c r="A795" s="4"/>
    </row>
    <row r="796" spans="1:1" x14ac:dyDescent="0.2">
      <c r="A796" s="4"/>
    </row>
    <row r="797" spans="1:1" x14ac:dyDescent="0.2">
      <c r="A797" s="4"/>
    </row>
    <row r="798" spans="1:1" x14ac:dyDescent="0.2">
      <c r="A798" s="4"/>
    </row>
    <row r="799" spans="1:1" x14ac:dyDescent="0.2">
      <c r="A799" s="4"/>
    </row>
    <row r="800" spans="1:1" x14ac:dyDescent="0.2">
      <c r="A800" s="4"/>
    </row>
    <row r="801" spans="1:1" x14ac:dyDescent="0.2">
      <c r="A801" s="4"/>
    </row>
    <row r="802" spans="1:1" x14ac:dyDescent="0.2">
      <c r="A802" s="4"/>
    </row>
    <row r="803" spans="1:1" x14ac:dyDescent="0.2">
      <c r="A803" s="4"/>
    </row>
    <row r="804" spans="1:1" x14ac:dyDescent="0.2">
      <c r="A804" s="4"/>
    </row>
    <row r="805" spans="1:1" x14ac:dyDescent="0.2">
      <c r="A805" s="4"/>
    </row>
    <row r="806" spans="1:1" x14ac:dyDescent="0.2">
      <c r="A806" s="4"/>
    </row>
    <row r="807" spans="1:1" x14ac:dyDescent="0.2">
      <c r="A807" s="4"/>
    </row>
    <row r="808" spans="1:1" x14ac:dyDescent="0.2">
      <c r="A808" s="4"/>
    </row>
    <row r="809" spans="1:1" x14ac:dyDescent="0.2">
      <c r="A809" s="4"/>
    </row>
    <row r="810" spans="1:1" x14ac:dyDescent="0.2">
      <c r="A810" s="4"/>
    </row>
    <row r="811" spans="1:1" x14ac:dyDescent="0.2">
      <c r="A811" s="4"/>
    </row>
    <row r="812" spans="1:1" x14ac:dyDescent="0.2">
      <c r="A812" s="4"/>
    </row>
    <row r="813" spans="1:1" x14ac:dyDescent="0.2">
      <c r="A813" s="4"/>
    </row>
    <row r="814" spans="1:1" x14ac:dyDescent="0.2">
      <c r="A814" s="4"/>
    </row>
    <row r="815" spans="1:1" x14ac:dyDescent="0.2">
      <c r="A815" s="4"/>
    </row>
    <row r="816" spans="1:1" x14ac:dyDescent="0.2">
      <c r="A816" s="4"/>
    </row>
    <row r="817" spans="1:1" x14ac:dyDescent="0.2">
      <c r="A817" s="4"/>
    </row>
    <row r="818" spans="1:1" x14ac:dyDescent="0.2">
      <c r="A818" s="4"/>
    </row>
    <row r="819" spans="1:1" x14ac:dyDescent="0.2">
      <c r="A819" s="4"/>
    </row>
    <row r="820" spans="1:1" x14ac:dyDescent="0.2">
      <c r="A820" s="4"/>
    </row>
    <row r="821" spans="1:1" x14ac:dyDescent="0.2">
      <c r="A821" s="4"/>
    </row>
    <row r="822" spans="1:1" x14ac:dyDescent="0.2">
      <c r="A822" s="4"/>
    </row>
    <row r="823" spans="1:1" x14ac:dyDescent="0.2">
      <c r="A823" s="4"/>
    </row>
    <row r="824" spans="1:1" x14ac:dyDescent="0.2">
      <c r="A824" s="4"/>
    </row>
    <row r="825" spans="1:1" x14ac:dyDescent="0.2">
      <c r="A825" s="4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  <row r="890" spans="1:1" x14ac:dyDescent="0.2">
      <c r="A890" s="4"/>
    </row>
    <row r="891" spans="1:1" x14ac:dyDescent="0.2">
      <c r="A891" s="4"/>
    </row>
    <row r="892" spans="1:1" x14ac:dyDescent="0.2">
      <c r="A892" s="4"/>
    </row>
    <row r="893" spans="1:1" x14ac:dyDescent="0.2">
      <c r="A893" s="4"/>
    </row>
    <row r="894" spans="1:1" x14ac:dyDescent="0.2">
      <c r="A894" s="4"/>
    </row>
    <row r="895" spans="1:1" x14ac:dyDescent="0.2">
      <c r="A895" s="4"/>
    </row>
    <row r="896" spans="1:1" x14ac:dyDescent="0.2">
      <c r="A896" s="4"/>
    </row>
    <row r="897" spans="1:1" x14ac:dyDescent="0.2">
      <c r="A897" s="4"/>
    </row>
    <row r="898" spans="1:1" x14ac:dyDescent="0.2">
      <c r="A898" s="4"/>
    </row>
    <row r="899" spans="1:1" x14ac:dyDescent="0.2">
      <c r="A899" s="4"/>
    </row>
    <row r="900" spans="1:1" x14ac:dyDescent="0.2">
      <c r="A900" s="4"/>
    </row>
    <row r="901" spans="1:1" x14ac:dyDescent="0.2">
      <c r="A901" s="4"/>
    </row>
    <row r="902" spans="1:1" x14ac:dyDescent="0.2">
      <c r="A902" s="4"/>
    </row>
    <row r="903" spans="1:1" x14ac:dyDescent="0.2">
      <c r="A903" s="4"/>
    </row>
    <row r="904" spans="1:1" x14ac:dyDescent="0.2">
      <c r="A904" s="4"/>
    </row>
    <row r="905" spans="1:1" x14ac:dyDescent="0.2">
      <c r="A905" s="4"/>
    </row>
    <row r="906" spans="1:1" x14ac:dyDescent="0.2">
      <c r="A906" s="4"/>
    </row>
    <row r="907" spans="1:1" x14ac:dyDescent="0.2">
      <c r="A907" s="4"/>
    </row>
    <row r="908" spans="1:1" x14ac:dyDescent="0.2">
      <c r="A908" s="4"/>
    </row>
    <row r="909" spans="1:1" x14ac:dyDescent="0.2">
      <c r="A909" s="4"/>
    </row>
    <row r="910" spans="1:1" x14ac:dyDescent="0.2">
      <c r="A910" s="4"/>
    </row>
    <row r="911" spans="1:1" x14ac:dyDescent="0.2">
      <c r="A911" s="4"/>
    </row>
    <row r="912" spans="1:1" x14ac:dyDescent="0.2">
      <c r="A912" s="4"/>
    </row>
    <row r="913" spans="1:1" x14ac:dyDescent="0.2">
      <c r="A913" s="4"/>
    </row>
    <row r="914" spans="1:1" x14ac:dyDescent="0.2">
      <c r="A914" s="4"/>
    </row>
    <row r="915" spans="1:1" x14ac:dyDescent="0.2">
      <c r="A915" s="4"/>
    </row>
    <row r="916" spans="1:1" x14ac:dyDescent="0.2">
      <c r="A916" s="4"/>
    </row>
    <row r="917" spans="1:1" x14ac:dyDescent="0.2">
      <c r="A917" s="4"/>
    </row>
    <row r="918" spans="1:1" x14ac:dyDescent="0.2">
      <c r="A918" s="4"/>
    </row>
    <row r="919" spans="1:1" x14ac:dyDescent="0.2">
      <c r="A919" s="4"/>
    </row>
    <row r="920" spans="1:1" x14ac:dyDescent="0.2">
      <c r="A920" s="4"/>
    </row>
    <row r="921" spans="1:1" x14ac:dyDescent="0.2">
      <c r="A921" s="4"/>
    </row>
    <row r="922" spans="1:1" x14ac:dyDescent="0.2">
      <c r="A922" s="4"/>
    </row>
    <row r="923" spans="1:1" x14ac:dyDescent="0.2">
      <c r="A923" s="4"/>
    </row>
    <row r="924" spans="1:1" x14ac:dyDescent="0.2">
      <c r="A924" s="4"/>
    </row>
    <row r="925" spans="1:1" x14ac:dyDescent="0.2">
      <c r="A925" s="4"/>
    </row>
    <row r="926" spans="1:1" x14ac:dyDescent="0.2">
      <c r="A926" s="4"/>
    </row>
    <row r="927" spans="1:1" x14ac:dyDescent="0.2">
      <c r="A927" s="4"/>
    </row>
    <row r="928" spans="1:1" x14ac:dyDescent="0.2">
      <c r="A928" s="4"/>
    </row>
    <row r="929" spans="1:1" x14ac:dyDescent="0.2">
      <c r="A929" s="4"/>
    </row>
    <row r="930" spans="1:1" x14ac:dyDescent="0.2">
      <c r="A930" s="4"/>
    </row>
    <row r="931" spans="1:1" x14ac:dyDescent="0.2">
      <c r="A931" s="4"/>
    </row>
    <row r="932" spans="1:1" x14ac:dyDescent="0.2">
      <c r="A932" s="4"/>
    </row>
    <row r="933" spans="1:1" x14ac:dyDescent="0.2">
      <c r="A933" s="4"/>
    </row>
    <row r="934" spans="1:1" x14ac:dyDescent="0.2">
      <c r="A934" s="4"/>
    </row>
    <row r="935" spans="1:1" x14ac:dyDescent="0.2">
      <c r="A935" s="4"/>
    </row>
    <row r="936" spans="1:1" x14ac:dyDescent="0.2">
      <c r="A936" s="4"/>
    </row>
    <row r="937" spans="1:1" x14ac:dyDescent="0.2">
      <c r="A937" s="4"/>
    </row>
    <row r="938" spans="1:1" x14ac:dyDescent="0.2">
      <c r="A938" s="4"/>
    </row>
    <row r="939" spans="1:1" x14ac:dyDescent="0.2">
      <c r="A939" s="4"/>
    </row>
    <row r="940" spans="1:1" x14ac:dyDescent="0.2">
      <c r="A940" s="4"/>
    </row>
    <row r="941" spans="1:1" x14ac:dyDescent="0.2">
      <c r="A941" s="4"/>
    </row>
    <row r="942" spans="1:1" x14ac:dyDescent="0.2">
      <c r="A942" s="4"/>
    </row>
    <row r="943" spans="1:1" x14ac:dyDescent="0.2">
      <c r="A943" s="4"/>
    </row>
    <row r="944" spans="1:1" x14ac:dyDescent="0.2">
      <c r="A944" s="4"/>
    </row>
    <row r="945" spans="1:1" x14ac:dyDescent="0.2">
      <c r="A945" s="4"/>
    </row>
    <row r="946" spans="1:1" x14ac:dyDescent="0.2">
      <c r="A946" s="4"/>
    </row>
    <row r="947" spans="1:1" x14ac:dyDescent="0.2">
      <c r="A947" s="4"/>
    </row>
    <row r="948" spans="1:1" x14ac:dyDescent="0.2">
      <c r="A948" s="4"/>
    </row>
    <row r="949" spans="1:1" x14ac:dyDescent="0.2">
      <c r="A949" s="4"/>
    </row>
    <row r="950" spans="1:1" x14ac:dyDescent="0.2">
      <c r="A950" s="4"/>
    </row>
    <row r="951" spans="1:1" x14ac:dyDescent="0.2">
      <c r="A951" s="4"/>
    </row>
    <row r="952" spans="1:1" x14ac:dyDescent="0.2">
      <c r="A952" s="4"/>
    </row>
    <row r="953" spans="1:1" x14ac:dyDescent="0.2">
      <c r="A953" s="4"/>
    </row>
    <row r="954" spans="1:1" x14ac:dyDescent="0.2">
      <c r="A954" s="4"/>
    </row>
    <row r="955" spans="1:1" x14ac:dyDescent="0.2">
      <c r="A955" s="4"/>
    </row>
    <row r="956" spans="1:1" x14ac:dyDescent="0.2">
      <c r="A956" s="4"/>
    </row>
    <row r="957" spans="1:1" x14ac:dyDescent="0.2">
      <c r="A957" s="4"/>
    </row>
    <row r="958" spans="1:1" x14ac:dyDescent="0.2">
      <c r="A958" s="4"/>
    </row>
    <row r="959" spans="1:1" x14ac:dyDescent="0.2">
      <c r="A959" s="4"/>
    </row>
    <row r="960" spans="1:1" x14ac:dyDescent="0.2">
      <c r="A960" s="4"/>
    </row>
    <row r="961" spans="1:1" x14ac:dyDescent="0.2">
      <c r="A961" s="4"/>
    </row>
    <row r="962" spans="1:1" x14ac:dyDescent="0.2">
      <c r="A962" s="4"/>
    </row>
    <row r="963" spans="1:1" x14ac:dyDescent="0.2">
      <c r="A963" s="4"/>
    </row>
    <row r="964" spans="1:1" x14ac:dyDescent="0.2">
      <c r="A964" s="4"/>
    </row>
    <row r="965" spans="1:1" x14ac:dyDescent="0.2">
      <c r="A965" s="4"/>
    </row>
    <row r="966" spans="1:1" x14ac:dyDescent="0.2">
      <c r="A966" s="4"/>
    </row>
    <row r="967" spans="1:1" x14ac:dyDescent="0.2">
      <c r="A967" s="4"/>
    </row>
    <row r="968" spans="1:1" x14ac:dyDescent="0.2">
      <c r="A968" s="4"/>
    </row>
    <row r="969" spans="1:1" x14ac:dyDescent="0.2">
      <c r="A969" s="4"/>
    </row>
    <row r="970" spans="1:1" x14ac:dyDescent="0.2">
      <c r="A970" s="4"/>
    </row>
    <row r="971" spans="1:1" x14ac:dyDescent="0.2">
      <c r="A971" s="4"/>
    </row>
    <row r="972" spans="1:1" x14ac:dyDescent="0.2">
      <c r="A972" s="4"/>
    </row>
    <row r="973" spans="1:1" x14ac:dyDescent="0.2">
      <c r="A973" s="4"/>
    </row>
    <row r="974" spans="1:1" x14ac:dyDescent="0.2">
      <c r="A974" s="4"/>
    </row>
    <row r="975" spans="1:1" x14ac:dyDescent="0.2">
      <c r="A975" s="4"/>
    </row>
    <row r="976" spans="1:1" x14ac:dyDescent="0.2">
      <c r="A976" s="4"/>
    </row>
    <row r="977" spans="1:1" x14ac:dyDescent="0.2">
      <c r="A977" s="4"/>
    </row>
    <row r="978" spans="1:1" x14ac:dyDescent="0.2">
      <c r="A978" s="4"/>
    </row>
    <row r="979" spans="1:1" x14ac:dyDescent="0.2">
      <c r="A979" s="4"/>
    </row>
    <row r="980" spans="1:1" x14ac:dyDescent="0.2">
      <c r="A980" s="4"/>
    </row>
    <row r="981" spans="1:1" x14ac:dyDescent="0.2">
      <c r="A981" s="4"/>
    </row>
    <row r="982" spans="1:1" x14ac:dyDescent="0.2">
      <c r="A982" s="4"/>
    </row>
    <row r="983" spans="1:1" x14ac:dyDescent="0.2">
      <c r="A983" s="4"/>
    </row>
    <row r="984" spans="1:1" x14ac:dyDescent="0.2">
      <c r="A984" s="4"/>
    </row>
    <row r="985" spans="1:1" x14ac:dyDescent="0.2">
      <c r="A985" s="4"/>
    </row>
    <row r="986" spans="1:1" x14ac:dyDescent="0.2">
      <c r="A986" s="4"/>
    </row>
    <row r="987" spans="1:1" x14ac:dyDescent="0.2">
      <c r="A987" s="4"/>
    </row>
    <row r="988" spans="1:1" x14ac:dyDescent="0.2">
      <c r="A988" s="4"/>
    </row>
    <row r="989" spans="1:1" x14ac:dyDescent="0.2">
      <c r="A989" s="4"/>
    </row>
    <row r="990" spans="1:1" x14ac:dyDescent="0.2">
      <c r="A990" s="4"/>
    </row>
    <row r="991" spans="1:1" x14ac:dyDescent="0.2">
      <c r="A991" s="4"/>
    </row>
    <row r="992" spans="1:1" x14ac:dyDescent="0.2">
      <c r="A992" s="4"/>
    </row>
    <row r="993" spans="1:1" x14ac:dyDescent="0.2">
      <c r="A993" s="4"/>
    </row>
    <row r="994" spans="1:1" x14ac:dyDescent="0.2">
      <c r="A994" s="4"/>
    </row>
    <row r="995" spans="1:1" x14ac:dyDescent="0.2">
      <c r="A995" s="4"/>
    </row>
    <row r="996" spans="1:1" x14ac:dyDescent="0.2">
      <c r="A996" s="4"/>
    </row>
    <row r="997" spans="1:1" x14ac:dyDescent="0.2">
      <c r="A997" s="4"/>
    </row>
    <row r="998" spans="1:1" x14ac:dyDescent="0.2">
      <c r="A998" s="4"/>
    </row>
    <row r="999" spans="1:1" x14ac:dyDescent="0.2">
      <c r="A999" s="4"/>
    </row>
    <row r="1000" spans="1:1" x14ac:dyDescent="0.2">
      <c r="A1000" s="4"/>
    </row>
    <row r="1001" spans="1:1" x14ac:dyDescent="0.2">
      <c r="A1001" s="4"/>
    </row>
    <row r="1002" spans="1:1" x14ac:dyDescent="0.2">
      <c r="A1002" s="4"/>
    </row>
    <row r="1003" spans="1:1" x14ac:dyDescent="0.2">
      <c r="A1003" s="4"/>
    </row>
    <row r="1004" spans="1:1" x14ac:dyDescent="0.2">
      <c r="A1004" s="4"/>
    </row>
    <row r="1005" spans="1:1" x14ac:dyDescent="0.2">
      <c r="A1005" s="4"/>
    </row>
    <row r="1006" spans="1:1" x14ac:dyDescent="0.2">
      <c r="A1006" s="4"/>
    </row>
    <row r="1007" spans="1:1" x14ac:dyDescent="0.2">
      <c r="A1007" s="4"/>
    </row>
    <row r="1008" spans="1:1" x14ac:dyDescent="0.2">
      <c r="A1008" s="4"/>
    </row>
    <row r="1009" spans="1:1" x14ac:dyDescent="0.2">
      <c r="A1009" s="4"/>
    </row>
    <row r="1010" spans="1:1" x14ac:dyDescent="0.2">
      <c r="A1010" s="4"/>
    </row>
  </sheetData>
  <conditionalFormatting sqref="N1:N2 K1:K2 K85:K1010 N85:N1010">
    <cfRule type="cellIs" dxfId="13" priority="8" operator="lessThan">
      <formula>42</formula>
    </cfRule>
    <cfRule type="cellIs" dxfId="12" priority="9" operator="greaterThanOrEqual">
      <formula>42</formula>
    </cfRule>
  </conditionalFormatting>
  <conditionalFormatting sqref="R13">
    <cfRule type="cellIs" dxfId="11" priority="6" operator="lessThan">
      <formula>0.42</formula>
    </cfRule>
  </conditionalFormatting>
  <conditionalFormatting sqref="K3:K84">
    <cfRule type="cellIs" dxfId="5" priority="2" operator="lessThan">
      <formula>0.42</formula>
    </cfRule>
  </conditionalFormatting>
  <conditionalFormatting sqref="N3:N84">
    <cfRule type="cellIs" dxfId="0" priority="1" operator="lessThan">
      <formula>0.42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clark</cp:lastModifiedBy>
  <dcterms:created xsi:type="dcterms:W3CDTF">2024-08-13T20:57:39Z</dcterms:created>
  <dcterms:modified xsi:type="dcterms:W3CDTF">2024-08-14T20:24:21Z</dcterms:modified>
</cp:coreProperties>
</file>