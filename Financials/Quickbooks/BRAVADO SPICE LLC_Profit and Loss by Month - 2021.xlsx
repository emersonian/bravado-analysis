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13" i="1" l="1"/>
</calcChain>
</file>

<file path=xl/sharedStrings.xml><?xml version="1.0" encoding="utf-8"?>
<sst xmlns="http://schemas.openxmlformats.org/spreadsheetml/2006/main" count="126" uniqueCount="125">
  <si>
    <t>BRAVADO SPICE LLC</t>
  </si>
  <si>
    <t>Profit and Loss by Month</t>
  </si>
  <si>
    <t>January 1-December 31, 2021</t>
  </si>
  <si>
    <t>Income</t>
  </si>
  <si>
    <t>61000 Sales</t>
  </si>
  <si>
    <t>61200 Hot Sauce</t>
  </si>
  <si>
    <t>61210 Pineapple &amp; Habanero Hot Sauce</t>
  </si>
  <si>
    <t>61215 Garlic &amp; Arbol Moruga Scorpion Hot Sauce</t>
  </si>
  <si>
    <t>61220 Jalapeno &amp; Green Apple Hot Sauce</t>
  </si>
  <si>
    <t>61225 Ancho Masala Ghost-Reaper Hot Sauce</t>
  </si>
  <si>
    <t>61230 Ghost Pepper &amp; Blueberry Hot Sauce</t>
  </si>
  <si>
    <t>61240 Crimson Hot Sauce</t>
  </si>
  <si>
    <t>61250 Crimson Special Reserve</t>
  </si>
  <si>
    <t>61260 Serrano &amp; Basil Hot Sauce</t>
  </si>
  <si>
    <t>61270 Black Garlic &amp; Carolina Reaper Hot Sauce</t>
  </si>
  <si>
    <t>61280 Creamy Herb &amp; Jalapeño Hot Sauce</t>
  </si>
  <si>
    <t>61290 Aka Miso Ghost-Reaper Hot Sauce</t>
  </si>
  <si>
    <t>Total for 61200 Hot Sauce</t>
  </si>
  <si>
    <t>61300 Seasonings</t>
  </si>
  <si>
    <t>61310 Jalapeno &amp; Garlic Seasoning</t>
  </si>
  <si>
    <t>61320 Crimson Seasonings</t>
  </si>
  <si>
    <t>Total for 61300 Seasonings</t>
  </si>
  <si>
    <t>61400 Mixers</t>
  </si>
  <si>
    <t>61410 Pineapple &amp; Jalapeno &amp; Margarita Mix</t>
  </si>
  <si>
    <t>61420 Ruby Red Grapefruit Margarita Mix</t>
  </si>
  <si>
    <t>61430 Lime &amp; Yuzu Margarita Mix</t>
  </si>
  <si>
    <t>Total for 61400 Mixers</t>
  </si>
  <si>
    <t>61500 Sets</t>
  </si>
  <si>
    <t>64000 Online Sales</t>
  </si>
  <si>
    <t>65000 Amazon Seller Central Sales</t>
  </si>
  <si>
    <t>65100 Amazon US Market Sales</t>
  </si>
  <si>
    <t>Total for 65000 Amazon Seller Central Sales</t>
  </si>
  <si>
    <t>Total for 61000 Sales</t>
  </si>
  <si>
    <t>66000 Other Income</t>
  </si>
  <si>
    <t>Total for Income</t>
  </si>
  <si>
    <t>Cost of Goods Sold</t>
  </si>
  <si>
    <t>71000 Cost of Sales (COS)</t>
  </si>
  <si>
    <t>71100 Shipping &amp; Delivery - COS</t>
  </si>
  <si>
    <t>71300 Ingredients - COS</t>
  </si>
  <si>
    <t>71400 Co-Packer - COGS</t>
  </si>
  <si>
    <t>71500 Materials - COS</t>
  </si>
  <si>
    <t>71600 Placement/Freefill - COS</t>
  </si>
  <si>
    <t>Expiration Allowance</t>
  </si>
  <si>
    <t>Inventory Shrinkage</t>
  </si>
  <si>
    <t>Marketing Allowance</t>
  </si>
  <si>
    <t>On-Invoice Discounts</t>
  </si>
  <si>
    <t>Pass Thru Deduction</t>
  </si>
  <si>
    <t>QuickBooks Payments Fees</t>
  </si>
  <si>
    <t>Spoilage Allowance</t>
  </si>
  <si>
    <t>Swell Discount</t>
  </si>
  <si>
    <t>Total for 71000 Cost of Sales (COS)</t>
  </si>
  <si>
    <t>Total for Cost of Goods Sold</t>
  </si>
  <si>
    <t>Gross Profit</t>
  </si>
  <si>
    <t>Expenses</t>
  </si>
  <si>
    <t>72000 Marketing/Advertising</t>
  </si>
  <si>
    <t>72100 Freight &amp; Delivery - Marketing</t>
  </si>
  <si>
    <t>72200 Social Media Marketing</t>
  </si>
  <si>
    <t>72300 Promotional</t>
  </si>
  <si>
    <t>72400 Travel</t>
  </si>
  <si>
    <t>72500 Events/Shows</t>
  </si>
  <si>
    <t>72600 In Store Marketing</t>
  </si>
  <si>
    <t>72601 Marketing Scanbacks</t>
  </si>
  <si>
    <t>Total for 72600 In Store Marketing</t>
  </si>
  <si>
    <t>72700 Website/Design</t>
  </si>
  <si>
    <t>Total for 72000 Marketing/Advertising</t>
  </si>
  <si>
    <t>73000 Overhead Expenses (G&amp;A)</t>
  </si>
  <si>
    <t>73100 Rent or Lease</t>
  </si>
  <si>
    <t>73110 Office Rent</t>
  </si>
  <si>
    <t>Total for 73100 Rent or Lease</t>
  </si>
  <si>
    <t>73200 Office Expenses</t>
  </si>
  <si>
    <t>73210 Shipping Supplies</t>
  </si>
  <si>
    <t>73220 Food Expense</t>
  </si>
  <si>
    <t>Total for 73200 Office Expenses</t>
  </si>
  <si>
    <t>73300 Utilities</t>
  </si>
  <si>
    <t>73400 Financial Fees</t>
  </si>
  <si>
    <t>73410 Bank Fees</t>
  </si>
  <si>
    <t>73420 Credit Card Fees</t>
  </si>
  <si>
    <t>73450 Interest Expense</t>
  </si>
  <si>
    <t>Total for 73400 Financial Fees</t>
  </si>
  <si>
    <t>73500 Dues &amp; Subscriptions</t>
  </si>
  <si>
    <t>73600 Insurance</t>
  </si>
  <si>
    <t>73620 Insurance - Liability</t>
  </si>
  <si>
    <t>73640 Insurance - Health</t>
  </si>
  <si>
    <t>Total for 73600 Insurance</t>
  </si>
  <si>
    <t>73700 Professional Fees</t>
  </si>
  <si>
    <t>73800 Taxes &amp; Licenses</t>
  </si>
  <si>
    <t>73900 1099 Non-Employee Compensation</t>
  </si>
  <si>
    <t>73910 Payroll Expenses</t>
  </si>
  <si>
    <t>73901 Payroll Taxes</t>
  </si>
  <si>
    <t>73902 Salaries &amp; Wages</t>
  </si>
  <si>
    <t>Total for 73910 Payroll Expenses</t>
  </si>
  <si>
    <t>Total for 73000 Overhead Expenses (G&amp;A)</t>
  </si>
  <si>
    <t>75000 Travel</t>
  </si>
  <si>
    <t>75500 Reimbursements</t>
  </si>
  <si>
    <t>76000 Repair &amp; Maintenance</t>
  </si>
  <si>
    <t>Charitable Contributions</t>
  </si>
  <si>
    <t>Melio Credit card fee</t>
  </si>
  <si>
    <t>Sales Tax Expense</t>
  </si>
  <si>
    <t>Total for Expenses</t>
  </si>
  <si>
    <t>Net Operating Income</t>
  </si>
  <si>
    <t>Other Income</t>
  </si>
  <si>
    <t>80000 Interest Earned</t>
  </si>
  <si>
    <t>Tax Exempt Income</t>
  </si>
  <si>
    <t>Total for Other Income</t>
  </si>
  <si>
    <t>Other Expenses</t>
  </si>
  <si>
    <t>90000 Other Miscellaneous Expense</t>
  </si>
  <si>
    <t>Depreciation</t>
  </si>
  <si>
    <t>Total for Other Expenses</t>
  </si>
  <si>
    <t>Net Other Income</t>
  </si>
  <si>
    <t>Net Income</t>
  </si>
  <si>
    <t/>
  </si>
  <si>
    <t>Jan 2021</t>
  </si>
  <si>
    <t>Feb 2021</t>
  </si>
  <si>
    <t>Mar 2021</t>
  </si>
  <si>
    <t>Apr 2021</t>
  </si>
  <si>
    <t>May 2021</t>
  </si>
  <si>
    <t>Jun 2021</t>
  </si>
  <si>
    <t>Jul 2021</t>
  </si>
  <si>
    <t>Aug 2021</t>
  </si>
  <si>
    <t>Sep 2021</t>
  </si>
  <si>
    <t>Oct 2021</t>
  </si>
  <si>
    <t>Nov 2021</t>
  </si>
  <si>
    <t>Dec 2021</t>
  </si>
  <si>
    <t>Total</t>
  </si>
  <si>
    <t>Accrual Basis Tuesday, August 25, 2026 03:25 PM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</si>
</sst>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&quot;$&quot;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53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178" fontId="0" fillId="0" borderId="0" xfId="0" applyNumberFormat="1"/>
    <xf numFmtId="178" fontId="3" fillId="0" borderId="0" xfId="0" applyNumberFormat="1" applyFont="1"/>
    <xf numFmtId="0" fontId="0" fillId="0" borderId="0" xfId="0" applyAlignment="1">
      <alignment horizontal="left" indent="2"/>
    </xf>
    <xf numFmtId="0" fontId="3" fillId="0" borderId="0" xfId="0" applyFont="1" applyAlignment="1">
      <alignment horizontal="left" indent="2"/>
    </xf>
    <xf numFmtId="0" fontId="0" fillId="0" borderId="0" xfId="0" applyAlignment="1">
      <alignment horizontal="left" indent="3"/>
    </xf>
    <xf numFmtId="0" fontId="3" fillId="0" borderId="0" xfId="0" applyFont="1" applyAlignment="1">
      <alignment horizontal="left" indent="3"/>
    </xf>
    <xf numFmtId="0" fontId="2" fillId="0" borderId="0" xfId="0" applyFont="1" applyAlignment="1">
      <alignment horizontal="left" indent="2"/>
    </xf>
    <xf numFmtId="0" fontId="5" fillId="0" borderId="0" xfId="0" applyFont="1" applyAlignment="1">
      <alignment horizontal="left" indent="2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5" fillId="0" borderId="2" xfId="0" applyNumberFormat="1" applyFont="1" applyBorder="1"/>
    <xf numFmtId="178" fontId="2" fillId="0" borderId="0" xfId="0" applyNumberFormat="1" applyFont="1"/>
    <xf numFmtId="178" fontId="2" fillId="0" borderId="2" xfId="0" applyNumberFormat="1" applyFont="1" applyBorder="1"/>
    <xf numFmtId="178" fontId="5" fillId="0" borderId="2" xfId="0" applyNumberFormat="1" applyFont="1" applyBorder="1"/>
    <xf numFmtId="0" fontId="2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177" fontId="3" fillId="0" borderId="0" xfId="0" applyNumberFormat="1" applyFont="1"/>
    <xf numFmtId="0" fontId="2" fillId="0" borderId="1" xfId="20">
      <alignment/>
      <protection/>
    </xf>
    <xf numFmtId="0" fontId="4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4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1"/>
    </xf>
    <xf numFmtId="0" fontId="3" fillId="0" borderId="0" xfId="0" applyFont="1" applyAlignment="1">
      <alignment horizontal="left" wrapText="1" indent="2"/>
    </xf>
    <xf numFmtId="0" fontId="3" fillId="0" borderId="0" xfId="0" applyFont="1" applyAlignment="1">
      <alignment horizontal="left" wrapText="1" indent="3"/>
    </xf>
    <xf numFmtId="0" fontId="5" fillId="0" borderId="0" xfId="0" applyFont="1" applyAlignment="1">
      <alignment horizontal="left" wrapText="1" indent="2"/>
    </xf>
    <xf numFmtId="0" fontId="5" fillId="0" borderId="0" xfId="0" applyFont="1" applyAlignment="1">
      <alignment horizontal="left" wrapText="1" indent="1"/>
    </xf>
    <xf numFmtId="0" fontId="5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4" fillId="0" borderId="1" xfId="20" applyFont="1" applyBorder="1" applyAlignment="1">
      <alignment wrapText="1"/>
      <protection/>
    </xf>
    <xf numFmtId="0" fontId="4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178" fontId="3" fillId="0" borderId="0" xfId="0" applyNumberFormat="1" applyFont="1" applyAlignment="1">
      <alignment wrapText="1"/>
    </xf>
    <xf numFmtId="178" fontId="5" fillId="0" borderId="2" xfId="0" applyNumberFormat="1" applyFont="1" applyBorder="1" applyAlignment="1">
      <alignment wrapText="1"/>
    </xf>
    <xf numFmtId="177" fontId="3" fillId="0" borderId="0" xfId="0" applyNumberFormat="1" applyFont="1" applyAlignment="1">
      <alignment wrapText="1"/>
    </xf>
    <xf numFmtId="177" fontId="5" fillId="0" borderId="2" xfId="0" applyNumberFormat="1" applyFont="1" applyBorder="1" applyAlignment="1">
      <alignment wrapText="1"/>
    </xf>
    <xf numFmtId="0" fontId="4" fillId="0" borderId="1" xfId="20" applyFont="1" applyAlignment="1">
      <alignment horizontal="center" wrapText="1"/>
      <protection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N117"/>
  <sheetViews>
    <sheetView tabSelected="1" workbookViewId="0" topLeftCell="A1"/>
  </sheetViews>
  <sheetFormatPr defaultColWidth="11.255" defaultRowHeight="16"/>
  <cols>
    <col min="1" max="1" width="40.125" style="43" customWidth="1"/>
    <col min="2" max="2" width="15.25" style="43" customWidth="1"/>
    <col min="3" max="4" width="16.125" style="43" customWidth="1"/>
    <col min="5" max="6" width="17" style="43" customWidth="1"/>
    <col min="7" max="7" width="16.125" style="43" customWidth="1"/>
    <col min="8" max="8" width="17" style="43" customWidth="1"/>
    <col min="9" max="9" width="16.125" style="43" customWidth="1"/>
    <col min="10" max="10" width="17" style="43" customWidth="1"/>
    <col min="11" max="14" width="16.125" style="43" customWidth="1"/>
  </cols>
  <sheetData>
    <row r="1" spans="1:1" ht="16">
      <c r="A1" s="32" t="s">
        <v>0</v>
      </c>
    </row>
    <row r="2" spans="1:1" ht="16">
      <c r="A2" s="33" t="s">
        <v>1</v>
      </c>
    </row>
    <row r="3" spans="1:1" ht="16">
      <c r="A3" s="34" t="s">
        <v>2</v>
      </c>
    </row>
    <row r="5" spans="1:14" ht="16">
      <c r="A5" s="45" t="s">
        <v>110</v>
      </c>
      <c r="B5" s="51" t="s">
        <v>111</v>
      </c>
      <c r="C5" s="51" t="s">
        <v>112</v>
      </c>
      <c r="D5" s="51" t="s">
        <v>113</v>
      </c>
      <c r="E5" s="51" t="s">
        <v>114</v>
      </c>
      <c r="F5" s="51" t="s">
        <v>115</v>
      </c>
      <c r="G5" s="51" t="s">
        <v>116</v>
      </c>
      <c r="H5" s="51" t="s">
        <v>117</v>
      </c>
      <c r="I5" s="51" t="s">
        <v>118</v>
      </c>
      <c r="J5" s="51" t="s">
        <v>119</v>
      </c>
      <c r="K5" s="51" t="s">
        <v>120</v>
      </c>
      <c r="L5" s="51" t="s">
        <v>121</v>
      </c>
      <c r="M5" s="51" t="s">
        <v>122</v>
      </c>
      <c r="N5" s="51" t="s">
        <v>123</v>
      </c>
    </row>
    <row r="6" spans="1:13" ht="16">
      <c r="A6" s="36" t="s">
        <v>3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</row>
    <row r="7" spans="1:14" ht="16">
      <c r="A7" s="37" t="s">
        <v>4</v>
      </c>
      <c r="B7" s="47">
        <v>0</v>
      </c>
      <c r="C7" s="47">
        <v>-49.0</v>
      </c>
      <c r="D7" s="46"/>
      <c r="E7" s="47">
        <v>-84.0</v>
      </c>
      <c r="F7" s="47">
        <v>-49.0</v>
      </c>
      <c r="G7" s="47">
        <v>-49.0</v>
      </c>
      <c r="H7" s="46"/>
      <c r="I7" s="46"/>
      <c r="J7" s="47">
        <v>-141.2</v>
      </c>
      <c r="K7" s="47">
        <v>-22.32</v>
      </c>
      <c r="L7" s="46"/>
      <c r="M7" s="46"/>
      <c r="N7" s="47">
        <f>B7+C7+D7+E7+F7+G7+H7+I7+J7+K7+L7+M7</f>
        <v>-394.52</v>
      </c>
    </row>
    <row r="8" spans="1:14" ht="16">
      <c r="A8" s="38" t="s">
        <v>5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</row>
    <row r="9" spans="1:14" ht="16">
      <c r="A9" s="39" t="s">
        <v>6</v>
      </c>
      <c r="B9" s="47">
        <v>24076.68</v>
      </c>
      <c r="C9" s="47">
        <v>13635.04</v>
      </c>
      <c r="D9" s="47">
        <v>22078.92</v>
      </c>
      <c r="E9" s="47">
        <v>17572.96</v>
      </c>
      <c r="F9" s="47">
        <v>23216.02</v>
      </c>
      <c r="G9" s="47">
        <v>25556.26</v>
      </c>
      <c r="H9" s="47">
        <v>19402.84</v>
      </c>
      <c r="I9" s="47">
        <v>13363.68</v>
      </c>
      <c r="J9" s="47">
        <v>11204.42</v>
      </c>
      <c r="K9" s="47">
        <v>39349.08</v>
      </c>
      <c r="L9" s="47">
        <v>54558.16</v>
      </c>
      <c r="M9" s="47">
        <v>36108.96</v>
      </c>
      <c r="N9" s="47">
        <f>B9+C9+D9+E9+F9+G9+H9+I9+J9+K9+L9+M9</f>
        <v>300123.0200000001</v>
      </c>
    </row>
    <row r="10" spans="1:14" ht="16">
      <c r="A10" s="39" t="s">
        <v>7</v>
      </c>
      <c r="B10" s="47">
        <v>16618.8</v>
      </c>
      <c r="C10" s="47">
        <v>3648.84</v>
      </c>
      <c r="D10" s="47">
        <v>6315.48</v>
      </c>
      <c r="E10" s="47">
        <v>9220.92</v>
      </c>
      <c r="F10" s="47">
        <v>15246.24</v>
      </c>
      <c r="G10" s="47">
        <v>6778.52</v>
      </c>
      <c r="H10" s="47">
        <v>9938.66</v>
      </c>
      <c r="I10" s="47">
        <v>3775.5</v>
      </c>
      <c r="J10" s="47">
        <v>4235.28</v>
      </c>
      <c r="K10" s="47">
        <v>7311.78</v>
      </c>
      <c r="L10" s="47">
        <v>8236.28</v>
      </c>
      <c r="M10" s="47">
        <v>3637.44</v>
      </c>
      <c r="N10" s="47">
        <f>B10+C10+D10+E10+F10+G10+H10+I10+J10+K10+L10+M10</f>
        <v>94963.74</v>
      </c>
    </row>
    <row r="11" spans="1:14" ht="16">
      <c r="A11" s="39" t="s">
        <v>8</v>
      </c>
      <c r="B11" s="47">
        <v>7733.14</v>
      </c>
      <c r="C11" s="47">
        <v>4984.08</v>
      </c>
      <c r="D11" s="47">
        <v>6608.04</v>
      </c>
      <c r="E11" s="47">
        <v>2841.24</v>
      </c>
      <c r="F11" s="47">
        <v>91.8</v>
      </c>
      <c r="G11" s="46"/>
      <c r="H11" s="46"/>
      <c r="I11" s="46"/>
      <c r="J11" s="46"/>
      <c r="K11" s="46"/>
      <c r="L11" s="46"/>
      <c r="M11" s="46"/>
      <c r="N11" s="47">
        <f>B11+C11+D11+E11+F11+G11+H11+I11+J11+K11+L11+M11</f>
        <v>22258.3</v>
      </c>
    </row>
    <row r="12" spans="1:14" ht="16">
      <c r="A12" s="39" t="s">
        <v>9</v>
      </c>
      <c r="B12" s="46"/>
      <c r="C12" s="47">
        <v>15840.0</v>
      </c>
      <c r="D12" s="47">
        <v>2880.0</v>
      </c>
      <c r="E12" s="47">
        <v>6206.32</v>
      </c>
      <c r="F12" s="47">
        <v>11705.16</v>
      </c>
      <c r="G12" s="47">
        <v>3704.14</v>
      </c>
      <c r="H12" s="47">
        <v>11883.3</v>
      </c>
      <c r="I12" s="47">
        <v>3484.7</v>
      </c>
      <c r="J12" s="47">
        <v>5837.08</v>
      </c>
      <c r="K12" s="47">
        <v>9043.58</v>
      </c>
      <c r="L12" s="47">
        <v>5834.06</v>
      </c>
      <c r="M12" s="47">
        <v>2900.52</v>
      </c>
      <c r="N12" s="47">
        <f>B12+C12+D12+E12+F12+G12+H12+I12+J12+K12+L12+M12</f>
        <v>79318.86</v>
      </c>
    </row>
    <row r="13" spans="1:14" ht="16">
      <c r="A13" s="39" t="s">
        <v>10</v>
      </c>
      <c r="B13" s="47">
        <v>16139.28</v>
      </c>
      <c r="C13" s="47">
        <v>14621.32</v>
      </c>
      <c r="D13" s="47">
        <v>19795.92</v>
      </c>
      <c r="E13" s="47">
        <v>16532.66</v>
      </c>
      <c r="F13" s="47">
        <v>15137.46</v>
      </c>
      <c r="G13" s="47">
        <v>15060.3</v>
      </c>
      <c r="H13" s="47">
        <v>11769.6</v>
      </c>
      <c r="I13" s="47">
        <v>16147.92</v>
      </c>
      <c r="J13" s="47">
        <v>21929.58</v>
      </c>
      <c r="K13" s="47">
        <v>18347.28</v>
      </c>
      <c r="L13" s="47">
        <v>28315.74</v>
      </c>
      <c r="M13" s="47">
        <v>20598.78</v>
      </c>
      <c r="N13" s="47">
        <f>B13+C13+D13+E13+F13+G13+H13+I13+J13+K13+L13+M13</f>
        <v>214395.83999999997</v>
      </c>
    </row>
    <row r="14" spans="1:14" ht="16">
      <c r="A14" s="39" t="s">
        <v>11</v>
      </c>
      <c r="B14" s="47">
        <v>9506.58</v>
      </c>
      <c r="C14" s="47">
        <v>5369.22</v>
      </c>
      <c r="D14" s="47">
        <v>5661.16</v>
      </c>
      <c r="E14" s="47">
        <v>6212.64</v>
      </c>
      <c r="F14" s="47">
        <v>3912.48</v>
      </c>
      <c r="G14" s="47">
        <v>4004.1</v>
      </c>
      <c r="H14" s="47">
        <v>3856.02</v>
      </c>
      <c r="I14" s="47">
        <v>981.36</v>
      </c>
      <c r="J14" s="47">
        <v>4822.8</v>
      </c>
      <c r="K14" s="47">
        <v>6131.76</v>
      </c>
      <c r="L14" s="47">
        <v>8415.6</v>
      </c>
      <c r="M14" s="47">
        <v>16068.92</v>
      </c>
      <c r="N14" s="47">
        <f>B14+C14+D14+E14+F14+G14+H14+I14+J14+K14+L14+M14</f>
        <v>74942.64</v>
      </c>
    </row>
    <row r="15" spans="1:14" ht="16">
      <c r="A15" s="39" t="s">
        <v>12</v>
      </c>
      <c r="B15" s="47">
        <v>580.98</v>
      </c>
      <c r="C15" s="47">
        <v>1045.8</v>
      </c>
      <c r="D15" s="47">
        <v>1255.76</v>
      </c>
      <c r="E15" s="47">
        <v>389.4</v>
      </c>
      <c r="F15" s="47">
        <v>1024.56</v>
      </c>
      <c r="G15" s="46"/>
      <c r="H15" s="47">
        <v>450.0</v>
      </c>
      <c r="I15" s="46"/>
      <c r="J15" s="46"/>
      <c r="K15" s="46"/>
      <c r="L15" s="46"/>
      <c r="M15" s="46"/>
      <c r="N15" s="47">
        <f>B15+C15+D15+E15+F15+G15+H15+I15+J15+K15+L15+M15</f>
        <v>4746.5</v>
      </c>
    </row>
    <row r="16" spans="1:14" ht="16">
      <c r="A16" s="39" t="s">
        <v>13</v>
      </c>
      <c r="B16" s="47">
        <v>8393.98</v>
      </c>
      <c r="C16" s="47">
        <v>18209.06</v>
      </c>
      <c r="D16" s="47">
        <v>13425.14</v>
      </c>
      <c r="E16" s="47">
        <v>17608.88</v>
      </c>
      <c r="F16" s="47">
        <v>10106.36</v>
      </c>
      <c r="G16" s="47">
        <v>10676.34</v>
      </c>
      <c r="H16" s="47">
        <v>8213.63</v>
      </c>
      <c r="I16" s="47">
        <v>9611.46</v>
      </c>
      <c r="J16" s="47">
        <v>17258.99</v>
      </c>
      <c r="K16" s="47">
        <v>10409.64</v>
      </c>
      <c r="L16" s="47">
        <v>15183.64</v>
      </c>
      <c r="M16" s="47">
        <v>3552.6</v>
      </c>
      <c r="N16" s="47">
        <f>B16+C16+D16+E16+F16+G16+H16+I16+J16+K16+L16+M16</f>
        <v>142649.72</v>
      </c>
    </row>
    <row r="17" spans="1:14" ht="16">
      <c r="A17" s="39" t="s">
        <v>14</v>
      </c>
      <c r="B17" s="47">
        <v>20855.97</v>
      </c>
      <c r="C17" s="47">
        <v>27347.34</v>
      </c>
      <c r="D17" s="47">
        <v>37344.26</v>
      </c>
      <c r="E17" s="47">
        <v>10476.44</v>
      </c>
      <c r="F17" s="47">
        <v>15514.38</v>
      </c>
      <c r="G17" s="47">
        <v>21117.3</v>
      </c>
      <c r="H17" s="47">
        <v>25067.96</v>
      </c>
      <c r="I17" s="47">
        <v>22681.66</v>
      </c>
      <c r="J17" s="47">
        <v>31151.28</v>
      </c>
      <c r="K17" s="47">
        <v>24850.28</v>
      </c>
      <c r="L17" s="47">
        <v>36650.72</v>
      </c>
      <c r="M17" s="47">
        <v>19376.68</v>
      </c>
      <c r="N17" s="47">
        <f>B17+C17+D17+E17+F17+G17+H17+I17+J17+K17+L17+M17</f>
        <v>292434.26999999996</v>
      </c>
    </row>
    <row r="18" spans="1:14" ht="16">
      <c r="A18" s="39" t="s">
        <v>15</v>
      </c>
      <c r="B18" s="47">
        <v>6063.27</v>
      </c>
      <c r="C18" s="47">
        <v>7135.56</v>
      </c>
      <c r="D18" s="47">
        <v>7715.42</v>
      </c>
      <c r="E18" s="47">
        <v>5368.08</v>
      </c>
      <c r="F18" s="47">
        <v>6822.36</v>
      </c>
      <c r="G18" s="47">
        <v>4570.38</v>
      </c>
      <c r="H18" s="47">
        <v>3539.88</v>
      </c>
      <c r="I18" s="47">
        <v>1586.52</v>
      </c>
      <c r="J18" s="47">
        <v>1322.76</v>
      </c>
      <c r="K18" s="46"/>
      <c r="L18" s="47">
        <v>15501.12</v>
      </c>
      <c r="M18" s="47">
        <v>11421.12</v>
      </c>
      <c r="N18" s="47">
        <f>B18+C18+D18+E18+F18+G18+H18+I18+J18+K18+L18+M18</f>
        <v>71046.47</v>
      </c>
    </row>
    <row r="19" spans="1:14" ht="16">
      <c r="A19" s="39" t="s">
        <v>16</v>
      </c>
      <c r="B19" s="47">
        <v>17746.08</v>
      </c>
      <c r="C19" s="47">
        <v>6020.36</v>
      </c>
      <c r="D19" s="47">
        <v>19274.92</v>
      </c>
      <c r="E19" s="47">
        <v>7669.64</v>
      </c>
      <c r="F19" s="47">
        <v>7529.6</v>
      </c>
      <c r="G19" s="47">
        <v>13840.0</v>
      </c>
      <c r="H19" s="47">
        <v>7736.8</v>
      </c>
      <c r="I19" s="47">
        <v>12793.28</v>
      </c>
      <c r="J19" s="47">
        <v>15352.32</v>
      </c>
      <c r="K19" s="47">
        <v>9091.64</v>
      </c>
      <c r="L19" s="47">
        <v>15446.84</v>
      </c>
      <c r="M19" s="47">
        <v>8138.2</v>
      </c>
      <c r="N19" s="47">
        <f>B19+C19+D19+E19+F19+G19+H19+I19+J19+K19+L19+M19</f>
        <v>140639.68000000002</v>
      </c>
    </row>
    <row r="20" spans="1:14" ht="16">
      <c r="A20" s="40" t="s">
        <v>17</v>
      </c>
      <c r="B20" s="48">
        <f>B8+B9+B10+B11+B12+B13+B14+B15+B16+B17+B18+B19</f>
        <v>127714.76</v>
      </c>
      <c r="C20" s="48">
        <f>C8+C9+C10+C11+C12+C13+C14+C15+C16+C17+C18+C19</f>
        <v>117856.62</v>
      </c>
      <c r="D20" s="48">
        <f>D8+D9+D10+D11+D12+D13+D14+D15+D16+D17+D18+D19</f>
        <v>142355.02</v>
      </c>
      <c r="E20" s="48">
        <f>E8+E9+E10+E11+E12+E13+E14+E15+E16+E17+E18+E19</f>
        <v>100099.18</v>
      </c>
      <c r="F20" s="48">
        <f>F8+F9+F10+F11+F12+F13+F14+F15+F16+F17+F18+F19</f>
        <v>110306.42000000001</v>
      </c>
      <c r="G20" s="48">
        <f>G8+G9+G10+G11+G12+G13+G14+G15+G16+G17+G18+G19</f>
        <v>105307.34000000001</v>
      </c>
      <c r="H20" s="48">
        <f>H8+H9+H10+H11+H12+H13+H14+H15+H16+H17+H18+H19</f>
        <v>101858.69</v>
      </c>
      <c r="I20" s="48">
        <f>I8+I9+I10+I11+I12+I13+I14+I15+I16+I17+I18+I19</f>
        <v>84426.08</v>
      </c>
      <c r="J20" s="48">
        <f>J8+J9+J10+J11+J12+J13+J14+J15+J16+J17+J18+J19</f>
        <v>113114.51000000001</v>
      </c>
      <c r="K20" s="48">
        <f>K8+K9+K10+K11+K12+K13+K14+K15+K16+K17+K18+K19</f>
        <v>124535.04</v>
      </c>
      <c r="L20" s="48">
        <f>L8+L9+L10+L11+L12+L13+L14+L15+L16+L17+L18+L19</f>
        <v>188142.16</v>
      </c>
      <c r="M20" s="48">
        <f>M8+M9+M10+M11+M12+M13+M14+M15+M16+M17+M18+M19</f>
        <v>121803.21999999999</v>
      </c>
      <c r="N20" s="50">
        <f>B20+C20+D20+E20+F20+G20+H20+I20+J20+K20+L20+M20</f>
        <v>1437519.0399999998</v>
      </c>
    </row>
    <row r="21" spans="1:14" ht="16">
      <c r="A21" s="38" t="s">
        <v>18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</row>
    <row r="22" spans="1:14" ht="16">
      <c r="A22" s="39" t="s">
        <v>19</v>
      </c>
      <c r="B22" s="47">
        <v>429.0</v>
      </c>
      <c r="C22" s="47">
        <v>395.4</v>
      </c>
      <c r="D22" s="47">
        <v>757.8</v>
      </c>
      <c r="E22" s="47">
        <v>956.4</v>
      </c>
      <c r="F22" s="47">
        <v>2057.6</v>
      </c>
      <c r="G22" s="47">
        <v>178.8</v>
      </c>
      <c r="H22" s="47">
        <v>709.8</v>
      </c>
      <c r="I22" s="46"/>
      <c r="J22" s="46"/>
      <c r="K22" s="47">
        <v>946.2</v>
      </c>
      <c r="L22" s="47">
        <v>1290.84</v>
      </c>
      <c r="M22" s="47">
        <v>994.8</v>
      </c>
      <c r="N22" s="47">
        <f>B22+C22+D22+E22+F22+G22+H22+I22+J22+K22+L22+M22</f>
        <v>8716.64</v>
      </c>
    </row>
    <row r="23" spans="1:14" ht="16">
      <c r="A23" s="39" t="s">
        <v>20</v>
      </c>
      <c r="B23" s="47">
        <v>289.8</v>
      </c>
      <c r="C23" s="47">
        <v>186.6</v>
      </c>
      <c r="D23" s="47">
        <v>463.8</v>
      </c>
      <c r="E23" s="47">
        <v>699.0</v>
      </c>
      <c r="F23" s="47">
        <v>510.0</v>
      </c>
      <c r="G23" s="47">
        <v>326.4</v>
      </c>
      <c r="H23" s="47">
        <v>226.2</v>
      </c>
      <c r="I23" s="47">
        <v>47.4</v>
      </c>
      <c r="J23" s="46"/>
      <c r="K23" s="47">
        <v>236.4</v>
      </c>
      <c r="L23" s="47">
        <v>237.0</v>
      </c>
      <c r="M23" s="47">
        <v>279.0</v>
      </c>
      <c r="N23" s="47">
        <f>B23+C23+D23+E23+F23+G23+H23+I23+J23+K23+L23+M23</f>
        <v>3501.6</v>
      </c>
    </row>
    <row r="24" spans="1:14" ht="16">
      <c r="A24" s="40" t="s">
        <v>21</v>
      </c>
      <c r="B24" s="48">
        <f>B21+B22+B23</f>
        <v>718.8</v>
      </c>
      <c r="C24" s="48">
        <f>C21+C22+C23</f>
        <v>582.0</v>
      </c>
      <c r="D24" s="48">
        <f>D21+D22+D23</f>
        <v>1221.6</v>
      </c>
      <c r="E24" s="48">
        <f>E21+E22+E23</f>
        <v>1655.4</v>
      </c>
      <c r="F24" s="48">
        <f>F21+F22+F23</f>
        <v>2567.6</v>
      </c>
      <c r="G24" s="48">
        <f>G21+G22+G23</f>
        <v>505.2</v>
      </c>
      <c r="H24" s="48">
        <f>H21+H22+H23</f>
        <v>936.0</v>
      </c>
      <c r="I24" s="48">
        <f>I21+I22+I23</f>
        <v>47.4</v>
      </c>
      <c r="J24" s="50">
        <f>J21+J22+J23</f>
        <v>0.0</v>
      </c>
      <c r="K24" s="48">
        <f>K21+K22+K23</f>
        <v>1182.6000000000001</v>
      </c>
      <c r="L24" s="48">
        <f>L21+L22+L23</f>
        <v>1527.84</v>
      </c>
      <c r="M24" s="48">
        <f>M21+M22+M23</f>
        <v>1273.8</v>
      </c>
      <c r="N24" s="50">
        <f>B24+C24+D24+E24+F24+G24+H24+I24+J24+K24+L24+M24</f>
        <v>12218.24</v>
      </c>
    </row>
    <row r="25" spans="1:14" ht="16">
      <c r="A25" s="38" t="s">
        <v>22</v>
      </c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</row>
    <row r="26" spans="1:14" ht="16">
      <c r="A26" s="39" t="s">
        <v>23</v>
      </c>
      <c r="B26" s="47">
        <v>9328.08</v>
      </c>
      <c r="C26" s="47">
        <v>6337.86</v>
      </c>
      <c r="D26" s="47">
        <v>13050.06</v>
      </c>
      <c r="E26" s="47">
        <v>19888.14</v>
      </c>
      <c r="F26" s="47">
        <v>7512.12</v>
      </c>
      <c r="G26" s="47">
        <v>36928.92</v>
      </c>
      <c r="H26" s="47">
        <v>11052.84</v>
      </c>
      <c r="I26" s="47">
        <v>1782.3</v>
      </c>
      <c r="J26" s="47">
        <v>7166.04</v>
      </c>
      <c r="K26" s="47">
        <v>13048.26</v>
      </c>
      <c r="L26" s="47">
        <v>24465.72</v>
      </c>
      <c r="M26" s="47">
        <v>7989.3</v>
      </c>
      <c r="N26" s="47">
        <f>B26+C26+D26+E26+F26+G26+H26+I26+J26+K26+L26+M26</f>
        <v>158549.63999999996</v>
      </c>
    </row>
    <row r="27" spans="1:14" ht="16">
      <c r="A27" s="39" t="s">
        <v>24</v>
      </c>
      <c r="B27" s="47">
        <v>2303.64</v>
      </c>
      <c r="C27" s="47">
        <v>1375.86</v>
      </c>
      <c r="D27" s="47">
        <v>10096.26</v>
      </c>
      <c r="E27" s="47">
        <v>3905.64</v>
      </c>
      <c r="F27" s="47">
        <v>1485.24</v>
      </c>
      <c r="G27" s="47">
        <v>1579.44</v>
      </c>
      <c r="H27" s="47">
        <v>2446.56</v>
      </c>
      <c r="I27" s="47">
        <v>537.6</v>
      </c>
      <c r="J27" s="47">
        <v>2249.64</v>
      </c>
      <c r="K27" s="47">
        <v>908.4</v>
      </c>
      <c r="L27" s="47">
        <v>424.74</v>
      </c>
      <c r="M27" s="47">
        <v>1079.88</v>
      </c>
      <c r="N27" s="47">
        <f>B27+C27+D27+E27+F27+G27+H27+I27+J27+K27+L27+M27</f>
        <v>28392.900000000005</v>
      </c>
    </row>
    <row r="28" spans="1:14" ht="16">
      <c r="A28" s="39" t="s">
        <v>25</v>
      </c>
      <c r="B28" s="46"/>
      <c r="C28" s="46"/>
      <c r="D28" s="46"/>
      <c r="E28" s="47">
        <v>10807.5</v>
      </c>
      <c r="F28" s="47">
        <v>1438.38</v>
      </c>
      <c r="G28" s="47">
        <v>12560.04</v>
      </c>
      <c r="H28" s="47">
        <v>2277.12</v>
      </c>
      <c r="I28" s="47">
        <v>358.5</v>
      </c>
      <c r="J28" s="47">
        <v>3085.56</v>
      </c>
      <c r="K28" s="47">
        <v>830.16</v>
      </c>
      <c r="L28" s="47">
        <v>17686.14</v>
      </c>
      <c r="M28" s="47">
        <v>1150.32</v>
      </c>
      <c r="N28" s="47">
        <f>B28+C28+D28+E28+F28+G28+H28+I28+J28+K28+L28+M28</f>
        <v>50193.72</v>
      </c>
    </row>
    <row r="29" spans="1:14" ht="16">
      <c r="A29" s="40" t="s">
        <v>26</v>
      </c>
      <c r="B29" s="48">
        <f>B25+B26+B27+B28</f>
        <v>11631.72</v>
      </c>
      <c r="C29" s="48">
        <f>C25+C26+C27+C28</f>
        <v>7713.719999999999</v>
      </c>
      <c r="D29" s="48">
        <f>D25+D26+D27+D28</f>
        <v>23146.32</v>
      </c>
      <c r="E29" s="48">
        <f>E25+E26+E27+E28</f>
        <v>34601.28</v>
      </c>
      <c r="F29" s="48">
        <f>F25+F26+F27+F28</f>
        <v>10435.740000000002</v>
      </c>
      <c r="G29" s="48">
        <f>G25+G26+G27+G28</f>
        <v>51068.4</v>
      </c>
      <c r="H29" s="48">
        <f>H25+H26+H27+H28</f>
        <v>15776.52</v>
      </c>
      <c r="I29" s="48">
        <f>I25+I26+I27+I28</f>
        <v>2678.4</v>
      </c>
      <c r="J29" s="48">
        <f>J25+J26+J27+J28</f>
        <v>12501.24</v>
      </c>
      <c r="K29" s="48">
        <f>K25+K26+K27+K28</f>
        <v>14786.82</v>
      </c>
      <c r="L29" s="48">
        <f>L25+L26+L27+L28</f>
        <v>42576.600000000006</v>
      </c>
      <c r="M29" s="48">
        <f>M25+M26+M27+M28</f>
        <v>10219.5</v>
      </c>
      <c r="N29" s="50">
        <f>B29+C29+D29+E29+F29+G29+H29+I29+J29+K29+L29+M29</f>
        <v>237136.25999999998</v>
      </c>
    </row>
    <row r="30" spans="1:14" ht="16">
      <c r="A30" s="38" t="s">
        <v>27</v>
      </c>
      <c r="B30" s="46"/>
      <c r="C30" s="47">
        <v>49.0</v>
      </c>
      <c r="D30" s="47">
        <v>24300.0</v>
      </c>
      <c r="E30" s="47">
        <v>162.3</v>
      </c>
      <c r="F30" s="47">
        <v>49.0</v>
      </c>
      <c r="G30" s="47">
        <v>287.2</v>
      </c>
      <c r="H30" s="47">
        <v>-22.32</v>
      </c>
      <c r="I30" s="47">
        <v>27329.52</v>
      </c>
      <c r="J30" s="47">
        <v>2063.13</v>
      </c>
      <c r="K30" s="46"/>
      <c r="L30" s="47">
        <v>8417.67</v>
      </c>
      <c r="M30" s="47">
        <v>1079.88</v>
      </c>
      <c r="N30" s="47">
        <f>B30+C30+D30+E30+F30+G30+H30+I30+J30+K30+L30+M30</f>
        <v>63715.37999999999</v>
      </c>
    </row>
    <row r="31" spans="1:14" ht="16">
      <c r="A31" s="38" t="s">
        <v>28</v>
      </c>
      <c r="B31" s="47">
        <v>23538.46</v>
      </c>
      <c r="C31" s="47">
        <v>14897.73</v>
      </c>
      <c r="D31" s="47">
        <v>17736.5</v>
      </c>
      <c r="E31" s="47">
        <v>15227.36</v>
      </c>
      <c r="F31" s="47">
        <v>32272.89</v>
      </c>
      <c r="G31" s="47">
        <v>16342.25</v>
      </c>
      <c r="H31" s="47">
        <v>18425.0</v>
      </c>
      <c r="I31" s="47">
        <v>17904.74</v>
      </c>
      <c r="J31" s="47">
        <v>13155.0</v>
      </c>
      <c r="K31" s="47">
        <v>19636.69</v>
      </c>
      <c r="L31" s="47">
        <v>27847.33</v>
      </c>
      <c r="M31" s="47">
        <v>21875.62</v>
      </c>
      <c r="N31" s="47">
        <f>B31+C31+D31+E31+F31+G31+H31+I31+J31+K31+L31+M31</f>
        <v>238859.57</v>
      </c>
    </row>
    <row r="32" spans="1:14" ht="16">
      <c r="A32" s="38" t="s">
        <v>29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</row>
    <row r="33" spans="1:14" ht="16">
      <c r="A33" s="39" t="s">
        <v>30</v>
      </c>
      <c r="B33" s="47">
        <v>33165.79</v>
      </c>
      <c r="C33" s="47">
        <v>10302.44</v>
      </c>
      <c r="D33" s="47">
        <v>26879.01</v>
      </c>
      <c r="E33" s="47">
        <v>14693.84</v>
      </c>
      <c r="F33" s="47">
        <v>17133.66</v>
      </c>
      <c r="G33" s="47">
        <v>13649.19</v>
      </c>
      <c r="H33" s="47">
        <v>14107.45</v>
      </c>
      <c r="I33" s="47">
        <v>16329.71</v>
      </c>
      <c r="J33" s="47">
        <v>8265.54</v>
      </c>
      <c r="K33" s="47">
        <v>14530.68</v>
      </c>
      <c r="L33" s="47">
        <v>14109.47</v>
      </c>
      <c r="M33" s="47">
        <v>23333.0</v>
      </c>
      <c r="N33" s="47">
        <f>B33+C33+D33+E33+F33+G33+H33+I33+J33+K33+L33+M33</f>
        <v>206499.78</v>
      </c>
    </row>
    <row r="34" spans="1:14" ht="16">
      <c r="A34" s="40" t="s">
        <v>31</v>
      </c>
      <c r="B34" s="48">
        <f>B32+B33</f>
        <v>33165.79</v>
      </c>
      <c r="C34" s="48">
        <f>C32+C33</f>
        <v>10302.44</v>
      </c>
      <c r="D34" s="48">
        <f>D32+D33</f>
        <v>26879.01</v>
      </c>
      <c r="E34" s="48">
        <f>E32+E33</f>
        <v>14693.84</v>
      </c>
      <c r="F34" s="48">
        <f>F32+F33</f>
        <v>17133.66</v>
      </c>
      <c r="G34" s="48">
        <f>G32+G33</f>
        <v>13649.19</v>
      </c>
      <c r="H34" s="48">
        <f>H32+H33</f>
        <v>14107.45</v>
      </c>
      <c r="I34" s="48">
        <f>I32+I33</f>
        <v>16329.71</v>
      </c>
      <c r="J34" s="48">
        <f>J32+J33</f>
        <v>8265.54</v>
      </c>
      <c r="K34" s="48">
        <f>K32+K33</f>
        <v>14530.68</v>
      </c>
      <c r="L34" s="48">
        <f>L32+L33</f>
        <v>14109.47</v>
      </c>
      <c r="M34" s="48">
        <f>M32+M33</f>
        <v>23333.0</v>
      </c>
      <c r="N34" s="50">
        <f>B34+C34+D34+E34+F34+G34+H34+I34+J34+K34+L34+M34</f>
        <v>206499.78</v>
      </c>
    </row>
    <row r="35" spans="1:14" ht="16">
      <c r="A35" s="41" t="s">
        <v>32</v>
      </c>
      <c r="B35" s="48">
        <f>B7+B20+B24+B29+B30+B31+B34</f>
        <v>196769.53</v>
      </c>
      <c r="C35" s="48">
        <f>C7+C20+C24+C29+C30+C31+C34</f>
        <v>151352.51</v>
      </c>
      <c r="D35" s="48">
        <f>D7+D20+D24+D29+D30+D31+D34</f>
        <v>235638.45</v>
      </c>
      <c r="E35" s="48">
        <f>E7+E20+E24+E29+E30+E31+E34</f>
        <v>166355.35999999996</v>
      </c>
      <c r="F35" s="48">
        <f>F7+F20+F24+F29+F30+F31+F34</f>
        <v>172716.31000000003</v>
      </c>
      <c r="G35" s="48">
        <f>G7+G20+G24+G29+G30+G31+G34</f>
        <v>187110.58000000002</v>
      </c>
      <c r="H35" s="48">
        <f>H7+H20+H24+H29+H30+H31+H34</f>
        <v>151081.34000000003</v>
      </c>
      <c r="I35" s="48">
        <f>I7+I20+I24+I29+I30+I31+I34</f>
        <v>148715.84999999998</v>
      </c>
      <c r="J35" s="48">
        <f>J7+J20+J24+J29+J30+J31+J34</f>
        <v>148958.22000000003</v>
      </c>
      <c r="K35" s="48">
        <f>K7+K20+K24+K29+K30+K31+K34</f>
        <v>174649.50999999998</v>
      </c>
      <c r="L35" s="48">
        <f>L7+L20+L24+L29+L30+L31+L34</f>
        <v>282621.07</v>
      </c>
      <c r="M35" s="48">
        <f>M7+M20+M24+M29+M30+M31+M34</f>
        <v>179585.02</v>
      </c>
      <c r="N35" s="50">
        <f>B35+C35+D35+E35+F35+G35+H35+I35+J35+K35+L35+M35</f>
        <v>2195553.75</v>
      </c>
    </row>
    <row r="36" spans="1:14" ht="16">
      <c r="A36" s="37" t="s">
        <v>33</v>
      </c>
      <c r="B36" s="46"/>
      <c r="C36" s="46"/>
      <c r="D36" s="47">
        <v>600.72</v>
      </c>
      <c r="E36" s="46"/>
      <c r="F36" s="46"/>
      <c r="G36" s="47">
        <v>0.01</v>
      </c>
      <c r="H36" s="46"/>
      <c r="I36" s="46"/>
      <c r="J36" s="46"/>
      <c r="K36" s="47">
        <v>15.0</v>
      </c>
      <c r="L36" s="47">
        <v>1583.7</v>
      </c>
      <c r="M36" s="47">
        <v>4143.83</v>
      </c>
      <c r="N36" s="47">
        <f>B36+C36+D36+E36+F36+G36+H36+I36+J36+K36+L36+M36</f>
        <v>6343.26</v>
      </c>
    </row>
    <row r="37" spans="1:14" ht="16">
      <c r="A37" s="42" t="s">
        <v>34</v>
      </c>
      <c r="B37" s="48">
        <f>B6+B35+B36</f>
        <v>196769.53</v>
      </c>
      <c r="C37" s="48">
        <f>C6+C35+C36</f>
        <v>151352.51</v>
      </c>
      <c r="D37" s="48">
        <f>D6+D35+D36</f>
        <v>236239.17</v>
      </c>
      <c r="E37" s="48">
        <f>E6+E35+E36</f>
        <v>166355.35999999996</v>
      </c>
      <c r="F37" s="48">
        <f>F6+F35+F36</f>
        <v>172716.31000000003</v>
      </c>
      <c r="G37" s="48">
        <f>G6+G35+G36</f>
        <v>187110.59000000003</v>
      </c>
      <c r="H37" s="48">
        <f>H6+H35+H36</f>
        <v>151081.34000000003</v>
      </c>
      <c r="I37" s="48">
        <f>I6+I35+I36</f>
        <v>148715.84999999998</v>
      </c>
      <c r="J37" s="48">
        <f>J6+J35+J36</f>
        <v>148958.22000000003</v>
      </c>
      <c r="K37" s="48">
        <f>K6+K35+K36</f>
        <v>174664.50999999998</v>
      </c>
      <c r="L37" s="48">
        <f>L6+L35+L36</f>
        <v>284204.77</v>
      </c>
      <c r="M37" s="48">
        <f>M6+M35+M36</f>
        <v>183728.84999999998</v>
      </c>
      <c r="N37" s="50">
        <f>B37+C37+D37+E37+F37+G37+H37+I37+J37+K37+L37+M37</f>
        <v>2201897.0100000002</v>
      </c>
    </row>
    <row r="38" spans="1:13" ht="16">
      <c r="A38" s="36" t="s">
        <v>35</v>
      </c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</row>
    <row r="39" spans="1:14" ht="16">
      <c r="A39" s="37" t="s">
        <v>36</v>
      </c>
      <c r="B39" s="46"/>
      <c r="C39" s="46"/>
      <c r="D39" s="46"/>
      <c r="E39" s="46"/>
      <c r="F39" s="46"/>
      <c r="G39" s="46"/>
      <c r="H39" s="46"/>
      <c r="I39" s="47">
        <v>1374.26</v>
      </c>
      <c r="J39" s="47">
        <v>13187.6</v>
      </c>
      <c r="K39" s="47">
        <v>8722.81</v>
      </c>
      <c r="L39" s="47">
        <v>13453.26</v>
      </c>
      <c r="M39" s="47">
        <v>1542.73</v>
      </c>
      <c r="N39" s="47">
        <f>B39+C39+D39+E39+F39+G39+H39+I39+J39+K39+L39+M39</f>
        <v>38280.66</v>
      </c>
    </row>
    <row r="40" spans="1:14" ht="16">
      <c r="A40" s="38" t="s">
        <v>37</v>
      </c>
      <c r="B40" s="47">
        <v>12916.07</v>
      </c>
      <c r="C40" s="47">
        <v>14480.69</v>
      </c>
      <c r="D40" s="47">
        <v>24271.0</v>
      </c>
      <c r="E40" s="47">
        <v>18454.22</v>
      </c>
      <c r="F40" s="47">
        <v>23510.21</v>
      </c>
      <c r="G40" s="47">
        <v>19611.68</v>
      </c>
      <c r="H40" s="47">
        <v>21131.76</v>
      </c>
      <c r="I40" s="47">
        <v>20449.08</v>
      </c>
      <c r="J40" s="47">
        <v>25354.67</v>
      </c>
      <c r="K40" s="47">
        <v>22291.75</v>
      </c>
      <c r="L40" s="47">
        <v>33485.23</v>
      </c>
      <c r="M40" s="47">
        <v>32096.61</v>
      </c>
      <c r="N40" s="47">
        <f>B40+C40+D40+E40+F40+G40+H40+I40+J40+K40+L40+M40</f>
        <v>268052.97000000003</v>
      </c>
    </row>
    <row r="41" spans="1:14" ht="16">
      <c r="A41" s="38" t="s">
        <v>38</v>
      </c>
      <c r="B41" s="47">
        <v>34009.92</v>
      </c>
      <c r="C41" s="47">
        <v>21228.81</v>
      </c>
      <c r="D41" s="47">
        <v>8958.64</v>
      </c>
      <c r="E41" s="47">
        <v>22774.66</v>
      </c>
      <c r="F41" s="47">
        <v>40071.06</v>
      </c>
      <c r="G41" s="47">
        <v>10828.79</v>
      </c>
      <c r="H41" s="46"/>
      <c r="I41" s="46"/>
      <c r="J41" s="46"/>
      <c r="K41" s="47">
        <v>867.7</v>
      </c>
      <c r="L41" s="46"/>
      <c r="M41" s="46"/>
      <c r="N41" s="47">
        <f>B41+C41+D41+E41+F41+G41+H41+I41+J41+K41+L41+M41</f>
        <v>138739.58000000002</v>
      </c>
    </row>
    <row r="42" spans="1:14" ht="16">
      <c r="A42" s="38" t="s">
        <v>39</v>
      </c>
      <c r="B42" s="47">
        <v>27855.54</v>
      </c>
      <c r="C42" s="47">
        <v>24509.51</v>
      </c>
      <c r="D42" s="47">
        <v>61021.85</v>
      </c>
      <c r="E42" s="47">
        <v>18559.41</v>
      </c>
      <c r="F42" s="47">
        <v>57822.77</v>
      </c>
      <c r="G42" s="47">
        <v>8281.62</v>
      </c>
      <c r="H42" s="47">
        <v>65193.53</v>
      </c>
      <c r="I42" s="47">
        <v>38271.02</v>
      </c>
      <c r="J42" s="47">
        <v>109884.67</v>
      </c>
      <c r="K42" s="47">
        <v>133765.72</v>
      </c>
      <c r="L42" s="47">
        <v>207113.17</v>
      </c>
      <c r="M42" s="47">
        <v>13837.48</v>
      </c>
      <c r="N42" s="47">
        <f>B42+C42+D42+E42+F42+G42+H42+I42+J42+K42+L42+M42</f>
        <v>766116.29</v>
      </c>
    </row>
    <row r="43" spans="1:14" ht="16">
      <c r="A43" s="38" t="s">
        <v>40</v>
      </c>
      <c r="B43" s="47">
        <v>13223.16</v>
      </c>
      <c r="C43" s="47">
        <v>26848.17</v>
      </c>
      <c r="D43" s="47">
        <v>21824.59</v>
      </c>
      <c r="E43" s="47">
        <v>49225.08</v>
      </c>
      <c r="F43" s="47">
        <v>18468.33</v>
      </c>
      <c r="G43" s="47">
        <v>38911.94</v>
      </c>
      <c r="H43" s="47">
        <v>11066.04</v>
      </c>
      <c r="I43" s="46"/>
      <c r="J43" s="46"/>
      <c r="K43" s="46"/>
      <c r="L43" s="46"/>
      <c r="M43" s="46"/>
      <c r="N43" s="47">
        <f>B43+C43+D43+E43+F43+G43+H43+I43+J43+K43+L43+M43</f>
        <v>179567.31000000003</v>
      </c>
    </row>
    <row r="44" spans="1:14" ht="16">
      <c r="A44" s="38" t="s">
        <v>41</v>
      </c>
      <c r="B44" s="47">
        <v>185.15</v>
      </c>
      <c r="C44" s="46"/>
      <c r="D44" s="46"/>
      <c r="E44" s="47">
        <v>44.11</v>
      </c>
      <c r="F44" s="46"/>
      <c r="G44" s="46"/>
      <c r="H44" s="46"/>
      <c r="I44" s="46"/>
      <c r="J44" s="46"/>
      <c r="K44" s="46"/>
      <c r="L44" s="46"/>
      <c r="M44" s="46"/>
      <c r="N44" s="47">
        <f>B44+C44+D44+E44+F44+G44+H44+I44+J44+K44+L44+M44</f>
        <v>229.26</v>
      </c>
    </row>
    <row r="45" spans="1:14" ht="16">
      <c r="A45" s="38" t="s">
        <v>42</v>
      </c>
      <c r="B45" s="46"/>
      <c r="C45" s="46"/>
      <c r="D45" s="46"/>
      <c r="E45" s="46"/>
      <c r="F45" s="47">
        <v>7744.32</v>
      </c>
      <c r="G45" s="47">
        <v>1344.22</v>
      </c>
      <c r="H45" s="46"/>
      <c r="I45" s="46"/>
      <c r="J45" s="46"/>
      <c r="K45" s="46"/>
      <c r="L45" s="47">
        <v>1857.74</v>
      </c>
      <c r="M45" s="46"/>
      <c r="N45" s="47">
        <f>B45+C45+D45+E45+F45+G45+H45+I45+J45+K45+L45+M45</f>
        <v>10946.279999999999</v>
      </c>
    </row>
    <row r="46" spans="1:14" ht="16">
      <c r="A46" s="38" t="s">
        <v>43</v>
      </c>
      <c r="B46" s="49">
        <v>0</v>
      </c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7">
        <v>1127.16</v>
      </c>
      <c r="N46" s="47">
        <f>B46+C46+D46+E46+F46+G46+H46+I46+J46+K46+L46+M46</f>
        <v>1127.16</v>
      </c>
    </row>
    <row r="47" spans="1:14" ht="16">
      <c r="A47" s="38" t="s">
        <v>44</v>
      </c>
      <c r="B47" s="46"/>
      <c r="C47" s="46"/>
      <c r="D47" s="46"/>
      <c r="E47" s="46"/>
      <c r="F47" s="47">
        <v>260.64</v>
      </c>
      <c r="G47" s="47">
        <v>1089.88</v>
      </c>
      <c r="H47" s="47">
        <v>50.0</v>
      </c>
      <c r="I47" s="46"/>
      <c r="J47" s="46"/>
      <c r="K47" s="46"/>
      <c r="L47" s="46"/>
      <c r="M47" s="47">
        <v>815.55</v>
      </c>
      <c r="N47" s="47">
        <f>B47+C47+D47+E47+F47+G47+H47+I47+J47+K47+L47+M47</f>
        <v>2216.0699999999997</v>
      </c>
    </row>
    <row r="48" spans="1:14" ht="16">
      <c r="A48" s="38" t="s">
        <v>45</v>
      </c>
      <c r="B48" s="47">
        <v>2618.91</v>
      </c>
      <c r="C48" s="47">
        <v>1138.91</v>
      </c>
      <c r="D48" s="47">
        <v>2165.46</v>
      </c>
      <c r="E48" s="47">
        <v>1932.67</v>
      </c>
      <c r="F48" s="47">
        <v>1735.5</v>
      </c>
      <c r="G48" s="47">
        <v>4792.19</v>
      </c>
      <c r="H48" s="47">
        <v>1448.84</v>
      </c>
      <c r="I48" s="47">
        <v>732.17</v>
      </c>
      <c r="J48" s="47">
        <v>827.16</v>
      </c>
      <c r="K48" s="47">
        <v>1579.92</v>
      </c>
      <c r="L48" s="47">
        <v>3142.72</v>
      </c>
      <c r="M48" s="47">
        <v>1591.23</v>
      </c>
      <c r="N48" s="47">
        <f>B48+C48+D48+E48+F48+G48+H48+I48+J48+K48+L48+M48</f>
        <v>23705.679999999997</v>
      </c>
    </row>
    <row r="49" spans="1:14" ht="16">
      <c r="A49" s="38" t="s">
        <v>46</v>
      </c>
      <c r="B49" s="46"/>
      <c r="C49" s="46"/>
      <c r="D49" s="46"/>
      <c r="E49" s="46"/>
      <c r="F49" s="47">
        <v>119.37</v>
      </c>
      <c r="G49" s="47">
        <v>98.64</v>
      </c>
      <c r="H49" s="47">
        <v>22.68</v>
      </c>
      <c r="I49" s="46"/>
      <c r="J49" s="47">
        <v>205.48</v>
      </c>
      <c r="K49" s="46"/>
      <c r="L49" s="47">
        <v>416.31</v>
      </c>
      <c r="M49" s="47">
        <v>100.9</v>
      </c>
      <c r="N49" s="47">
        <f>B49+C49+D49+E49+F49+G49+H49+I49+J49+K49+L49+M49</f>
        <v>963.38</v>
      </c>
    </row>
    <row r="50" spans="1:14" ht="16">
      <c r="A50" s="38" t="s">
        <v>47</v>
      </c>
      <c r="B50" s="47">
        <v>164.36</v>
      </c>
      <c r="C50" s="47">
        <v>477.55</v>
      </c>
      <c r="D50" s="47">
        <v>1265.24</v>
      </c>
      <c r="E50" s="47">
        <v>394.31</v>
      </c>
      <c r="F50" s="47">
        <v>648.84</v>
      </c>
      <c r="G50" s="47">
        <v>1016.11</v>
      </c>
      <c r="H50" s="47">
        <v>595.3</v>
      </c>
      <c r="I50" s="47">
        <v>480.4</v>
      </c>
      <c r="J50" s="47">
        <v>208.24</v>
      </c>
      <c r="K50" s="47">
        <v>483.3</v>
      </c>
      <c r="L50" s="47">
        <v>980.82</v>
      </c>
      <c r="M50" s="47">
        <v>1720.65</v>
      </c>
      <c r="N50" s="47">
        <f>B50+C50+D50+E50+F50+G50+H50+I50+J50+K50+L50+M50</f>
        <v>8435.119999999999</v>
      </c>
    </row>
    <row r="51" spans="1:14" ht="16">
      <c r="A51" s="38" t="s">
        <v>48</v>
      </c>
      <c r="B51" s="46"/>
      <c r="C51" s="46"/>
      <c r="D51" s="46"/>
      <c r="E51" s="46"/>
      <c r="F51" s="47">
        <v>173.68</v>
      </c>
      <c r="G51" s="47">
        <v>123.31</v>
      </c>
      <c r="H51" s="47">
        <v>70.39</v>
      </c>
      <c r="I51" s="47">
        <v>50.59</v>
      </c>
      <c r="J51" s="47">
        <v>215.45</v>
      </c>
      <c r="K51" s="46"/>
      <c r="L51" s="47">
        <v>350.84</v>
      </c>
      <c r="M51" s="47">
        <v>1395.7</v>
      </c>
      <c r="N51" s="47">
        <f>B51+C51+D51+E51+F51+G51+H51+I51+J51+K51+L51+M51</f>
        <v>2379.96</v>
      </c>
    </row>
    <row r="52" spans="1:14" ht="16">
      <c r="A52" s="38" t="s">
        <v>49</v>
      </c>
      <c r="B52" s="47">
        <v>1440.9</v>
      </c>
      <c r="C52" s="47">
        <v>127.87</v>
      </c>
      <c r="D52" s="47">
        <v>891.54</v>
      </c>
      <c r="E52" s="47">
        <v>4429.76</v>
      </c>
      <c r="F52" s="47">
        <v>4054.37</v>
      </c>
      <c r="G52" s="47">
        <v>2238.13</v>
      </c>
      <c r="H52" s="47">
        <v>2650.16</v>
      </c>
      <c r="I52" s="49">
        <v>0</v>
      </c>
      <c r="J52" s="47">
        <v>2588.92</v>
      </c>
      <c r="K52" s="47">
        <v>3428.39</v>
      </c>
      <c r="L52" s="47">
        <v>2245.48</v>
      </c>
      <c r="M52" s="47">
        <v>3197.47</v>
      </c>
      <c r="N52" s="47">
        <f>B52+C52+D52+E52+F52+G52+H52+I52+J52+K52+L52+M52</f>
        <v>27292.99</v>
      </c>
    </row>
    <row r="53" spans="1:14" ht="16">
      <c r="A53" s="41" t="s">
        <v>50</v>
      </c>
      <c r="B53" s="48">
        <f>B39+B40+B41+B42+B43+B44+B45+B46+B47+B48+B49+B50+B51+B52</f>
        <v>92414.01</v>
      </c>
      <c r="C53" s="48">
        <f>C39+C40+C41+C42+C43+C44+C45+C46+C47+C48+C49+C50+C51+C52</f>
        <v>88811.51</v>
      </c>
      <c r="D53" s="48">
        <f>D39+D40+D41+D42+D43+D44+D45+D46+D47+D48+D49+D50+D51+D52</f>
        <v>120398.31999999999</v>
      </c>
      <c r="E53" s="48">
        <f>E39+E40+E41+E42+E43+E44+E45+E46+E47+E48+E49+E50+E51+E52</f>
        <v>115814.22</v>
      </c>
      <c r="F53" s="48">
        <f>F39+F40+F41+F42+F43+F44+F45+F46+F47+F48+F49+F50+F51+F52</f>
        <v>154609.09</v>
      </c>
      <c r="G53" s="48">
        <f>G39+G40+G41+G42+G43+G44+G45+G46+G47+G48+G49+G50+G51+G52</f>
        <v>88336.51000000001</v>
      </c>
      <c r="H53" s="48">
        <f>H39+H40+H41+H42+H43+H44+H45+H46+H47+H48+H49+H50+H51+H52</f>
        <v>102228.69999999998</v>
      </c>
      <c r="I53" s="48">
        <f>I39+I40+I41+I42+I43+I44+I45+I46+I47+I48+I49+I50+I51+I52</f>
        <v>61357.52</v>
      </c>
      <c r="J53" s="48">
        <f>J39+J40+J41+J42+J43+J44+J45+J46+J47+J48+J49+J50+J51+J52</f>
        <v>152472.19000000003</v>
      </c>
      <c r="K53" s="48">
        <f>K39+K40+K41+K42+K43+K44+K45+K46+K47+K48+K49+K50+K51+K52</f>
        <v>171139.59000000003</v>
      </c>
      <c r="L53" s="48">
        <f>L39+L40+L41+L42+L43+L44+L45+L46+L47+L48+L49+L50+L51+L52</f>
        <v>263045.57</v>
      </c>
      <c r="M53" s="48">
        <f>M39+M40+M41+M42+M43+M44+M45+M46+M47+M48+M49+M50+M51+M52</f>
        <v>57425.48000000002</v>
      </c>
      <c r="N53" s="50">
        <f>B53+C53+D53+E53+F53+G53+H53+I53+J53+K53+L53+M53</f>
        <v>1468052.71</v>
      </c>
    </row>
    <row r="54" spans="1:14" ht="16">
      <c r="A54" s="37" t="s">
        <v>35</v>
      </c>
      <c r="B54" s="49">
        <v>0</v>
      </c>
      <c r="C54" s="49">
        <v>0</v>
      </c>
      <c r="D54" s="49">
        <v>0</v>
      </c>
      <c r="E54" s="49">
        <v>0</v>
      </c>
      <c r="F54" s="49">
        <v>0</v>
      </c>
      <c r="G54" s="49">
        <v>0</v>
      </c>
      <c r="H54" s="49">
        <v>0</v>
      </c>
      <c r="I54" s="49">
        <v>0</v>
      </c>
      <c r="J54" s="49">
        <v>0</v>
      </c>
      <c r="K54" s="49">
        <v>0</v>
      </c>
      <c r="L54" s="49">
        <v>0</v>
      </c>
      <c r="M54" s="49">
        <v>0</v>
      </c>
      <c r="N54" s="49">
        <f>B54+C54+D54+E54+F54+G54+H54+I54+J54+K54+L54+M54</f>
        <v>0.0</v>
      </c>
    </row>
    <row r="55" spans="1:14" ht="16">
      <c r="A55" s="42" t="s">
        <v>51</v>
      </c>
      <c r="B55" s="48">
        <f>B38+B53+B54</f>
        <v>92414.01</v>
      </c>
      <c r="C55" s="48">
        <f>C38+C53+C54</f>
        <v>88811.51</v>
      </c>
      <c r="D55" s="48">
        <f>D38+D53+D54</f>
        <v>120398.31999999999</v>
      </c>
      <c r="E55" s="48">
        <f>E38+E53+E54</f>
        <v>115814.22</v>
      </c>
      <c r="F55" s="48">
        <f>F38+F53+F54</f>
        <v>154609.09</v>
      </c>
      <c r="G55" s="48">
        <f>G38+G53+G54</f>
        <v>88336.51000000001</v>
      </c>
      <c r="H55" s="48">
        <f>H38+H53+H54</f>
        <v>102228.69999999998</v>
      </c>
      <c r="I55" s="48">
        <f>I38+I53+I54</f>
        <v>61357.52</v>
      </c>
      <c r="J55" s="48">
        <f>J38+J53+J54</f>
        <v>152472.19000000003</v>
      </c>
      <c r="K55" s="48">
        <f>K38+K53+K54</f>
        <v>171139.59000000003</v>
      </c>
      <c r="L55" s="48">
        <f>L38+L53+L54</f>
        <v>263045.57</v>
      </c>
      <c r="M55" s="48">
        <f>M38+M53+M54</f>
        <v>57425.48000000002</v>
      </c>
      <c r="N55" s="50">
        <f>B55+C55+D55+E55+F55+G55+H55+I55+J55+K55+L55+M55</f>
        <v>1468052.71</v>
      </c>
    </row>
    <row r="56" spans="1:14" ht="16">
      <c r="A56" s="42" t="s">
        <v>52</v>
      </c>
      <c r="B56" s="48">
        <f>B37-B55</f>
        <v>104355.52</v>
      </c>
      <c r="C56" s="48">
        <f>C37-C55</f>
        <v>62541.000000000015</v>
      </c>
      <c r="D56" s="48">
        <f>D37-D55</f>
        <v>115840.85000000002</v>
      </c>
      <c r="E56" s="48">
        <f>E37-E55</f>
        <v>50541.139999999956</v>
      </c>
      <c r="F56" s="48">
        <f>F37-F55</f>
        <v>18107.22000000003</v>
      </c>
      <c r="G56" s="48">
        <f>G37-G55</f>
        <v>98774.08000000002</v>
      </c>
      <c r="H56" s="48">
        <f>H37-H55</f>
        <v>48852.64000000004</v>
      </c>
      <c r="I56" s="48">
        <f>I37-I55</f>
        <v>87358.32999999999</v>
      </c>
      <c r="J56" s="48">
        <f>J37-J55</f>
        <v>-3513.970000000001</v>
      </c>
      <c r="K56" s="48">
        <f>K37-K55</f>
        <v>3524.9199999999546</v>
      </c>
      <c r="L56" s="48">
        <f>L37-L55</f>
        <v>21159.20000000001</v>
      </c>
      <c r="M56" s="48">
        <f>M37-M55</f>
        <v>126303.36999999997</v>
      </c>
      <c r="N56" s="50">
        <f>B56+C56+D56+E56+F56+G56+H56+I56+J56+K56+L56+M56</f>
        <v>733844.2999999999</v>
      </c>
    </row>
    <row r="57" spans="1:13" ht="16">
      <c r="A57" s="36" t="s">
        <v>53</v>
      </c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</row>
    <row r="58" spans="1:14" ht="16">
      <c r="A58" s="37" t="s">
        <v>54</v>
      </c>
      <c r="B58" s="47">
        <v>1110.38</v>
      </c>
      <c r="C58" s="47">
        <v>1500.0</v>
      </c>
      <c r="D58" s="47">
        <v>6623.04</v>
      </c>
      <c r="E58" s="47">
        <v>5329.39</v>
      </c>
      <c r="F58" s="47">
        <v>1399.27</v>
      </c>
      <c r="G58" s="47">
        <v>1153.5</v>
      </c>
      <c r="H58" s="47">
        <v>3167.3</v>
      </c>
      <c r="I58" s="47">
        <v>2711.92</v>
      </c>
      <c r="J58" s="47">
        <v>3737.9</v>
      </c>
      <c r="K58" s="47">
        <v>2153.5</v>
      </c>
      <c r="L58" s="47">
        <v>7860.74</v>
      </c>
      <c r="M58" s="47">
        <v>11427.46</v>
      </c>
      <c r="N58" s="47">
        <f>B58+C58+D58+E58+F58+G58+H58+I58+J58+K58+L58+M58</f>
        <v>48174.4</v>
      </c>
    </row>
    <row r="59" spans="1:14" ht="16">
      <c r="A59" s="38" t="s">
        <v>55</v>
      </c>
      <c r="B59" s="46"/>
      <c r="C59" s="46"/>
      <c r="D59" s="46"/>
      <c r="E59" s="46"/>
      <c r="F59" s="46"/>
      <c r="G59" s="46"/>
      <c r="H59" s="46"/>
      <c r="I59" s="46"/>
      <c r="J59" s="46"/>
      <c r="K59" s="47">
        <v>2768.25</v>
      </c>
      <c r="L59" s="46"/>
      <c r="M59" s="47">
        <v>1485.0</v>
      </c>
      <c r="N59" s="47">
        <f>B59+C59+D59+E59+F59+G59+H59+I59+J59+K59+L59+M59</f>
        <v>4253.25</v>
      </c>
    </row>
    <row r="60" spans="1:14" ht="16">
      <c r="A60" s="38" t="s">
        <v>56</v>
      </c>
      <c r="B60" s="47">
        <v>632.32</v>
      </c>
      <c r="C60" s="47">
        <v>967.99</v>
      </c>
      <c r="D60" s="47">
        <v>5746.26</v>
      </c>
      <c r="E60" s="47">
        <v>1383.37</v>
      </c>
      <c r="F60" s="47">
        <v>2554.65</v>
      </c>
      <c r="G60" s="47">
        <v>952.97</v>
      </c>
      <c r="H60" s="47">
        <v>1070.49</v>
      </c>
      <c r="I60" s="47">
        <v>2114.33</v>
      </c>
      <c r="J60" s="47">
        <v>1386.44</v>
      </c>
      <c r="K60" s="47">
        <v>1426.11</v>
      </c>
      <c r="L60" s="47">
        <v>109.99</v>
      </c>
      <c r="M60" s="47">
        <v>3161.27</v>
      </c>
      <c r="N60" s="47">
        <f>B60+C60+D60+E60+F60+G60+H60+I60+J60+K60+L60+M60</f>
        <v>21506.19</v>
      </c>
    </row>
    <row r="61" spans="1:14" ht="16">
      <c r="A61" s="38" t="s">
        <v>57</v>
      </c>
      <c r="B61" s="47">
        <v>3867.77</v>
      </c>
      <c r="C61" s="46"/>
      <c r="D61" s="46"/>
      <c r="E61" s="46"/>
      <c r="F61" s="47">
        <v>3510.0</v>
      </c>
      <c r="G61" s="46"/>
      <c r="H61" s="47">
        <v>142.7</v>
      </c>
      <c r="I61" s="47">
        <v>1594.84</v>
      </c>
      <c r="J61" s="47">
        <v>77.0</v>
      </c>
      <c r="K61" s="47">
        <v>-17.0</v>
      </c>
      <c r="L61" s="47">
        <v>287.68</v>
      </c>
      <c r="M61" s="47">
        <v>2749.17</v>
      </c>
      <c r="N61" s="47">
        <f>B61+C61+D61+E61+F61+G61+H61+I61+J61+K61+L61+M61</f>
        <v>12212.16</v>
      </c>
    </row>
    <row r="62" spans="1:14" ht="16">
      <c r="A62" s="38" t="s">
        <v>58</v>
      </c>
      <c r="B62" s="46"/>
      <c r="C62" s="46"/>
      <c r="D62" s="46"/>
      <c r="E62" s="46"/>
      <c r="F62" s="46"/>
      <c r="G62" s="47">
        <v>307.33</v>
      </c>
      <c r="H62" s="46"/>
      <c r="I62" s="47">
        <v>53.7</v>
      </c>
      <c r="J62" s="46"/>
      <c r="K62" s="47">
        <v>2152.18</v>
      </c>
      <c r="L62" s="46"/>
      <c r="M62" s="46"/>
      <c r="N62" s="47">
        <f>B62+C62+D62+E62+F62+G62+H62+I62+J62+K62+L62+M62</f>
        <v>2513.21</v>
      </c>
    </row>
    <row r="63" spans="1:14" ht="16">
      <c r="A63" s="38" t="s">
        <v>59</v>
      </c>
      <c r="B63" s="47">
        <v>439.58</v>
      </c>
      <c r="C63" s="47">
        <v>57.82</v>
      </c>
      <c r="D63" s="47">
        <v>3678.53</v>
      </c>
      <c r="E63" s="47">
        <v>318.92</v>
      </c>
      <c r="F63" s="47">
        <v>601.57</v>
      </c>
      <c r="G63" s="47">
        <v>827.96</v>
      </c>
      <c r="H63" s="47">
        <v>70.34</v>
      </c>
      <c r="I63" s="47">
        <v>4029.91</v>
      </c>
      <c r="J63" s="47">
        <v>690.55</v>
      </c>
      <c r="K63" s="47">
        <v>8574.28</v>
      </c>
      <c r="L63" s="47">
        <v>616.87</v>
      </c>
      <c r="M63" s="47">
        <v>174.64</v>
      </c>
      <c r="N63" s="47">
        <f>B63+C63+D63+E63+F63+G63+H63+I63+J63+K63+L63+M63</f>
        <v>20080.969999999998</v>
      </c>
    </row>
    <row r="64" spans="1:14" ht="16">
      <c r="A64" s="38" t="s">
        <v>60</v>
      </c>
      <c r="B64" s="47">
        <v>1225.71</v>
      </c>
      <c r="C64" s="47">
        <v>853.71</v>
      </c>
      <c r="D64" s="47">
        <v>608.55</v>
      </c>
      <c r="E64" s="47">
        <v>433.97</v>
      </c>
      <c r="F64" s="47">
        <v>1310.88</v>
      </c>
      <c r="G64" s="47">
        <v>530.26</v>
      </c>
      <c r="H64" s="47">
        <v>3081.97</v>
      </c>
      <c r="I64" s="47">
        <v>474.22</v>
      </c>
      <c r="J64" s="47">
        <v>2072.32</v>
      </c>
      <c r="K64" s="47">
        <v>604.39</v>
      </c>
      <c r="L64" s="47">
        <v>385.48</v>
      </c>
      <c r="M64" s="47">
        <v>1777.55</v>
      </c>
      <c r="N64" s="47">
        <f>B64+C64+D64+E64+F64+G64+H64+I64+J64+K64+L64+M64</f>
        <v>13359.009999999998</v>
      </c>
    </row>
    <row r="65" spans="1:14" ht="16">
      <c r="A65" s="39" t="s">
        <v>61</v>
      </c>
      <c r="B65" s="47">
        <v>968.34</v>
      </c>
      <c r="C65" s="47">
        <v>230.99</v>
      </c>
      <c r="D65" s="47">
        <v>510.55</v>
      </c>
      <c r="E65" s="47">
        <v>3403.12</v>
      </c>
      <c r="F65" s="47">
        <v>3264.28</v>
      </c>
      <c r="G65" s="47">
        <v>49.5</v>
      </c>
      <c r="H65" s="47">
        <v>584.66</v>
      </c>
      <c r="I65" s="47">
        <v>843.54</v>
      </c>
      <c r="J65" s="47">
        <v>552.31</v>
      </c>
      <c r="K65" s="47">
        <v>43.94</v>
      </c>
      <c r="L65" s="47">
        <v>71.06</v>
      </c>
      <c r="M65" s="47">
        <v>772.21</v>
      </c>
      <c r="N65" s="47">
        <f>B65+C65+D65+E65+F65+G65+H65+I65+J65+K65+L65+M65</f>
        <v>11294.5</v>
      </c>
    </row>
    <row r="66" spans="1:14" ht="16">
      <c r="A66" s="40" t="s">
        <v>62</v>
      </c>
      <c r="B66" s="48">
        <f>B64+B65</f>
        <v>2194.05</v>
      </c>
      <c r="C66" s="48">
        <f>C64+C65</f>
        <v>1084.7</v>
      </c>
      <c r="D66" s="48">
        <f>D64+D65</f>
        <v>1119.1</v>
      </c>
      <c r="E66" s="48">
        <f>E64+E65</f>
        <v>3837.09</v>
      </c>
      <c r="F66" s="48">
        <f>F64+F65</f>
        <v>4575.16</v>
      </c>
      <c r="G66" s="48">
        <f>G64+G65</f>
        <v>579.76</v>
      </c>
      <c r="H66" s="48">
        <f>H64+H65</f>
        <v>3666.6299999999997</v>
      </c>
      <c r="I66" s="48">
        <f>I64+I65</f>
        <v>1317.76</v>
      </c>
      <c r="J66" s="48">
        <f>J64+J65</f>
        <v>2624.63</v>
      </c>
      <c r="K66" s="48">
        <f>K64+K65</f>
        <v>648.3299999999999</v>
      </c>
      <c r="L66" s="48">
        <f>L64+L65</f>
        <v>456.54</v>
      </c>
      <c r="M66" s="48">
        <f>M64+M65</f>
        <v>2549.76</v>
      </c>
      <c r="N66" s="50">
        <f>B66+C66+D66+E66+F66+G66+H66+I66+J66+K66+L66+M66</f>
        <v>24653.510000000002</v>
      </c>
    </row>
    <row r="67" spans="1:14" ht="16">
      <c r="A67" s="38" t="s">
        <v>63</v>
      </c>
      <c r="B67" s="47">
        <v>243.81</v>
      </c>
      <c r="C67" s="47">
        <v>1534.23</v>
      </c>
      <c r="D67" s="47">
        <v>4578.02</v>
      </c>
      <c r="E67" s="47">
        <v>1319.34</v>
      </c>
      <c r="F67" s="47">
        <v>1332.02</v>
      </c>
      <c r="G67" s="47">
        <v>919.52</v>
      </c>
      <c r="H67" s="47">
        <v>1081.29</v>
      </c>
      <c r="I67" s="47">
        <v>1072.98</v>
      </c>
      <c r="J67" s="47">
        <v>776.81</v>
      </c>
      <c r="K67" s="47">
        <v>7219.2</v>
      </c>
      <c r="L67" s="47">
        <v>-110.53</v>
      </c>
      <c r="M67" s="47">
        <v>67.99</v>
      </c>
      <c r="N67" s="47">
        <f>B67+C67+D67+E67+F67+G67+H67+I67+J67+K67+L67+M67</f>
        <v>20034.68</v>
      </c>
    </row>
    <row r="68" spans="1:14" ht="16">
      <c r="A68" s="41" t="s">
        <v>64</v>
      </c>
      <c r="B68" s="48">
        <f>B58+B59+B60+B61+B62+B63+B66+B67</f>
        <v>8487.91</v>
      </c>
      <c r="C68" s="48">
        <f>C58+C59+C60+C61+C62+C63+C66+C67</f>
        <v>5144.74</v>
      </c>
      <c r="D68" s="48">
        <f>D58+D59+D60+D61+D62+D63+D66+D67</f>
        <v>21744.95</v>
      </c>
      <c r="E68" s="48">
        <f>E58+E59+E60+E61+E62+E63+E66+E67</f>
        <v>12188.11</v>
      </c>
      <c r="F68" s="48">
        <f>F58+F59+F60+F61+F62+F63+F66+F67</f>
        <v>13972.67</v>
      </c>
      <c r="G68" s="48">
        <f>G58+G59+G60+G61+G62+G63+G66+G67</f>
        <v>4741.040000000001</v>
      </c>
      <c r="H68" s="48">
        <f>H58+H59+H60+H61+H62+H63+H66+H67</f>
        <v>9198.75</v>
      </c>
      <c r="I68" s="48">
        <f>I58+I59+I60+I61+I62+I63+I66+I67</f>
        <v>12895.44</v>
      </c>
      <c r="J68" s="48">
        <f>J58+J59+J60+J61+J62+J63+J66+J67</f>
        <v>9293.33</v>
      </c>
      <c r="K68" s="48">
        <f>K58+K59+K60+K61+K62+K63+K66+K67</f>
        <v>24924.850000000002</v>
      </c>
      <c r="L68" s="48">
        <f>L58+L59+L60+L61+L62+L63+L66+L67</f>
        <v>9221.29</v>
      </c>
      <c r="M68" s="48">
        <f>M58+M59+M60+M61+M62+M63+M66+M67</f>
        <v>21615.290000000005</v>
      </c>
      <c r="N68" s="50">
        <f>B68+C68+D68+E68+F68+G68+H68+I68+J68+K68+L68+M68</f>
        <v>153428.37000000002</v>
      </c>
    </row>
    <row r="69" spans="1:14" ht="16">
      <c r="A69" s="37" t="s">
        <v>65</v>
      </c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</row>
    <row r="70" spans="1:14" ht="16">
      <c r="A70" s="38" t="s">
        <v>66</v>
      </c>
      <c r="B70" s="47">
        <v>12295.63</v>
      </c>
      <c r="C70" s="47">
        <v>4000.0</v>
      </c>
      <c r="D70" s="47">
        <v>1032.24</v>
      </c>
      <c r="E70" s="47">
        <v>2917.57</v>
      </c>
      <c r="F70" s="47">
        <v>3064.25</v>
      </c>
      <c r="G70" s="46"/>
      <c r="H70" s="47">
        <v>12040.68</v>
      </c>
      <c r="I70" s="47">
        <v>8442.31</v>
      </c>
      <c r="J70" s="47">
        <v>8442.31</v>
      </c>
      <c r="K70" s="47">
        <v>8442.31</v>
      </c>
      <c r="L70" s="47">
        <v>11152.31</v>
      </c>
      <c r="M70" s="47">
        <v>9460.24</v>
      </c>
      <c r="N70" s="47">
        <f>B70+C70+D70+E70+F70+G70+H70+I70+J70+K70+L70+M70</f>
        <v>81289.84999999999</v>
      </c>
    </row>
    <row r="71" spans="1:14" ht="16">
      <c r="A71" s="39" t="s">
        <v>67</v>
      </c>
      <c r="B71" s="46"/>
      <c r="C71" s="46"/>
      <c r="D71" s="46"/>
      <c r="E71" s="47">
        <v>2917.57</v>
      </c>
      <c r="F71" s="46"/>
      <c r="G71" s="46"/>
      <c r="H71" s="46"/>
      <c r="I71" s="46"/>
      <c r="J71" s="46"/>
      <c r="K71" s="46"/>
      <c r="L71" s="46"/>
      <c r="M71" s="46"/>
      <c r="N71" s="47">
        <f>B71+C71+D71+E71+F71+G71+H71+I71+J71+K71+L71+M71</f>
        <v>2917.57</v>
      </c>
    </row>
    <row r="72" spans="1:14" ht="16">
      <c r="A72" s="40" t="s">
        <v>68</v>
      </c>
      <c r="B72" s="48">
        <f>B70+B71</f>
        <v>12295.63</v>
      </c>
      <c r="C72" s="48">
        <f>C70+C71</f>
        <v>4000.0</v>
      </c>
      <c r="D72" s="48">
        <f>D70+D71</f>
        <v>1032.24</v>
      </c>
      <c r="E72" s="48">
        <f>E70+E71</f>
        <v>5835.14</v>
      </c>
      <c r="F72" s="48">
        <f>F70+F71</f>
        <v>3064.25</v>
      </c>
      <c r="G72" s="50">
        <f>G70+G71</f>
        <v>0.0</v>
      </c>
      <c r="H72" s="48">
        <f>H70+H71</f>
        <v>12040.68</v>
      </c>
      <c r="I72" s="48">
        <f>I70+I71</f>
        <v>8442.31</v>
      </c>
      <c r="J72" s="48">
        <f>J70+J71</f>
        <v>8442.31</v>
      </c>
      <c r="K72" s="48">
        <f>K70+K71</f>
        <v>8442.31</v>
      </c>
      <c r="L72" s="48">
        <f>L70+L71</f>
        <v>11152.31</v>
      </c>
      <c r="M72" s="48">
        <f>M70+M71</f>
        <v>9460.24</v>
      </c>
      <c r="N72" s="50">
        <f>B72+C72+D72+E72+F72+G72+H72+I72+J72+K72+L72+M72</f>
        <v>84207.42</v>
      </c>
    </row>
    <row r="73" spans="1:14" ht="16">
      <c r="A73" s="38" t="s">
        <v>69</v>
      </c>
      <c r="B73" s="47">
        <v>10389.73</v>
      </c>
      <c r="C73" s="47">
        <v>1929.0</v>
      </c>
      <c r="D73" s="47">
        <v>3066.99</v>
      </c>
      <c r="E73" s="47">
        <v>2552.51</v>
      </c>
      <c r="F73" s="47">
        <v>3952.5</v>
      </c>
      <c r="G73" s="47">
        <v>2615.48</v>
      </c>
      <c r="H73" s="47">
        <v>4689.53</v>
      </c>
      <c r="I73" s="47">
        <v>1637.91</v>
      </c>
      <c r="J73" s="47">
        <v>6840.59</v>
      </c>
      <c r="K73" s="47">
        <v>4900.17</v>
      </c>
      <c r="L73" s="47">
        <v>1280.63</v>
      </c>
      <c r="M73" s="47">
        <v>3228.4</v>
      </c>
      <c r="N73" s="47">
        <f>B73+C73+D73+E73+F73+G73+H73+I73+J73+K73+L73+M73</f>
        <v>47083.439999999995</v>
      </c>
    </row>
    <row r="74" spans="1:14" ht="16">
      <c r="A74" s="39" t="s">
        <v>70</v>
      </c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7">
        <v>16.8</v>
      </c>
      <c r="M74" s="46"/>
      <c r="N74" s="47">
        <f>B74+C74+D74+E74+F74+G74+H74+I74+J74+K74+L74+M74</f>
        <v>16.8</v>
      </c>
    </row>
    <row r="75" spans="1:14" ht="16">
      <c r="A75" s="39" t="s">
        <v>71</v>
      </c>
      <c r="B75" s="47">
        <v>645.2</v>
      </c>
      <c r="C75" s="47">
        <v>483.68</v>
      </c>
      <c r="D75" s="47">
        <v>934.26</v>
      </c>
      <c r="E75" s="47">
        <v>2131.85</v>
      </c>
      <c r="F75" s="47">
        <v>1539.96</v>
      </c>
      <c r="G75" s="47">
        <v>1531.28</v>
      </c>
      <c r="H75" s="47">
        <v>2257.74</v>
      </c>
      <c r="I75" s="47">
        <v>2092.81</v>
      </c>
      <c r="J75" s="47">
        <v>1184.61</v>
      </c>
      <c r="K75" s="47">
        <v>1109.59</v>
      </c>
      <c r="L75" s="47">
        <v>933.51</v>
      </c>
      <c r="M75" s="47">
        <v>1033.82</v>
      </c>
      <c r="N75" s="47">
        <f>B75+C75+D75+E75+F75+G75+H75+I75+J75+K75+L75+M75</f>
        <v>15878.31</v>
      </c>
    </row>
    <row r="76" spans="1:14" ht="16">
      <c r="A76" s="40" t="s">
        <v>72</v>
      </c>
      <c r="B76" s="48">
        <f>B73+B74+B75</f>
        <v>11034.93</v>
      </c>
      <c r="C76" s="48">
        <f>C73+C74+C75</f>
        <v>2412.68</v>
      </c>
      <c r="D76" s="48">
        <f>D73+D74+D75</f>
        <v>4001.25</v>
      </c>
      <c r="E76" s="48">
        <f>E73+E74+E75</f>
        <v>4684.360000000001</v>
      </c>
      <c r="F76" s="48">
        <f>F73+F74+F75</f>
        <v>5492.46</v>
      </c>
      <c r="G76" s="48">
        <f>G73+G74+G75</f>
        <v>4146.76</v>
      </c>
      <c r="H76" s="48">
        <f>H73+H74+H75</f>
        <v>6947.2699999999995</v>
      </c>
      <c r="I76" s="48">
        <f>I73+I74+I75</f>
        <v>3730.7200000000003</v>
      </c>
      <c r="J76" s="48">
        <f>J73+J74+J75</f>
        <v>8025.2</v>
      </c>
      <c r="K76" s="48">
        <f>K73+K74+K75</f>
        <v>6009.76</v>
      </c>
      <c r="L76" s="48">
        <f>L73+L74+L75</f>
        <v>2230.94</v>
      </c>
      <c r="M76" s="48">
        <f>M73+M74+M75</f>
        <v>4262.22</v>
      </c>
      <c r="N76" s="50">
        <f>B76+C76+D76+E76+F76+G76+H76+I76+J76+K76+L76+M76</f>
        <v>62978.55</v>
      </c>
    </row>
    <row r="77" spans="1:14" ht="16">
      <c r="A77" s="38" t="s">
        <v>73</v>
      </c>
      <c r="B77" s="47">
        <v>220.54</v>
      </c>
      <c r="C77" s="47">
        <v>1970.19</v>
      </c>
      <c r="D77" s="47">
        <v>1010.02</v>
      </c>
      <c r="E77" s="47">
        <v>1320.49</v>
      </c>
      <c r="F77" s="47">
        <v>997.45</v>
      </c>
      <c r="G77" s="47">
        <v>949.7</v>
      </c>
      <c r="H77" s="47">
        <v>949.7</v>
      </c>
      <c r="I77" s="47">
        <v>949.4</v>
      </c>
      <c r="J77" s="47">
        <v>1148.92</v>
      </c>
      <c r="K77" s="47">
        <v>916.29</v>
      </c>
      <c r="L77" s="47">
        <v>915.55</v>
      </c>
      <c r="M77" s="47">
        <v>983.47</v>
      </c>
      <c r="N77" s="47">
        <f>B77+C77+D77+E77+F77+G77+H77+I77+J77+K77+L77+M77</f>
        <v>12331.72</v>
      </c>
    </row>
    <row r="78" spans="1:14" ht="16">
      <c r="A78" s="38" t="s">
        <v>74</v>
      </c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</row>
    <row r="79" spans="1:14" ht="16">
      <c r="A79" s="39" t="s">
        <v>75</v>
      </c>
      <c r="B79" s="47">
        <v>443.86</v>
      </c>
      <c r="C79" s="47">
        <v>170.66</v>
      </c>
      <c r="D79" s="47">
        <v>171.86</v>
      </c>
      <c r="E79" s="47">
        <v>153.86</v>
      </c>
      <c r="F79" s="47">
        <v>157.86</v>
      </c>
      <c r="G79" s="47">
        <v>153.86</v>
      </c>
      <c r="H79" s="47">
        <v>153.86</v>
      </c>
      <c r="I79" s="47">
        <v>155.86</v>
      </c>
      <c r="J79" s="47">
        <v>153.86</v>
      </c>
      <c r="K79" s="47">
        <v>261.66</v>
      </c>
      <c r="L79" s="47">
        <v>192.24</v>
      </c>
      <c r="M79" s="47">
        <v>2445.79</v>
      </c>
      <c r="N79" s="47">
        <f>B79+C79+D79+E79+F79+G79+H79+I79+J79+K79+L79+M79</f>
        <v>4615.2300000000005</v>
      </c>
    </row>
    <row r="80" spans="1:14" ht="16">
      <c r="A80" s="39" t="s">
        <v>76</v>
      </c>
      <c r="B80" s="47">
        <v>9.0</v>
      </c>
      <c r="C80" s="46"/>
      <c r="D80" s="47">
        <v>18.0</v>
      </c>
      <c r="E80" s="47">
        <v>9.0</v>
      </c>
      <c r="F80" s="47">
        <v>9.0</v>
      </c>
      <c r="G80" s="46"/>
      <c r="H80" s="46"/>
      <c r="I80" s="46"/>
      <c r="J80" s="46"/>
      <c r="K80" s="46"/>
      <c r="L80" s="46"/>
      <c r="M80" s="46"/>
      <c r="N80" s="47">
        <f>B80+C80+D80+E80+F80+G80+H80+I80+J80+K80+L80+M80</f>
        <v>45.0</v>
      </c>
    </row>
    <row r="81" spans="1:14" ht="16">
      <c r="A81" s="39" t="s">
        <v>77</v>
      </c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7">
        <v>3495.51</v>
      </c>
      <c r="N81" s="47">
        <f>B81+C81+D81+E81+F81+G81+H81+I81+J81+K81+L81+M81</f>
        <v>3495.51</v>
      </c>
    </row>
    <row r="82" spans="1:14" ht="16">
      <c r="A82" s="40" t="s">
        <v>78</v>
      </c>
      <c r="B82" s="48">
        <f>B78+B79+B80+B81</f>
        <v>452.86</v>
      </c>
      <c r="C82" s="48">
        <f>C78+C79+C80+C81</f>
        <v>170.66</v>
      </c>
      <c r="D82" s="48">
        <f>D78+D79+D80+D81</f>
        <v>189.86</v>
      </c>
      <c r="E82" s="48">
        <f>E78+E79+E80+E81</f>
        <v>162.86</v>
      </c>
      <c r="F82" s="48">
        <f>F78+F79+F80+F81</f>
        <v>166.86</v>
      </c>
      <c r="G82" s="48">
        <f>G78+G79+G80+G81</f>
        <v>153.86</v>
      </c>
      <c r="H82" s="48">
        <f>H78+H79+H80+H81</f>
        <v>153.86</v>
      </c>
      <c r="I82" s="48">
        <f>I78+I79+I80+I81</f>
        <v>155.86</v>
      </c>
      <c r="J82" s="48">
        <f>J78+J79+J80+J81</f>
        <v>153.86</v>
      </c>
      <c r="K82" s="48">
        <f>K78+K79+K80+K81</f>
        <v>261.66</v>
      </c>
      <c r="L82" s="48">
        <f>L78+L79+L80+L81</f>
        <v>192.24</v>
      </c>
      <c r="M82" s="48">
        <f>M78+M79+M80+M81</f>
        <v>5941.3</v>
      </c>
      <c r="N82" s="50">
        <f>B82+C82+D82+E82+F82+G82+H82+I82+J82+K82+L82+M82</f>
        <v>8155.740000000001</v>
      </c>
    </row>
    <row r="83" spans="1:14" ht="16">
      <c r="A83" s="38" t="s">
        <v>79</v>
      </c>
      <c r="B83" s="47">
        <v>1018.7</v>
      </c>
      <c r="C83" s="47">
        <v>2741.68</v>
      </c>
      <c r="D83" s="47">
        <v>358.12</v>
      </c>
      <c r="E83" s="47">
        <v>328.8</v>
      </c>
      <c r="F83" s="47">
        <v>590.79</v>
      </c>
      <c r="G83" s="47">
        <v>694.48</v>
      </c>
      <c r="H83" s="47">
        <v>2126.51</v>
      </c>
      <c r="I83" s="47">
        <v>727.62</v>
      </c>
      <c r="J83" s="47">
        <v>3066.3</v>
      </c>
      <c r="K83" s="47">
        <v>468.76</v>
      </c>
      <c r="L83" s="47">
        <v>561.19</v>
      </c>
      <c r="M83" s="47">
        <v>548.02</v>
      </c>
      <c r="N83" s="47">
        <f>B83+C83+D83+E83+F83+G83+H83+I83+J83+K83+L83+M83</f>
        <v>13230.970000000001</v>
      </c>
    </row>
    <row r="84" spans="1:14" ht="16">
      <c r="A84" s="38" t="s">
        <v>80</v>
      </c>
      <c r="B84" s="47">
        <v>421.04</v>
      </c>
      <c r="C84" s="47">
        <v>381.58</v>
      </c>
      <c r="D84" s="47">
        <v>447.96</v>
      </c>
      <c r="E84" s="47">
        <v>418.65</v>
      </c>
      <c r="F84" s="47">
        <v>418.65</v>
      </c>
      <c r="G84" s="47">
        <v>418.65</v>
      </c>
      <c r="H84" s="47">
        <v>418.65</v>
      </c>
      <c r="I84" s="47">
        <v>418.65</v>
      </c>
      <c r="J84" s="47">
        <v>453.69</v>
      </c>
      <c r="K84" s="47">
        <v>437.18</v>
      </c>
      <c r="L84" s="47">
        <v>437.18</v>
      </c>
      <c r="M84" s="47">
        <v>437.18</v>
      </c>
      <c r="N84" s="47">
        <f>B84+C84+D84+E84+F84+G84+H84+I84+J84+K84+L84+M84</f>
        <v>5109.060000000001</v>
      </c>
    </row>
    <row r="85" spans="1:14" ht="16">
      <c r="A85" s="39" t="s">
        <v>81</v>
      </c>
      <c r="B85" s="47">
        <v>641.99</v>
      </c>
      <c r="C85" s="47">
        <v>1215.99</v>
      </c>
      <c r="D85" s="47">
        <v>641.99</v>
      </c>
      <c r="E85" s="47">
        <v>1978.24</v>
      </c>
      <c r="F85" s="47">
        <v>637.24</v>
      </c>
      <c r="G85" s="47">
        <v>637.24</v>
      </c>
      <c r="H85" s="47">
        <v>637.24</v>
      </c>
      <c r="I85" s="46"/>
      <c r="J85" s="47">
        <v>652.8</v>
      </c>
      <c r="K85" s="47">
        <v>652.12</v>
      </c>
      <c r="L85" s="47">
        <v>652.12</v>
      </c>
      <c r="M85" s="47">
        <v>5972.12</v>
      </c>
      <c r="N85" s="47">
        <f>B85+C85+D85+E85+F85+G85+H85+I85+J85+K85+L85+M85</f>
        <v>14319.09</v>
      </c>
    </row>
    <row r="86" spans="1:14" ht="16">
      <c r="A86" s="39" t="s">
        <v>82</v>
      </c>
      <c r="B86" s="47">
        <v>654.99</v>
      </c>
      <c r="C86" s="47">
        <v>-327.45</v>
      </c>
      <c r="D86" s="47">
        <v>0.03</v>
      </c>
      <c r="E86" s="47">
        <v>0.03</v>
      </c>
      <c r="F86" s="47">
        <v>0.03</v>
      </c>
      <c r="G86" s="47">
        <v>0.03</v>
      </c>
      <c r="H86" s="47">
        <v>0.03</v>
      </c>
      <c r="I86" s="47">
        <v>0.03</v>
      </c>
      <c r="J86" s="47">
        <v>0.03</v>
      </c>
      <c r="K86" s="47">
        <v>0.03</v>
      </c>
      <c r="L86" s="47">
        <v>0.03</v>
      </c>
      <c r="M86" s="47">
        <v>2183.73</v>
      </c>
      <c r="N86" s="47">
        <f>B86+C86+D86+E86+F86+G86+H86+I86+J86+K86+L86+M86</f>
        <v>2511.54</v>
      </c>
    </row>
    <row r="87" spans="1:14" ht="16">
      <c r="A87" s="40" t="s">
        <v>83</v>
      </c>
      <c r="B87" s="48">
        <f>B84+B85+B86</f>
        <v>1718.02</v>
      </c>
      <c r="C87" s="48">
        <f>C84+C85+C86</f>
        <v>1270.12</v>
      </c>
      <c r="D87" s="48">
        <f>D84+D85+D86</f>
        <v>1089.98</v>
      </c>
      <c r="E87" s="48">
        <f>E84+E85+E86</f>
        <v>2396.92</v>
      </c>
      <c r="F87" s="48">
        <f>F84+F85+F86</f>
        <v>1055.9199999999998</v>
      </c>
      <c r="G87" s="48">
        <f>G84+G85+G86</f>
        <v>1055.9199999999998</v>
      </c>
      <c r="H87" s="48">
        <f>H84+H85+H86</f>
        <v>1055.9199999999998</v>
      </c>
      <c r="I87" s="48">
        <f>I84+I85+I86</f>
        <v>418.67999999999995</v>
      </c>
      <c r="J87" s="48">
        <f>J84+J85+J86</f>
        <v>1106.52</v>
      </c>
      <c r="K87" s="48">
        <f>K84+K85+K86</f>
        <v>1089.33</v>
      </c>
      <c r="L87" s="48">
        <f>L84+L85+L86</f>
        <v>1089.33</v>
      </c>
      <c r="M87" s="48">
        <f>M84+M85+M86</f>
        <v>8593.03</v>
      </c>
      <c r="N87" s="50">
        <f>B87+C87+D87+E87+F87+G87+H87+I87+J87+K87+L87+M87</f>
        <v>21939.690000000002</v>
      </c>
    </row>
    <row r="88" spans="1:14" ht="16">
      <c r="A88" s="38" t="s">
        <v>84</v>
      </c>
      <c r="B88" s="47">
        <v>2365.78</v>
      </c>
      <c r="C88" s="47">
        <v>50.0</v>
      </c>
      <c r="D88" s="46"/>
      <c r="E88" s="47">
        <v>2525.0</v>
      </c>
      <c r="F88" s="46"/>
      <c r="G88" s="47">
        <v>2921.95</v>
      </c>
      <c r="H88" s="47">
        <v>164.99</v>
      </c>
      <c r="I88" s="47">
        <v>15134.99</v>
      </c>
      <c r="J88" s="47">
        <v>539.99</v>
      </c>
      <c r="K88" s="47">
        <v>2121.99</v>
      </c>
      <c r="L88" s="47">
        <v>39.99</v>
      </c>
      <c r="M88" s="47">
        <v>125.0</v>
      </c>
      <c r="N88" s="47">
        <f>B88+C88+D88+E88+F88+G88+H88+I88+J88+K88+L88+M88</f>
        <v>25989.680000000004</v>
      </c>
    </row>
    <row r="89" spans="1:14" ht="16">
      <c r="A89" s="38" t="s">
        <v>85</v>
      </c>
      <c r="B89" s="47">
        <v>14078.0</v>
      </c>
      <c r="C89" s="47">
        <v>1089.76</v>
      </c>
      <c r="D89" s="47">
        <v>67.56</v>
      </c>
      <c r="E89" s="46"/>
      <c r="F89" s="46"/>
      <c r="G89" s="46"/>
      <c r="H89" s="46"/>
      <c r="I89" s="47">
        <v>5877.5</v>
      </c>
      <c r="J89" s="47">
        <v>627.31</v>
      </c>
      <c r="K89" s="46"/>
      <c r="L89" s="47">
        <v>267.43</v>
      </c>
      <c r="M89" s="46"/>
      <c r="N89" s="47">
        <f>B89+C89+D89+E89+F89+G89+H89+I89+J89+K89+L89+M89</f>
        <v>22007.56</v>
      </c>
    </row>
    <row r="90" spans="1:14" ht="16">
      <c r="A90" s="38" t="s">
        <v>86</v>
      </c>
      <c r="B90" s="46"/>
      <c r="C90" s="46"/>
      <c r="D90" s="47">
        <v>61.25</v>
      </c>
      <c r="E90" s="47">
        <v>1094.5</v>
      </c>
      <c r="F90" s="47">
        <v>175.0</v>
      </c>
      <c r="G90" s="47">
        <v>200.0</v>
      </c>
      <c r="H90" s="47">
        <v>25.0</v>
      </c>
      <c r="I90" s="47">
        <v>695.0</v>
      </c>
      <c r="J90" s="47">
        <v>681.11</v>
      </c>
      <c r="K90" s="47">
        <v>6675.01</v>
      </c>
      <c r="L90" s="47">
        <v>4196.21</v>
      </c>
      <c r="M90" s="47">
        <v>4429.13</v>
      </c>
      <c r="N90" s="47">
        <f>B90+C90+D90+E90+F90+G90+H90+I90+J90+K90+L90+M90</f>
        <v>18232.210000000003</v>
      </c>
    </row>
    <row r="91" spans="1:14" ht="16">
      <c r="A91" s="38" t="s">
        <v>87</v>
      </c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</row>
    <row r="92" spans="1:14" ht="16">
      <c r="A92" s="39" t="s">
        <v>88</v>
      </c>
      <c r="B92" s="47">
        <v>3781.52</v>
      </c>
      <c r="C92" s="47">
        <v>2895.0</v>
      </c>
      <c r="D92" s="47">
        <v>2744.41</v>
      </c>
      <c r="E92" s="47">
        <v>2375.59</v>
      </c>
      <c r="F92" s="47">
        <v>2289.18</v>
      </c>
      <c r="G92" s="47">
        <v>4148.48</v>
      </c>
      <c r="H92" s="47">
        <v>2289.17</v>
      </c>
      <c r="I92" s="47">
        <v>2286.57</v>
      </c>
      <c r="J92" s="47">
        <v>2532.24</v>
      </c>
      <c r="K92" s="47">
        <v>2771.61</v>
      </c>
      <c r="L92" s="47">
        <v>2775.28</v>
      </c>
      <c r="M92" s="47">
        <v>1907.3</v>
      </c>
      <c r="N92" s="47">
        <f>B92+C92+D92+E92+F92+G92+H92+I92+J92+K92+L92+M92</f>
        <v>32796.35</v>
      </c>
    </row>
    <row r="93" spans="1:14" ht="16">
      <c r="A93" s="39" t="s">
        <v>89</v>
      </c>
      <c r="B93" s="47">
        <v>47700.23</v>
      </c>
      <c r="C93" s="47">
        <v>30251.32</v>
      </c>
      <c r="D93" s="47">
        <v>30251.32</v>
      </c>
      <c r="E93" s="47">
        <v>30251.32</v>
      </c>
      <c r="F93" s="47">
        <v>30251.32</v>
      </c>
      <c r="G93" s="47">
        <v>30251.32</v>
      </c>
      <c r="H93" s="47">
        <v>30251.32</v>
      </c>
      <c r="I93" s="47">
        <v>30217.05</v>
      </c>
      <c r="J93" s="47">
        <v>33428.57</v>
      </c>
      <c r="K93" s="47">
        <v>36557.84</v>
      </c>
      <c r="L93" s="47">
        <v>36605.89</v>
      </c>
      <c r="M93" s="47">
        <v>25259.66</v>
      </c>
      <c r="N93" s="47">
        <f>B93+C93+D93+E93+F93+G93+H93+I93+J93+K93+L93+M93</f>
        <v>391277.16</v>
      </c>
    </row>
    <row r="94" spans="1:14" ht="16">
      <c r="A94" s="40" t="s">
        <v>90</v>
      </c>
      <c r="B94" s="48">
        <f>B91+B92+B93</f>
        <v>51481.75</v>
      </c>
      <c r="C94" s="48">
        <f>C91+C92+C93</f>
        <v>33146.32</v>
      </c>
      <c r="D94" s="48">
        <f>D91+D92+D93</f>
        <v>32995.729999999996</v>
      </c>
      <c r="E94" s="48">
        <f>E91+E92+E93</f>
        <v>32626.91</v>
      </c>
      <c r="F94" s="48">
        <f>F91+F92+F93</f>
        <v>32540.5</v>
      </c>
      <c r="G94" s="48">
        <f>G91+G92+G93</f>
        <v>34399.8</v>
      </c>
      <c r="H94" s="48">
        <f>H91+H92+H93</f>
        <v>32540.489999999998</v>
      </c>
      <c r="I94" s="48">
        <f>I91+I92+I93</f>
        <v>32503.62</v>
      </c>
      <c r="J94" s="48">
        <f>J91+J92+J93</f>
        <v>35960.81</v>
      </c>
      <c r="K94" s="48">
        <f>K91+K92+K93</f>
        <v>39329.45</v>
      </c>
      <c r="L94" s="48">
        <f>L91+L92+L93</f>
        <v>39381.17</v>
      </c>
      <c r="M94" s="48">
        <f>M91+M92+M93</f>
        <v>27166.96</v>
      </c>
      <c r="N94" s="50">
        <f>B94+C94+D94+E94+F94+G94+H94+I94+J94+K94+L94+M94</f>
        <v>424073.51</v>
      </c>
    </row>
    <row r="95" spans="1:14" ht="16">
      <c r="A95" s="41" t="s">
        <v>91</v>
      </c>
      <c r="B95" s="48">
        <f>B69+B72+B76+B77+B82+B83+B87+B88+B89+B90+B94</f>
        <v>94666.20999999999</v>
      </c>
      <c r="C95" s="48">
        <f>C69+C72+C76+C77+C82+C83+C87+C88+C89+C90+C94</f>
        <v>46851.41</v>
      </c>
      <c r="D95" s="48">
        <f>D69+D72+D76+D77+D82+D83+D87+D88+D89+D90+D94</f>
        <v>40806.009999999995</v>
      </c>
      <c r="E95" s="48">
        <f>E69+E72+E76+E77+E82+E83+E87+E88+E89+E90+E94</f>
        <v>50974.979999999996</v>
      </c>
      <c r="F95" s="48">
        <f>F69+F72+F76+F77+F82+F83+F87+F88+F89+F90+F94</f>
        <v>44083.23</v>
      </c>
      <c r="G95" s="48">
        <f>G69+G72+G76+G77+G82+G83+G87+G88+G89+G90+G94</f>
        <v>44522.47</v>
      </c>
      <c r="H95" s="48">
        <f>H69+H72+H76+H77+H82+H83+H87+H88+H89+H90+H94</f>
        <v>56004.42</v>
      </c>
      <c r="I95" s="48">
        <f>I69+I72+I76+I77+I82+I83+I87+I88+I89+I90+I94</f>
        <v>68635.7</v>
      </c>
      <c r="J95" s="48">
        <f>J69+J72+J76+J77+J82+J83+J87+J88+J89+J90+J94</f>
        <v>59752.33</v>
      </c>
      <c r="K95" s="48">
        <f>K69+K72+K76+K77+K82+K83+K87+K88+K89+K90+K94</f>
        <v>65314.56</v>
      </c>
      <c r="L95" s="48">
        <f>L69+L72+L76+L77+L82+L83+L87+L88+L89+L90+L94</f>
        <v>60026.36</v>
      </c>
      <c r="M95" s="48">
        <f>M69+M72+M76+M77+M82+M83+M87+M88+M89+M90+M94</f>
        <v>61509.369999999995</v>
      </c>
      <c r="N95" s="50">
        <f>B95+C95+D95+E95+F95+G95+H95+I95+J95+K95+L95+M95</f>
        <v>693147.0499999999</v>
      </c>
    </row>
    <row r="96" spans="1:14" ht="16">
      <c r="A96" s="37" t="s">
        <v>92</v>
      </c>
      <c r="B96" s="47">
        <v>361.83</v>
      </c>
      <c r="C96" s="47">
        <v>378.95</v>
      </c>
      <c r="D96" s="47">
        <v>557.41</v>
      </c>
      <c r="E96" s="47">
        <v>593.38</v>
      </c>
      <c r="F96" s="47">
        <v>493.27</v>
      </c>
      <c r="G96" s="47">
        <v>553.85</v>
      </c>
      <c r="H96" s="47">
        <v>791.4</v>
      </c>
      <c r="I96" s="47">
        <v>1196.08</v>
      </c>
      <c r="J96" s="47">
        <v>989.87</v>
      </c>
      <c r="K96" s="47">
        <v>2036.92</v>
      </c>
      <c r="L96" s="47">
        <v>824.54</v>
      </c>
      <c r="M96" s="47">
        <v>490.76</v>
      </c>
      <c r="N96" s="47">
        <f>B96+C96+D96+E96+F96+G96+H96+I96+J96+K96+L96+M96</f>
        <v>9268.26</v>
      </c>
    </row>
    <row r="97" spans="1:14" ht="16">
      <c r="A97" s="37" t="s">
        <v>93</v>
      </c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7">
        <v>32.44</v>
      </c>
      <c r="N97" s="47">
        <f>B97+C97+D97+E97+F97+G97+H97+I97+J97+K97+L97+M97</f>
        <v>32.44</v>
      </c>
    </row>
    <row r="98" spans="1:14" ht="16">
      <c r="A98" s="37" t="s">
        <v>94</v>
      </c>
      <c r="B98" s="46"/>
      <c r="C98" s="46"/>
      <c r="D98" s="47">
        <v>870.3</v>
      </c>
      <c r="E98" s="47">
        <v>1515.45</v>
      </c>
      <c r="F98" s="47">
        <v>97.7</v>
      </c>
      <c r="G98" s="47">
        <v>1357.67</v>
      </c>
      <c r="H98" s="47">
        <v>212.83</v>
      </c>
      <c r="I98" s="47">
        <v>77.81</v>
      </c>
      <c r="J98" s="47">
        <v>728.0</v>
      </c>
      <c r="K98" s="47">
        <v>2068.23</v>
      </c>
      <c r="L98" s="47">
        <v>2800.0</v>
      </c>
      <c r="M98" s="47">
        <v>-1493.51</v>
      </c>
      <c r="N98" s="47">
        <f>B98+C98+D98+E98+F98+G98+H98+I98+J98+K98+L98+M98</f>
        <v>8234.48</v>
      </c>
    </row>
    <row r="99" spans="1:14" ht="16">
      <c r="A99" s="37" t="s">
        <v>95</v>
      </c>
      <c r="B99" s="46"/>
      <c r="C99" s="47">
        <v>308.1</v>
      </c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7">
        <f>B99+C99+D99+E99+F99+G99+H99+I99+J99+K99+L99+M99</f>
        <v>308.1</v>
      </c>
    </row>
    <row r="100" spans="1:14" ht="16">
      <c r="A100" s="37" t="s">
        <v>96</v>
      </c>
      <c r="B100" s="46"/>
      <c r="C100" s="46"/>
      <c r="D100" s="46"/>
      <c r="E100" s="46"/>
      <c r="F100" s="46"/>
      <c r="G100" s="47">
        <v>2.79</v>
      </c>
      <c r="H100" s="46"/>
      <c r="I100" s="46"/>
      <c r="J100" s="46"/>
      <c r="K100" s="46"/>
      <c r="L100" s="46"/>
      <c r="M100" s="47">
        <v>24.8</v>
      </c>
      <c r="N100" s="47">
        <f>B100+C100+D100+E100+F100+G100+H100+I100+J100+K100+L100+M100</f>
        <v>27.59</v>
      </c>
    </row>
    <row r="101" spans="1:14" ht="16">
      <c r="A101" s="37" t="s">
        <v>97</v>
      </c>
      <c r="B101" s="46"/>
      <c r="C101" s="46"/>
      <c r="D101" s="46"/>
      <c r="E101" s="46"/>
      <c r="F101" s="46"/>
      <c r="G101" s="47">
        <v>153.87</v>
      </c>
      <c r="H101" s="47">
        <v>547.1</v>
      </c>
      <c r="I101" s="47">
        <v>12.5</v>
      </c>
      <c r="J101" s="47">
        <v>441.57</v>
      </c>
      <c r="K101" s="47">
        <v>107.37</v>
      </c>
      <c r="L101" s="47">
        <v>12.29</v>
      </c>
      <c r="M101" s="47">
        <v>14.74</v>
      </c>
      <c r="N101" s="47">
        <f>B101+C101+D101+E101+F101+G101+H101+I101+J101+K101+L101+M101</f>
        <v>1289.4399999999998</v>
      </c>
    </row>
    <row r="102" spans="1:14" ht="16">
      <c r="A102" s="42" t="s">
        <v>98</v>
      </c>
      <c r="B102" s="48">
        <f>B57+B68+B95+B96+B97+B98+B99+B100+B101</f>
        <v>103515.95</v>
      </c>
      <c r="C102" s="48">
        <f>C57+C68+C95+C96+C97+C98+C99+C100+C101</f>
        <v>52683.2</v>
      </c>
      <c r="D102" s="48">
        <f>D57+D68+D95+D96+D97+D98+D99+D100+D101</f>
        <v>63978.67</v>
      </c>
      <c r="E102" s="48">
        <f>E57+E68+E95+E96+E97+E98+E99+E100+E101</f>
        <v>65271.91999999999</v>
      </c>
      <c r="F102" s="48">
        <f>F57+F68+F95+F96+F97+F98+F99+F100+F101</f>
        <v>58646.869999999995</v>
      </c>
      <c r="G102" s="48">
        <f>G57+G68+G95+G96+G97+G98+G99+G100+G101</f>
        <v>51331.69</v>
      </c>
      <c r="H102" s="48">
        <f>H57+H68+H95+H96+H97+H98+H99+H100+H101</f>
        <v>66754.5</v>
      </c>
      <c r="I102" s="48">
        <f>I57+I68+I95+I96+I97+I98+I99+I100+I101</f>
        <v>82817.53</v>
      </c>
      <c r="J102" s="48">
        <f>J57+J68+J95+J96+J97+J98+J99+J100+J101</f>
        <v>71205.1</v>
      </c>
      <c r="K102" s="48">
        <f>K57+K68+K95+K96+K97+K98+K99+K100+K101</f>
        <v>94451.93</v>
      </c>
      <c r="L102" s="48">
        <f>L57+L68+L95+L96+L97+L98+L99+L100+L101</f>
        <v>72884.47999999998</v>
      </c>
      <c r="M102" s="48">
        <f>M57+M68+M95+M96+M97+M98+M99+M100+M101</f>
        <v>82193.89000000001</v>
      </c>
      <c r="N102" s="50">
        <f>B102+C102+D102+E102+F102+G102+H102+I102+J102+K102+L102+M102</f>
        <v>865735.7299999999</v>
      </c>
    </row>
    <row r="103" spans="1:14" ht="16">
      <c r="A103" s="42" t="s">
        <v>99</v>
      </c>
      <c r="B103" s="48">
        <f>B56-B102</f>
        <v>839.570000000007</v>
      </c>
      <c r="C103" s="48">
        <f>C56-C102</f>
        <v>9857.800000000017</v>
      </c>
      <c r="D103" s="48">
        <f>D56-D102</f>
        <v>51862.18000000002</v>
      </c>
      <c r="E103" s="48">
        <f>E56-E102</f>
        <v>-14730.780000000035</v>
      </c>
      <c r="F103" s="48">
        <f>F56-F102</f>
        <v>-40539.649999999965</v>
      </c>
      <c r="G103" s="48">
        <f>G56-G102</f>
        <v>47442.390000000014</v>
      </c>
      <c r="H103" s="48">
        <f>H56-H102</f>
        <v>-17901.859999999957</v>
      </c>
      <c r="I103" s="48">
        <f>I56-I102</f>
        <v>4540.799999999988</v>
      </c>
      <c r="J103" s="48">
        <f>J56-J102</f>
        <v>-74719.07</v>
      </c>
      <c r="K103" s="48">
        <f>K56-K102</f>
        <v>-90927.01000000004</v>
      </c>
      <c r="L103" s="48">
        <f>L56-L102</f>
        <v>-51725.27999999997</v>
      </c>
      <c r="M103" s="48">
        <f>M56-M102</f>
        <v>44109.47999999995</v>
      </c>
      <c r="N103" s="50">
        <f>B103+C103+D103+E103+F103+G103+H103+I103+J103+K103+L103+M103</f>
        <v>-131891.42999999996</v>
      </c>
    </row>
    <row r="104" spans="1:13" ht="16">
      <c r="A104" s="36" t="s">
        <v>100</v>
      </c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</row>
    <row r="105" spans="1:14" ht="16">
      <c r="A105" s="37" t="s">
        <v>101</v>
      </c>
      <c r="B105" s="47">
        <v>0.39</v>
      </c>
      <c r="C105" s="47">
        <v>0.48</v>
      </c>
      <c r="D105" s="47">
        <v>0.67</v>
      </c>
      <c r="E105" s="47">
        <v>0.63</v>
      </c>
      <c r="F105" s="47">
        <v>0.77</v>
      </c>
      <c r="G105" s="47">
        <v>1.23</v>
      </c>
      <c r="H105" s="47">
        <v>1.12</v>
      </c>
      <c r="I105" s="47">
        <v>1.24</v>
      </c>
      <c r="J105" s="47">
        <v>1.19</v>
      </c>
      <c r="K105" s="47">
        <v>0.68</v>
      </c>
      <c r="L105" s="47">
        <v>0.86</v>
      </c>
      <c r="M105" s="47">
        <v>0.84</v>
      </c>
      <c r="N105" s="47">
        <f>B105+C105+D105+E105+F105+G105+H105+I105+J105+K105+L105+M105</f>
        <v>10.1</v>
      </c>
    </row>
    <row r="106" spans="1:14" ht="16">
      <c r="A106" s="37" t="s">
        <v>102</v>
      </c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7">
        <v>26300.0</v>
      </c>
      <c r="N106" s="47">
        <f>B106+C106+D106+E106+F106+G106+H106+I106+J106+K106+L106+M106</f>
        <v>26300.0</v>
      </c>
    </row>
    <row r="107" spans="1:14" ht="16">
      <c r="A107" s="42" t="s">
        <v>103</v>
      </c>
      <c r="B107" s="48">
        <f>B104+B105+B106</f>
        <v>0.39</v>
      </c>
      <c r="C107" s="48">
        <f>C104+C105+C106</f>
        <v>0.48</v>
      </c>
      <c r="D107" s="48">
        <f>D104+D105+D106</f>
        <v>0.67</v>
      </c>
      <c r="E107" s="48">
        <f>E104+E105+E106</f>
        <v>0.63</v>
      </c>
      <c r="F107" s="48">
        <f>F104+F105+F106</f>
        <v>0.77</v>
      </c>
      <c r="G107" s="48">
        <f>G104+G105+G106</f>
        <v>1.23</v>
      </c>
      <c r="H107" s="48">
        <f>H104+H105+H106</f>
        <v>1.12</v>
      </c>
      <c r="I107" s="48">
        <f>I104+I105+I106</f>
        <v>1.24</v>
      </c>
      <c r="J107" s="48">
        <f>J104+J105+J106</f>
        <v>1.19</v>
      </c>
      <c r="K107" s="48">
        <f>K104+K105+K106</f>
        <v>0.68</v>
      </c>
      <c r="L107" s="48">
        <f>L104+L105+L106</f>
        <v>0.86</v>
      </c>
      <c r="M107" s="48">
        <f>M104+M105+M106</f>
        <v>26300.84</v>
      </c>
      <c r="N107" s="50">
        <f>B107+C107+D107+E107+F107+G107+H107+I107+J107+K107+L107+M107</f>
        <v>26310.1</v>
      </c>
    </row>
    <row r="108" spans="1:13" ht="16">
      <c r="A108" s="36" t="s">
        <v>104</v>
      </c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</row>
    <row r="109" spans="1:14" ht="16">
      <c r="A109" s="37" t="s">
        <v>105</v>
      </c>
      <c r="B109" s="46"/>
      <c r="C109" s="46"/>
      <c r="D109" s="46"/>
      <c r="E109" s="46"/>
      <c r="F109" s="46"/>
      <c r="G109" s="47">
        <v>2.79</v>
      </c>
      <c r="H109" s="46"/>
      <c r="I109" s="46"/>
      <c r="J109" s="46"/>
      <c r="K109" s="46"/>
      <c r="L109" s="46"/>
      <c r="M109" s="46"/>
      <c r="N109" s="47">
        <f>B109+C109+D109+E109+F109+G109+H109+I109+J109+K109+L109+M109</f>
        <v>2.79</v>
      </c>
    </row>
    <row r="110" spans="1:14" ht="16">
      <c r="A110" s="37" t="s">
        <v>106</v>
      </c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7">
        <v>10569.56</v>
      </c>
      <c r="N110" s="47">
        <f>B110+C110+D110+E110+F110+G110+H110+I110+J110+K110+L110+M110</f>
        <v>10569.56</v>
      </c>
    </row>
    <row r="111" spans="1:14" ht="16">
      <c r="A111" s="42" t="s">
        <v>107</v>
      </c>
      <c r="B111" s="50">
        <f>B108+B109+B110</f>
        <v>0.0</v>
      </c>
      <c r="C111" s="50">
        <f>C108+C109+C110</f>
        <v>0.0</v>
      </c>
      <c r="D111" s="50">
        <f>D108+D109+D110</f>
        <v>0.0</v>
      </c>
      <c r="E111" s="50">
        <f>E108+E109+E110</f>
        <v>0.0</v>
      </c>
      <c r="F111" s="50">
        <f>F108+F109+F110</f>
        <v>0.0</v>
      </c>
      <c r="G111" s="48">
        <f>G108+G109+G110</f>
        <v>2.79</v>
      </c>
      <c r="H111" s="50">
        <f>H108+H109+H110</f>
        <v>0.0</v>
      </c>
      <c r="I111" s="50">
        <f>I108+I109+I110</f>
        <v>0.0</v>
      </c>
      <c r="J111" s="50">
        <f>J108+J109+J110</f>
        <v>0.0</v>
      </c>
      <c r="K111" s="50">
        <f>K108+K109+K110</f>
        <v>0.0</v>
      </c>
      <c r="L111" s="50">
        <f>L108+L109+L110</f>
        <v>0.0</v>
      </c>
      <c r="M111" s="48">
        <f>M108+M109+M110</f>
        <v>10569.56</v>
      </c>
      <c r="N111" s="50">
        <f>B111+C111+D111+E111+F111+G111+H111+I111+J111+K111+L111+M111</f>
        <v>10572.35</v>
      </c>
    </row>
    <row r="112" spans="1:14" ht="16">
      <c r="A112" s="42" t="s">
        <v>108</v>
      </c>
      <c r="B112" s="48">
        <f>B107-B111</f>
        <v>0.39</v>
      </c>
      <c r="C112" s="48">
        <f>C107-C111</f>
        <v>0.48</v>
      </c>
      <c r="D112" s="48">
        <f>D107-D111</f>
        <v>0.67</v>
      </c>
      <c r="E112" s="48">
        <f>E107-E111</f>
        <v>0.63</v>
      </c>
      <c r="F112" s="48">
        <f>F107-F111</f>
        <v>0.77</v>
      </c>
      <c r="G112" s="48">
        <f>G107-G111</f>
        <v>-1.56</v>
      </c>
      <c r="H112" s="48">
        <f>H107-H111</f>
        <v>1.12</v>
      </c>
      <c r="I112" s="48">
        <f>I107-I111</f>
        <v>1.24</v>
      </c>
      <c r="J112" s="48">
        <f>J107-J111</f>
        <v>1.19</v>
      </c>
      <c r="K112" s="48">
        <f>K107-K111</f>
        <v>0.68</v>
      </c>
      <c r="L112" s="48">
        <f>L107-L111</f>
        <v>0.86</v>
      </c>
      <c r="M112" s="48">
        <f>M107-M111</f>
        <v>15731.28</v>
      </c>
      <c r="N112" s="50">
        <f>B112+C112+D112+E112+F112+G112+H112+I112+J112+K112+L112+M112</f>
        <v>15737.75</v>
      </c>
    </row>
    <row r="113" spans="1:14" ht="16">
      <c r="A113" s="42" t="s">
        <v>109</v>
      </c>
      <c r="B113" s="48">
        <f>B103+B112</f>
        <v>839.960000000007</v>
      </c>
      <c r="C113" s="48">
        <f>C103+C112</f>
        <v>9858.280000000017</v>
      </c>
      <c r="D113" s="48">
        <f>D103+D112</f>
        <v>51862.85000000002</v>
      </c>
      <c r="E113" s="48">
        <f>E103+E112</f>
        <v>-14730.150000000036</v>
      </c>
      <c r="F113" s="48">
        <f>F103+F112</f>
        <v>-40538.87999999997</v>
      </c>
      <c r="G113" s="48">
        <f>G103+G112</f>
        <v>47440.830000000016</v>
      </c>
      <c r="H113" s="48">
        <f>H103+H112</f>
        <v>-17900.739999999958</v>
      </c>
      <c r="I113" s="48">
        <f>I103+I112</f>
        <v>4542.039999999988</v>
      </c>
      <c r="J113" s="48">
        <f>J103+J112</f>
        <v>-74717.88</v>
      </c>
      <c r="K113" s="48">
        <f>K103+K112</f>
        <v>-90926.33000000005</v>
      </c>
      <c r="L113" s="48">
        <f>L103+L112</f>
        <v>-51724.41999999997</v>
      </c>
      <c r="M113" s="48">
        <f>M103+M112</f>
        <v>59840.75999999995</v>
      </c>
      <c r="N113" s="50">
        <f>B113+C113+D113+E113+F113+G113+H113+I113+J113+K113+L113+M113</f>
        <v>-116153.68</v>
      </c>
    </row>
    <row r="117" spans="1:1" ht="16">
      <c r="A117" s="52" t="s">
        <v>124</v>
      </c>
    </row>
  </sheetData>
  <mergeCells count="4">
    <mergeCell ref="A1:N1"/>
    <mergeCell ref="A2:N2"/>
    <mergeCell ref="A3:N3"/>
    <mergeCell ref="A117:N117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