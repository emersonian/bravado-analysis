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1" i="1" l="1"/>
</calcChain>
</file>

<file path=xl/sharedStrings.xml><?xml version="1.0" encoding="utf-8"?>
<sst xmlns="http://schemas.openxmlformats.org/spreadsheetml/2006/main" count="74" uniqueCount="74">
  <si>
    <t>BRAVADO SPICE LLC</t>
  </si>
  <si>
    <t>Profit and Loss by Month</t>
  </si>
  <si>
    <t>January 1-December 31, 2014</t>
  </si>
  <si>
    <t>Income</t>
  </si>
  <si>
    <t>61000 Sales</t>
  </si>
  <si>
    <t>61200 Hot Sauce</t>
  </si>
  <si>
    <t>61500 Sets</t>
  </si>
  <si>
    <t>63000 Events/Shows Sales</t>
  </si>
  <si>
    <t>63100 Refunds/Allowances</t>
  </si>
  <si>
    <t>Total for 63000 Events/Shows Sales</t>
  </si>
  <si>
    <t>64000 Online Sales</t>
  </si>
  <si>
    <t>Total for 61000 Sales</t>
  </si>
  <si>
    <t>Total for Income</t>
  </si>
  <si>
    <t>Cost of Goods Sold</t>
  </si>
  <si>
    <t>71000 Cost of Sales (COS)</t>
  </si>
  <si>
    <t>71100 Shipping &amp; Delivery - COS</t>
  </si>
  <si>
    <t>71300 Ingredients - COS</t>
  </si>
  <si>
    <t>71400 Co-Packer - COGS</t>
  </si>
  <si>
    <t>71500 Materials - COS</t>
  </si>
  <si>
    <t>Total for 71000 Cost of Sales (COS)</t>
  </si>
  <si>
    <t>Total for Cost of Goods Sold</t>
  </si>
  <si>
    <t>Gross Profit</t>
  </si>
  <si>
    <t>Expenses</t>
  </si>
  <si>
    <t>72000 Marketing/Advertising</t>
  </si>
  <si>
    <t>72300 Promotional</t>
  </si>
  <si>
    <t>72400 Travel</t>
  </si>
  <si>
    <t>72500 Events/Shows</t>
  </si>
  <si>
    <t>Total for 72000 Marketing/Advertising</t>
  </si>
  <si>
    <t>73000 Overhead Expenses (G&amp;A)</t>
  </si>
  <si>
    <t>73100 Rent or Lease</t>
  </si>
  <si>
    <t>73110 Office Rent</t>
  </si>
  <si>
    <t>73120 James Office</t>
  </si>
  <si>
    <t>73130 Jer Office</t>
  </si>
  <si>
    <t>Total for 73100 Rent or Lease</t>
  </si>
  <si>
    <t>73200 Office Expenses</t>
  </si>
  <si>
    <t>73210 Shipping Supplies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</si>
  <si>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</si>
  <si>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</si>
  <si>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</si>
  <si>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</si>
  <si>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</si>
  <si>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</si>
  <si>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Total for 73400 Financial Fees</t>
  </si>
  <si>
    <t>73500 Dues &amp; Subscriptions</t>
  </si>
  <si>
    <t>73600 Insurance</t>
  </si>
  <si>
    <t>73620 Insurance - Liability</t>
  </si>
  <si>
    <t>Total for 73600 Insurance</t>
  </si>
  <si>
    <t>73700 Professional Fees</t>
  </si>
  <si>
    <t>73800 Taxes &amp; Licenses</t>
  </si>
  <si>
    <t>Total for 73000 Overhead Expenses (G&amp;A)</t>
  </si>
  <si>
    <t>75000 Travel</t>
  </si>
  <si>
    <t>76000 Repair &amp; Maintenance</t>
  </si>
  <si>
    <t>Total for Expenses</t>
  </si>
  <si>
    <t>Net Operating Income</t>
  </si>
  <si>
    <t>Other Expenses</t>
  </si>
  <si>
    <t>90000 Other Miscellaneous Expense</t>
  </si>
  <si>
    <t>Total for Other Expenses</t>
  </si>
  <si>
    <t>Net Other Income</t>
  </si>
  <si>
    <t>Net Income</t>
  </si>
  <si>
    <t/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</si>
  <si>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</si>
  <si>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</si>
  <si>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</si>
  <si>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</si>
  <si>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</si>
  <si>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</si>
  <si>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</si>
  <si>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</si>
  <si>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</si>
  <si>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</si>
  <si>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</si>
  <si>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</si>
  <si>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Total</t>
  </si>
  <si>
    <t>Accrual Basis Tuesday, August 25, 2026 03:28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</si>
</sst>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65"/>
  <sheetViews>
    <sheetView tabSelected="1" workbookViewId="0" topLeftCell="A1"/>
  </sheetViews>
  <sheetFormatPr defaultColWidth="11.255" defaultRowHeight="16"/>
  <cols>
    <col min="1" max="1" width="34.125" style="42" customWidth="1"/>
    <col min="2" max="2" width="17" style="42" customWidth="1"/>
    <col min="3" max="4" width="16.125" style="42" customWidth="1"/>
    <col min="5" max="5" width="17" style="42" customWidth="1"/>
    <col min="6" max="8" width="16.125" style="42" customWidth="1"/>
    <col min="9" max="10" width="17" style="42" customWidth="1"/>
    <col min="11" max="13" width="16.125" style="42" customWidth="1"/>
    <col min="14" max="14" width="17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14" ht="16">
      <c r="A5" s="44" t="s">
        <v>59</v>
      </c>
      <c r="B5" s="49" t="s">
        <v>60</v>
      </c>
      <c r="C5" s="49" t="s">
        <v>61</v>
      </c>
      <c r="D5" s="49" t="s">
        <v>62</v>
      </c>
      <c r="E5" s="49" t="s">
        <v>63</v>
      </c>
      <c r="F5" s="49" t="s">
        <v>64</v>
      </c>
      <c r="G5" s="49" t="s">
        <v>65</v>
      </c>
      <c r="H5" s="49" t="s">
        <v>66</v>
      </c>
      <c r="I5" s="49" t="s">
        <v>67</v>
      </c>
      <c r="J5" s="49" t="s">
        <v>68</v>
      </c>
      <c r="K5" s="49" t="s">
        <v>69</v>
      </c>
      <c r="L5" s="49" t="s">
        <v>70</v>
      </c>
      <c r="M5" s="49" t="s">
        <v>71</v>
      </c>
      <c r="N5" s="49" t="s">
        <v>72</v>
      </c>
    </row>
    <row r="6" spans="1:13" ht="16">
      <c r="A6" s="35" t="s">
        <v>3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</row>
    <row r="7" spans="1:14" ht="16">
      <c r="A7" s="36" t="s">
        <v>4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6">
        <v>20817.28</v>
      </c>
      <c r="N7" s="46">
        <f>B7+C7+D7+E7+F7+G7+H7+I7+J7+K7+L7+M7</f>
        <v>20817.28</v>
      </c>
    </row>
    <row r="8" spans="1:14" ht="16">
      <c r="A8" s="37" t="s">
        <v>5</v>
      </c>
      <c r="B8" s="46">
        <v>3228.12</v>
      </c>
      <c r="C8" s="46">
        <v>1958.04</v>
      </c>
      <c r="D8" s="45"/>
      <c r="E8" s="46">
        <v>105.84</v>
      </c>
      <c r="F8" s="45"/>
      <c r="G8" s="45"/>
      <c r="H8" s="45"/>
      <c r="I8" s="45"/>
      <c r="J8" s="45"/>
      <c r="K8" s="45"/>
      <c r="L8" s="45"/>
      <c r="M8" s="45"/>
      <c r="N8" s="46">
        <f>B8+C8+D8+E8+F8+G8+H8+I8+J8+K8+L8+M8</f>
        <v>5292.0</v>
      </c>
    </row>
    <row r="9" spans="1:14" ht="16">
      <c r="A9" s="37" t="s">
        <v>6</v>
      </c>
      <c r="B9" s="46">
        <v>1090.0</v>
      </c>
      <c r="C9" s="46">
        <v>3116.16</v>
      </c>
      <c r="D9" s="46">
        <v>4529.66</v>
      </c>
      <c r="E9" s="46">
        <v>1700.0</v>
      </c>
      <c r="F9" s="46">
        <v>1587.0</v>
      </c>
      <c r="G9" s="46">
        <v>2738.16</v>
      </c>
      <c r="H9" s="46">
        <v>5849.2</v>
      </c>
      <c r="I9" s="46">
        <v>1823.0</v>
      </c>
      <c r="J9" s="46">
        <v>1314.78</v>
      </c>
      <c r="K9" s="46">
        <v>3696.43</v>
      </c>
      <c r="L9" s="46">
        <v>3541.1</v>
      </c>
      <c r="M9" s="46">
        <v>1131.03</v>
      </c>
      <c r="N9" s="46">
        <f>B9+C9+D9+E9+F9+G9+H9+I9+J9+K9+L9+M9</f>
        <v>32116.519999999997</v>
      </c>
    </row>
    <row r="10" spans="1:14" ht="16">
      <c r="A10" s="37" t="s">
        <v>7</v>
      </c>
      <c r="B10" s="46">
        <v>1112.71</v>
      </c>
      <c r="C10" s="46">
        <v>635.35</v>
      </c>
      <c r="D10" s="46">
        <v>808.52</v>
      </c>
      <c r="E10" s="46">
        <v>559.94</v>
      </c>
      <c r="F10" s="46">
        <v>981.25</v>
      </c>
      <c r="G10" s="46">
        <v>1702.26</v>
      </c>
      <c r="H10" s="46">
        <v>571.74</v>
      </c>
      <c r="I10" s="46">
        <v>985.1</v>
      </c>
      <c r="J10" s="46">
        <v>2476.66</v>
      </c>
      <c r="K10" s="46">
        <v>3575.53</v>
      </c>
      <c r="L10" s="46">
        <v>2002.3</v>
      </c>
      <c r="M10" s="46">
        <v>7605.26</v>
      </c>
      <c r="N10" s="46">
        <f>B10+C10+D10+E10+F10+G10+H10+I10+J10+K10+L10+M10</f>
        <v>23016.620000000003</v>
      </c>
    </row>
    <row r="11" spans="1:14" ht="16">
      <c r="A11" s="38" t="s">
        <v>8</v>
      </c>
      <c r="B11" s="45"/>
      <c r="C11" s="45"/>
      <c r="D11" s="45"/>
      <c r="E11" s="46">
        <v>-250.0</v>
      </c>
      <c r="F11" s="45"/>
      <c r="G11" s="45"/>
      <c r="H11" s="45"/>
      <c r="I11" s="45"/>
      <c r="J11" s="45"/>
      <c r="K11" s="45"/>
      <c r="L11" s="45"/>
      <c r="M11" s="45"/>
      <c r="N11" s="46">
        <f>B11+C11+D11+E11+F11+G11+H11+I11+J11+K11+L11+M11</f>
        <v>-250.0</v>
      </c>
    </row>
    <row r="12" spans="1:14" ht="16">
      <c r="A12" s="39" t="s">
        <v>9</v>
      </c>
      <c r="B12" s="47">
        <f>B10+B11</f>
        <v>1112.71</v>
      </c>
      <c r="C12" s="47">
        <f>C10+C11</f>
        <v>635.35</v>
      </c>
      <c r="D12" s="47">
        <f>D10+D11</f>
        <v>808.52</v>
      </c>
      <c r="E12" s="47">
        <f>E10+E11</f>
        <v>309.94000000000005</v>
      </c>
      <c r="F12" s="47">
        <f>F10+F11</f>
        <v>981.25</v>
      </c>
      <c r="G12" s="47">
        <f>G10+G11</f>
        <v>1702.26</v>
      </c>
      <c r="H12" s="47">
        <f>H10+H11</f>
        <v>571.74</v>
      </c>
      <c r="I12" s="47">
        <f>I10+I11</f>
        <v>985.1</v>
      </c>
      <c r="J12" s="47">
        <f>J10+J11</f>
        <v>2476.66</v>
      </c>
      <c r="K12" s="47">
        <f>K10+K11</f>
        <v>3575.53</v>
      </c>
      <c r="L12" s="47">
        <f>L10+L11</f>
        <v>2002.3</v>
      </c>
      <c r="M12" s="47">
        <f>M10+M11</f>
        <v>7605.26</v>
      </c>
      <c r="N12" s="48">
        <f>B12+C12+D12+E12+F12+G12+H12+I12+J12+K12+L12+M12</f>
        <v>22766.62</v>
      </c>
    </row>
    <row r="13" spans="1:14" ht="16">
      <c r="A13" s="37" t="s">
        <v>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>
        <v>497.98</v>
      </c>
      <c r="N13" s="46">
        <f>B13+C13+D13+E13+F13+G13+H13+I13+J13+K13+L13+M13</f>
        <v>497.98</v>
      </c>
    </row>
    <row r="14" spans="1:14" ht="16">
      <c r="A14" s="40" t="s">
        <v>11</v>
      </c>
      <c r="B14" s="47">
        <f>B7+B8+B9+B12+B13</f>
        <v>5430.83</v>
      </c>
      <c r="C14" s="47">
        <f>C7+C8+C9+C12+C13</f>
        <v>5709.55</v>
      </c>
      <c r="D14" s="47">
        <f>D7+D8+D9+D12+D13</f>
        <v>5338.18</v>
      </c>
      <c r="E14" s="47">
        <f>E7+E8+E9+E12+E13</f>
        <v>2115.7799999999997</v>
      </c>
      <c r="F14" s="47">
        <f>F7+F8+F9+F12+F13</f>
        <v>2568.25</v>
      </c>
      <c r="G14" s="47">
        <f>G7+G8+G9+G12+G13</f>
        <v>4440.42</v>
      </c>
      <c r="H14" s="47">
        <f>H7+H8+H9+H12+H13</f>
        <v>6420.94</v>
      </c>
      <c r="I14" s="47">
        <f>I7+I8+I9+I12+I13</f>
        <v>2808.1</v>
      </c>
      <c r="J14" s="47">
        <f>J7+J8+J9+J12+J13</f>
        <v>3791.4399999999996</v>
      </c>
      <c r="K14" s="47">
        <f>K7+K8+K9+K12+K13</f>
        <v>7271.96</v>
      </c>
      <c r="L14" s="47">
        <f>L7+L8+L9+L12+L13</f>
        <v>5543.4</v>
      </c>
      <c r="M14" s="47">
        <f>M7+M8+M9+M12+M13</f>
        <v>30051.55</v>
      </c>
      <c r="N14" s="48">
        <f>B14+C14+D14+E14+F14+G14+H14+I14+J14+K14+L14+M14</f>
        <v>81490.40000000001</v>
      </c>
    </row>
    <row r="15" spans="1:14" ht="16">
      <c r="A15" s="41" t="s">
        <v>12</v>
      </c>
      <c r="B15" s="47">
        <f>B6+B14</f>
        <v>5430.83</v>
      </c>
      <c r="C15" s="47">
        <f>C6+C14</f>
        <v>5709.55</v>
      </c>
      <c r="D15" s="47">
        <f>D6+D14</f>
        <v>5338.18</v>
      </c>
      <c r="E15" s="47">
        <f>E6+E14</f>
        <v>2115.7799999999997</v>
      </c>
      <c r="F15" s="47">
        <f>F6+F14</f>
        <v>2568.25</v>
      </c>
      <c r="G15" s="47">
        <f>G6+G14</f>
        <v>4440.42</v>
      </c>
      <c r="H15" s="47">
        <f>H6+H14</f>
        <v>6420.94</v>
      </c>
      <c r="I15" s="47">
        <f>I6+I14</f>
        <v>2808.1</v>
      </c>
      <c r="J15" s="47">
        <f>J6+J14</f>
        <v>3791.4399999999996</v>
      </c>
      <c r="K15" s="47">
        <f>K6+K14</f>
        <v>7271.96</v>
      </c>
      <c r="L15" s="47">
        <f>L6+L14</f>
        <v>5543.4</v>
      </c>
      <c r="M15" s="47">
        <f>M6+M14</f>
        <v>30051.55</v>
      </c>
      <c r="N15" s="48">
        <f>B15+C15+D15+E15+F15+G15+H15+I15+J15+K15+L15+M15</f>
        <v>81490.40000000001</v>
      </c>
    </row>
    <row r="16" spans="1:13" ht="16">
      <c r="A16" s="35" t="s">
        <v>13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1:14" ht="16">
      <c r="A17" s="36" t="s">
        <v>14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1:14" ht="16">
      <c r="A18" s="37" t="s">
        <v>15</v>
      </c>
      <c r="B18" s="46">
        <v>33.2</v>
      </c>
      <c r="C18" s="46">
        <v>177.79</v>
      </c>
      <c r="D18" s="46">
        <v>67.4</v>
      </c>
      <c r="E18" s="46">
        <v>83.96</v>
      </c>
      <c r="F18" s="46">
        <v>819.13</v>
      </c>
      <c r="G18" s="46">
        <v>135.88</v>
      </c>
      <c r="H18" s="46">
        <v>168.5</v>
      </c>
      <c r="I18" s="46">
        <v>44.81</v>
      </c>
      <c r="J18" s="46">
        <v>218.22</v>
      </c>
      <c r="K18" s="46">
        <v>410.24</v>
      </c>
      <c r="L18" s="46">
        <v>198.09</v>
      </c>
      <c r="M18" s="46">
        <v>777.18</v>
      </c>
      <c r="N18" s="46">
        <f>B18+C18+D18+E18+F18+G18+H18+I18+J18+K18+L18+M18</f>
        <v>3134.4</v>
      </c>
    </row>
    <row r="19" spans="1:14" ht="16">
      <c r="A19" s="37" t="s">
        <v>16</v>
      </c>
      <c r="B19" s="46">
        <v>136.66</v>
      </c>
      <c r="C19" s="45"/>
      <c r="D19" s="45"/>
      <c r="E19" s="46">
        <v>84.53</v>
      </c>
      <c r="F19" s="45"/>
      <c r="G19" s="46">
        <v>267.41</v>
      </c>
      <c r="H19" s="45"/>
      <c r="I19" s="46">
        <v>7.98</v>
      </c>
      <c r="J19" s="46">
        <v>367.83</v>
      </c>
      <c r="K19" s="46">
        <v>27.65</v>
      </c>
      <c r="L19" s="46">
        <v>344.7</v>
      </c>
      <c r="M19" s="46">
        <v>282.69</v>
      </c>
      <c r="N19" s="46">
        <f>B19+C19+D19+E19+F19+G19+H19+I19+J19+K19+L19+M19</f>
        <v>1519.45</v>
      </c>
    </row>
    <row r="20" spans="1:14" ht="16">
      <c r="A20" s="37" t="s">
        <v>17</v>
      </c>
      <c r="B20" s="46">
        <v>2026.05</v>
      </c>
      <c r="C20" s="46">
        <v>1575.86</v>
      </c>
      <c r="D20" s="46">
        <v>2640.4</v>
      </c>
      <c r="E20" s="46">
        <v>2371.95</v>
      </c>
      <c r="F20" s="45"/>
      <c r="G20" s="46">
        <v>1599.95</v>
      </c>
      <c r="H20" s="46">
        <v>5382.4</v>
      </c>
      <c r="I20" s="46">
        <v>940.65</v>
      </c>
      <c r="J20" s="46">
        <v>3707.4</v>
      </c>
      <c r="K20" s="46">
        <v>1515.3</v>
      </c>
      <c r="L20" s="45"/>
      <c r="M20" s="46">
        <v>4014.7</v>
      </c>
      <c r="N20" s="46">
        <f>B20+C20+D20+E20+F20+G20+H20+I20+J20+K20+L20+M20</f>
        <v>25774.66</v>
      </c>
    </row>
    <row r="21" spans="1:14" ht="16">
      <c r="A21" s="37" t="s">
        <v>18</v>
      </c>
      <c r="B21" s="46">
        <v>947.56</v>
      </c>
      <c r="C21" s="45"/>
      <c r="D21" s="46">
        <v>825.09</v>
      </c>
      <c r="E21" s="45"/>
      <c r="F21" s="46">
        <v>625.98</v>
      </c>
      <c r="G21" s="46">
        <v>1765.59</v>
      </c>
      <c r="H21" s="45"/>
      <c r="I21" s="46">
        <v>83.32</v>
      </c>
      <c r="J21" s="46">
        <v>1352.8</v>
      </c>
      <c r="K21" s="45"/>
      <c r="L21" s="46">
        <v>6.43</v>
      </c>
      <c r="M21" s="46">
        <v>385.17</v>
      </c>
      <c r="N21" s="46">
        <f>B21+C21+D21+E21+F21+G21+H21+I21+J21+K21+L21+M21</f>
        <v>5991.9400000000005</v>
      </c>
    </row>
    <row r="22" spans="1:14" ht="16">
      <c r="A22" s="40" t="s">
        <v>19</v>
      </c>
      <c r="B22" s="47">
        <f>B17+B18+B19+B20+B21</f>
        <v>3143.47</v>
      </c>
      <c r="C22" s="47">
        <f>C17+C18+C19+C20+C21</f>
        <v>1753.6499999999999</v>
      </c>
      <c r="D22" s="47">
        <f>D17+D18+D19+D20+D21</f>
        <v>3532.8900000000003</v>
      </c>
      <c r="E22" s="47">
        <f>E17+E18+E19+E20+E21</f>
        <v>2540.4399999999996</v>
      </c>
      <c r="F22" s="47">
        <f>F17+F18+F19+F20+F21</f>
        <v>1445.1100000000001</v>
      </c>
      <c r="G22" s="47">
        <f>G17+G18+G19+G20+G21</f>
        <v>3768.83</v>
      </c>
      <c r="H22" s="47">
        <f>H17+H18+H19+H20+H21</f>
        <v>5550.9</v>
      </c>
      <c r="I22" s="47">
        <f>I17+I18+I19+I20+I21</f>
        <v>1076.76</v>
      </c>
      <c r="J22" s="47">
        <f>J17+J18+J19+J20+J21</f>
        <v>5646.25</v>
      </c>
      <c r="K22" s="47">
        <f>K17+K18+K19+K20+K21</f>
        <v>1953.19</v>
      </c>
      <c r="L22" s="47">
        <f>L17+L18+L19+L20+L21</f>
        <v>549.2199999999999</v>
      </c>
      <c r="M22" s="47">
        <f>M17+M18+M19+M20+M21</f>
        <v>5459.74</v>
      </c>
      <c r="N22" s="48">
        <f>B22+C22+D22+E22+F22+G22+H22+I22+J22+K22+L22+M22</f>
        <v>36420.45</v>
      </c>
    </row>
    <row r="23" spans="1:14" ht="16">
      <c r="A23" s="41" t="s">
        <v>20</v>
      </c>
      <c r="B23" s="47">
        <f>B16+B22</f>
        <v>3143.47</v>
      </c>
      <c r="C23" s="47">
        <f>C16+C22</f>
        <v>1753.6499999999999</v>
      </c>
      <c r="D23" s="47">
        <f>D16+D22</f>
        <v>3532.8900000000003</v>
      </c>
      <c r="E23" s="47">
        <f>E16+E22</f>
        <v>2540.4399999999996</v>
      </c>
      <c r="F23" s="47">
        <f>F16+F22</f>
        <v>1445.1100000000001</v>
      </c>
      <c r="G23" s="47">
        <f>G16+G22</f>
        <v>3768.83</v>
      </c>
      <c r="H23" s="47">
        <f>H16+H22</f>
        <v>5550.9</v>
      </c>
      <c r="I23" s="47">
        <f>I16+I22</f>
        <v>1076.76</v>
      </c>
      <c r="J23" s="47">
        <f>J16+J22</f>
        <v>5646.25</v>
      </c>
      <c r="K23" s="47">
        <f>K16+K22</f>
        <v>1953.19</v>
      </c>
      <c r="L23" s="47">
        <f>L16+L22</f>
        <v>549.2199999999999</v>
      </c>
      <c r="M23" s="47">
        <f>M16+M22</f>
        <v>5459.74</v>
      </c>
      <c r="N23" s="48">
        <f>B23+C23+D23+E23+F23+G23+H23+I23+J23+K23+L23+M23</f>
        <v>36420.45</v>
      </c>
    </row>
    <row r="24" spans="1:14" ht="16">
      <c r="A24" s="41" t="s">
        <v>21</v>
      </c>
      <c r="B24" s="47">
        <f>B15-B23</f>
        <v>2287.36</v>
      </c>
      <c r="C24" s="47">
        <f>C15-C23</f>
        <v>3955.9000000000005</v>
      </c>
      <c r="D24" s="47">
        <f>D15-D23</f>
        <v>1805.29</v>
      </c>
      <c r="E24" s="47">
        <f>E15-E23</f>
        <v>-424.65999999999985</v>
      </c>
      <c r="F24" s="47">
        <f>F15-F23</f>
        <v>1123.1399999999999</v>
      </c>
      <c r="G24" s="47">
        <f>G15-G23</f>
        <v>671.5900000000001</v>
      </c>
      <c r="H24" s="47">
        <f>H15-H23</f>
        <v>870.04</v>
      </c>
      <c r="I24" s="47">
        <f>I15-I23</f>
        <v>1731.34</v>
      </c>
      <c r="J24" s="47">
        <f>J15-J23</f>
        <v>-1854.8100000000004</v>
      </c>
      <c r="K24" s="47">
        <f>K15-K23</f>
        <v>5318.77</v>
      </c>
      <c r="L24" s="47">
        <f>L15-L23</f>
        <v>4994.179999999999</v>
      </c>
      <c r="M24" s="47">
        <f>M15-M23</f>
        <v>24591.809999999998</v>
      </c>
      <c r="N24" s="48">
        <f>B24+C24+D24+E24+F24+G24+H24+I24+J24+K24+L24+M24</f>
        <v>45069.95</v>
      </c>
    </row>
    <row r="25" spans="1:13" ht="16">
      <c r="A25" s="35" t="s">
        <v>22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spans="1:14" ht="16">
      <c r="A26" s="36" t="s">
        <v>23</v>
      </c>
      <c r="B26" s="46">
        <v>400.0</v>
      </c>
      <c r="C26" s="45"/>
      <c r="D26" s="46">
        <v>302.0</v>
      </c>
      <c r="E26" s="45"/>
      <c r="F26" s="46">
        <v>4.0</v>
      </c>
      <c r="G26" s="46">
        <v>75.0</v>
      </c>
      <c r="H26" s="46">
        <v>229.55</v>
      </c>
      <c r="I26" s="46">
        <v>223.7</v>
      </c>
      <c r="J26" s="46">
        <v>104.0</v>
      </c>
      <c r="K26" s="46">
        <v>125.54</v>
      </c>
      <c r="L26" s="46">
        <v>21.86</v>
      </c>
      <c r="M26" s="46">
        <v>97.47</v>
      </c>
      <c r="N26" s="46">
        <f>B26+C26+D26+E26+F26+G26+H26+I26+J26+K26+L26+M26</f>
        <v>1583.12</v>
      </c>
    </row>
    <row r="27" spans="1:14" ht="16">
      <c r="A27" s="37" t="s">
        <v>24</v>
      </c>
      <c r="B27" s="46">
        <v>84.46</v>
      </c>
      <c r="C27" s="46">
        <v>161.73</v>
      </c>
      <c r="D27" s="46">
        <v>-75.21</v>
      </c>
      <c r="E27" s="46">
        <v>110.4</v>
      </c>
      <c r="F27" s="46">
        <v>245.56</v>
      </c>
      <c r="G27" s="46">
        <v>38.09</v>
      </c>
      <c r="H27" s="46">
        <v>70.35</v>
      </c>
      <c r="I27" s="46">
        <v>166.72</v>
      </c>
      <c r="J27" s="46">
        <v>297.16</v>
      </c>
      <c r="K27" s="46">
        <v>210.88</v>
      </c>
      <c r="L27" s="46">
        <v>608.04</v>
      </c>
      <c r="M27" s="46">
        <v>280.96</v>
      </c>
      <c r="N27" s="46">
        <f>B27+C27+D27+E27+F27+G27+H27+I27+J27+K27+L27+M27</f>
        <v>2199.1400000000003</v>
      </c>
    </row>
    <row r="28" spans="1:14" ht="16">
      <c r="A28" s="37" t="s">
        <v>25</v>
      </c>
      <c r="B28" s="46">
        <v>327.3</v>
      </c>
      <c r="C28" s="46">
        <v>519.88</v>
      </c>
      <c r="D28" s="46">
        <v>605.69</v>
      </c>
      <c r="E28" s="46">
        <v>105.72</v>
      </c>
      <c r="F28" s="46">
        <v>7.98</v>
      </c>
      <c r="G28" s="46">
        <v>78.42</v>
      </c>
      <c r="H28" s="46">
        <v>28.19</v>
      </c>
      <c r="I28" s="46">
        <v>106.35</v>
      </c>
      <c r="J28" s="46">
        <v>239.48</v>
      </c>
      <c r="K28" s="46">
        <v>399.77</v>
      </c>
      <c r="L28" s="46">
        <v>91.59</v>
      </c>
      <c r="M28" s="46">
        <v>234.38</v>
      </c>
      <c r="N28" s="46">
        <f>B28+C28+D28+E28+F28+G28+H28+I28+J28+K28+L28+M28</f>
        <v>2744.7500000000005</v>
      </c>
    </row>
    <row r="29" spans="1:14" ht="16">
      <c r="A29" s="37" t="s">
        <v>26</v>
      </c>
      <c r="B29" s="45"/>
      <c r="C29" s="46">
        <v>984.5</v>
      </c>
      <c r="D29" s="46">
        <v>180.0</v>
      </c>
      <c r="E29" s="46">
        <v>185.0</v>
      </c>
      <c r="F29" s="46">
        <v>200.0</v>
      </c>
      <c r="G29" s="46">
        <v>330.0</v>
      </c>
      <c r="H29" s="46">
        <v>550.0</v>
      </c>
      <c r="I29" s="46">
        <v>575.0</v>
      </c>
      <c r="J29" s="45"/>
      <c r="K29" s="46">
        <v>400.0</v>
      </c>
      <c r="L29" s="46">
        <v>200.0</v>
      </c>
      <c r="M29" s="46">
        <v>75.0</v>
      </c>
      <c r="N29" s="46">
        <f>B29+C29+D29+E29+F29+G29+H29+I29+J29+K29+L29+M29</f>
        <v>3679.5</v>
      </c>
    </row>
    <row r="30" spans="1:14" ht="16">
      <c r="A30" s="40" t="s">
        <v>27</v>
      </c>
      <c r="B30" s="47">
        <f>B26+B27+B28+B29</f>
        <v>811.76</v>
      </c>
      <c r="C30" s="47">
        <f>C26+C27+C28+C29</f>
        <v>1666.1100000000001</v>
      </c>
      <c r="D30" s="47">
        <f>D26+D27+D28+D29</f>
        <v>1012.48</v>
      </c>
      <c r="E30" s="47">
        <f>E26+E27+E28+E29</f>
        <v>401.12</v>
      </c>
      <c r="F30" s="47">
        <f>F26+F27+F28+F29</f>
        <v>457.54</v>
      </c>
      <c r="G30" s="47">
        <f>G26+G27+G28+G29</f>
        <v>521.51</v>
      </c>
      <c r="H30" s="47">
        <f>H26+H27+H28+H29</f>
        <v>878.0899999999999</v>
      </c>
      <c r="I30" s="47">
        <f>I26+I27+I28+I29</f>
        <v>1071.77</v>
      </c>
      <c r="J30" s="47">
        <f>J26+J27+J28+J29</f>
        <v>640.64</v>
      </c>
      <c r="K30" s="47">
        <f>K26+K27+K28+K29</f>
        <v>1136.19</v>
      </c>
      <c r="L30" s="47">
        <f>L26+L27+L28+L29</f>
        <v>921.49</v>
      </c>
      <c r="M30" s="47">
        <f>M26+M27+M28+M29</f>
        <v>687.81</v>
      </c>
      <c r="N30" s="48">
        <f>B30+C30+D30+E30+F30+G30+H30+I30+J30+K30+L30+M30</f>
        <v>10206.51</v>
      </c>
    </row>
    <row r="31" spans="1:14" ht="16">
      <c r="A31" s="36" t="s">
        <v>28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 ht="16">
      <c r="A32" s="37" t="s">
        <v>29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 ht="16">
      <c r="A33" s="38" t="s">
        <v>30</v>
      </c>
      <c r="B33" s="46">
        <v>275.0</v>
      </c>
      <c r="C33" s="46">
        <v>275.0</v>
      </c>
      <c r="D33" s="46">
        <v>275.0</v>
      </c>
      <c r="E33" s="46">
        <v>275.0</v>
      </c>
      <c r="F33" s="46">
        <v>275.0</v>
      </c>
      <c r="G33" s="46">
        <v>275.0</v>
      </c>
      <c r="H33" s="46">
        <v>375.0</v>
      </c>
      <c r="I33" s="46">
        <v>384.0</v>
      </c>
      <c r="J33" s="46">
        <v>375.0</v>
      </c>
      <c r="K33" s="46">
        <v>375.0</v>
      </c>
      <c r="L33" s="46">
        <v>375.0</v>
      </c>
      <c r="M33" s="46">
        <v>375.0</v>
      </c>
      <c r="N33" s="46">
        <f>B33+C33+D33+E33+F33+G33+H33+I33+J33+K33+L33+M33</f>
        <v>3909.0</v>
      </c>
    </row>
    <row r="34" spans="1:14" ht="16">
      <c r="A34" s="38" t="s">
        <v>31</v>
      </c>
      <c r="B34" s="46">
        <v>617.5</v>
      </c>
      <c r="C34" s="45"/>
      <c r="D34" s="46">
        <v>600.0</v>
      </c>
      <c r="E34" s="46">
        <v>617.0</v>
      </c>
      <c r="F34" s="46">
        <v>612.5</v>
      </c>
      <c r="G34" s="46">
        <v>612.5</v>
      </c>
      <c r="H34" s="46">
        <v>617.0</v>
      </c>
      <c r="I34" s="46">
        <v>612.5</v>
      </c>
      <c r="J34" s="46">
        <v>630.34</v>
      </c>
      <c r="K34" s="46">
        <v>630.0</v>
      </c>
      <c r="L34" s="46">
        <v>643.7</v>
      </c>
      <c r="M34" s="46">
        <v>642.64</v>
      </c>
      <c r="N34" s="46">
        <f>B34+C34+D34+E34+F34+G34+H34+I34+J34+K34+L34+M34</f>
        <v>6835.68</v>
      </c>
    </row>
    <row r="35" spans="1:14" ht="16">
      <c r="A35" s="38" t="s">
        <v>32</v>
      </c>
      <c r="B35" s="46">
        <v>525.0</v>
      </c>
      <c r="C35" s="45"/>
      <c r="D35" s="46">
        <v>520.0</v>
      </c>
      <c r="E35" s="45"/>
      <c r="F35" s="46">
        <v>525.0</v>
      </c>
      <c r="G35" s="45"/>
      <c r="H35" s="46">
        <v>1250.0</v>
      </c>
      <c r="I35" s="45"/>
      <c r="J35" s="45"/>
      <c r="K35" s="45"/>
      <c r="L35" s="45"/>
      <c r="M35" s="46">
        <v>500.0</v>
      </c>
      <c r="N35" s="46">
        <f>B35+C35+D35+E35+F35+G35+H35+I35+J35+K35+L35+M35</f>
        <v>3320.0</v>
      </c>
    </row>
    <row r="36" spans="1:14" ht="16">
      <c r="A36" s="39" t="s">
        <v>33</v>
      </c>
      <c r="B36" s="47">
        <f>B32+B33+B34+B35</f>
        <v>1417.5</v>
      </c>
      <c r="C36" s="47">
        <f>C32+C33+C34+C35</f>
        <v>275.0</v>
      </c>
      <c r="D36" s="47">
        <f>D32+D33+D34+D35</f>
        <v>1395.0</v>
      </c>
      <c r="E36" s="47">
        <f>E32+E33+E34+E35</f>
        <v>892.0</v>
      </c>
      <c r="F36" s="47">
        <f>F32+F33+F34+F35</f>
        <v>1412.5</v>
      </c>
      <c r="G36" s="47">
        <f>G32+G33+G34+G35</f>
        <v>887.5</v>
      </c>
      <c r="H36" s="47">
        <f>H32+H33+H34+H35</f>
        <v>2242.0</v>
      </c>
      <c r="I36" s="47">
        <f>I32+I33+I34+I35</f>
        <v>996.5</v>
      </c>
      <c r="J36" s="47">
        <f>J32+J33+J34+J35</f>
        <v>1005.34</v>
      </c>
      <c r="K36" s="47">
        <f>K32+K33+K34+K35</f>
        <v>1005.0</v>
      </c>
      <c r="L36" s="47">
        <f>L32+L33+L34+L35</f>
        <v>1018.7</v>
      </c>
      <c r="M36" s="47">
        <f>M32+M33+M34+M35</f>
        <v>1517.6399999999999</v>
      </c>
      <c r="N36" s="48">
        <f>B36+C36+D36+E36+F36+G36+H36+I36+J36+K36+L36+M36</f>
        <v>14064.68</v>
      </c>
    </row>
    <row r="37" spans="1:14" ht="16">
      <c r="A37" s="37" t="s">
        <v>34</v>
      </c>
      <c r="B37" s="46">
        <v>95.87</v>
      </c>
      <c r="C37" s="46">
        <v>9.92</v>
      </c>
      <c r="D37" s="46">
        <v>10.25</v>
      </c>
      <c r="E37" s="45"/>
      <c r="F37" s="45"/>
      <c r="G37" s="45"/>
      <c r="H37" s="45"/>
      <c r="I37" s="46">
        <v>155.94</v>
      </c>
      <c r="J37" s="46">
        <v>125.42</v>
      </c>
      <c r="K37" s="46">
        <v>-0.22</v>
      </c>
      <c r="L37" s="46">
        <v>-19.04</v>
      </c>
      <c r="M37" s="46">
        <v>447.21</v>
      </c>
      <c r="N37" s="46">
        <f>B37+C37+D37+E37+F37+G37+H37+I37+J37+K37+L37+M37</f>
        <v>825.3499999999999</v>
      </c>
    </row>
    <row r="38" spans="1:14" ht="16">
      <c r="A38" s="38" t="s">
        <v>35</v>
      </c>
      <c r="B38" s="46">
        <v>75.74</v>
      </c>
      <c r="C38" s="45"/>
      <c r="D38" s="46">
        <v>39.55</v>
      </c>
      <c r="E38" s="46">
        <v>10.15</v>
      </c>
      <c r="F38" s="46">
        <v>18.38</v>
      </c>
      <c r="G38" s="46">
        <v>36.11</v>
      </c>
      <c r="H38" s="46">
        <v>86.59</v>
      </c>
      <c r="I38" s="46">
        <v>109.04</v>
      </c>
      <c r="J38" s="46">
        <v>127.49</v>
      </c>
      <c r="K38" s="46">
        <v>247.01</v>
      </c>
      <c r="L38" s="46">
        <v>245.76</v>
      </c>
      <c r="M38" s="46">
        <v>104.43</v>
      </c>
      <c r="N38" s="46">
        <f>B38+C38+D38+E38+F38+G38+H38+I38+J38+K38+L38+M38</f>
        <v>1100.25</v>
      </c>
    </row>
    <row r="39" spans="1:14" ht="16">
      <c r="A39" s="39" t="s">
        <v>36</v>
      </c>
      <c r="B39" s="47">
        <f>B37+B38</f>
        <v>171.61</v>
      </c>
      <c r="C39" s="47">
        <f>C37+C38</f>
        <v>9.92</v>
      </c>
      <c r="D39" s="47">
        <f>D37+D38</f>
        <v>49.8</v>
      </c>
      <c r="E39" s="47">
        <f>E37+E38</f>
        <v>10.15</v>
      </c>
      <c r="F39" s="47">
        <f>F37+F38</f>
        <v>18.38</v>
      </c>
      <c r="G39" s="47">
        <f>G37+G38</f>
        <v>36.11</v>
      </c>
      <c r="H39" s="47">
        <f>H37+H38</f>
        <v>86.59</v>
      </c>
      <c r="I39" s="47">
        <f>I37+I38</f>
        <v>264.98</v>
      </c>
      <c r="J39" s="47">
        <f>J37+J38</f>
        <v>252.91</v>
      </c>
      <c r="K39" s="47">
        <f>K37+K38</f>
        <v>246.79</v>
      </c>
      <c r="L39" s="47">
        <f>L37+L38</f>
        <v>226.72</v>
      </c>
      <c r="M39" s="47">
        <f>M37+M38</f>
        <v>551.64</v>
      </c>
      <c r="N39" s="48">
        <f>B39+C39+D39+E39+F39+G39+H39+I39+J39+K39+L39+M39</f>
        <v>1925.6</v>
      </c>
    </row>
    <row r="40" spans="1:14" ht="16">
      <c r="A40" s="37" t="s">
        <v>37</v>
      </c>
      <c r="B40" s="45"/>
      <c r="C40" s="45"/>
      <c r="D40" s="45"/>
      <c r="E40" s="45"/>
      <c r="F40" s="45"/>
      <c r="G40" s="46">
        <v>115.0</v>
      </c>
      <c r="H40" s="45"/>
      <c r="I40" s="45"/>
      <c r="J40" s="45"/>
      <c r="K40" s="45"/>
      <c r="L40" s="45"/>
      <c r="M40" s="45"/>
      <c r="N40" s="46">
        <f>B40+C40+D40+E40+F40+G40+H40+I40+J40+K40+L40+M40</f>
        <v>115.0</v>
      </c>
    </row>
    <row r="41" spans="1:14" ht="16">
      <c r="A41" s="37" t="s">
        <v>38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 ht="16">
      <c r="A42" s="38" t="s">
        <v>39</v>
      </c>
      <c r="B42" s="46">
        <v>15.0</v>
      </c>
      <c r="C42" s="46">
        <v>15.0</v>
      </c>
      <c r="D42" s="46">
        <v>15.0</v>
      </c>
      <c r="E42" s="46">
        <v>15.0</v>
      </c>
      <c r="F42" s="45"/>
      <c r="G42" s="45"/>
      <c r="H42" s="45"/>
      <c r="I42" s="45"/>
      <c r="J42" s="46">
        <v>2.0</v>
      </c>
      <c r="K42" s="46">
        <v>2.0</v>
      </c>
      <c r="L42" s="45"/>
      <c r="M42" s="45"/>
      <c r="N42" s="46">
        <f>B42+C42+D42+E42+F42+G42+H42+I42+J42+K42+L42+M42</f>
        <v>64.0</v>
      </c>
    </row>
    <row r="43" spans="1:14" ht="16">
      <c r="A43" s="38" t="s">
        <v>40</v>
      </c>
      <c r="B43" s="46">
        <v>22.92</v>
      </c>
      <c r="C43" s="46">
        <v>135.92</v>
      </c>
      <c r="D43" s="46">
        <v>-2.04</v>
      </c>
      <c r="E43" s="45"/>
      <c r="F43" s="46">
        <v>35.0</v>
      </c>
      <c r="G43" s="45"/>
      <c r="H43" s="46">
        <v>250.0</v>
      </c>
      <c r="I43" s="45"/>
      <c r="J43" s="45"/>
      <c r="K43" s="46">
        <v>-0.19</v>
      </c>
      <c r="L43" s="45"/>
      <c r="M43" s="45"/>
      <c r="N43" s="46">
        <f>B43+C43+D43+E43+F43+G43+H43+I43+J43+K43+L43+M43</f>
        <v>441.60999999999996</v>
      </c>
    </row>
    <row r="44" spans="1:14" ht="16">
      <c r="A44" s="38" t="s">
        <v>41</v>
      </c>
      <c r="B44" s="46">
        <v>35.16</v>
      </c>
      <c r="C44" s="46">
        <v>-1.22</v>
      </c>
      <c r="D44" s="46">
        <v>0.62</v>
      </c>
      <c r="E44" s="46">
        <v>0.44</v>
      </c>
      <c r="F44" s="46">
        <v>32.84</v>
      </c>
      <c r="G44" s="46">
        <v>228.99</v>
      </c>
      <c r="H44" s="46">
        <v>69.23</v>
      </c>
      <c r="I44" s="46">
        <v>105.53</v>
      </c>
      <c r="J44" s="46">
        <v>65.34</v>
      </c>
      <c r="K44" s="46">
        <v>106.24</v>
      </c>
      <c r="L44" s="46">
        <v>55.79</v>
      </c>
      <c r="M44" s="46">
        <v>96.15</v>
      </c>
      <c r="N44" s="46">
        <f>B44+C44+D44+E44+F44+G44+H44+I44+J44+K44+L44+M44</f>
        <v>795.11</v>
      </c>
    </row>
    <row r="45" spans="1:14" ht="16">
      <c r="A45" s="39" t="s">
        <v>42</v>
      </c>
      <c r="B45" s="47">
        <f>B41+B42+B43+B44</f>
        <v>73.08</v>
      </c>
      <c r="C45" s="47">
        <f>C41+C42+C43+C44</f>
        <v>149.7</v>
      </c>
      <c r="D45" s="47">
        <f>D41+D42+D43+D44</f>
        <v>13.58</v>
      </c>
      <c r="E45" s="47">
        <f>E41+E42+E43+E44</f>
        <v>15.44</v>
      </c>
      <c r="F45" s="47">
        <f>F41+F42+F43+F44</f>
        <v>67.84</v>
      </c>
      <c r="G45" s="47">
        <f>G41+G42+G43+G44</f>
        <v>228.99</v>
      </c>
      <c r="H45" s="47">
        <f>H41+H42+H43+H44</f>
        <v>319.23</v>
      </c>
      <c r="I45" s="47">
        <f>I41+I42+I43+I44</f>
        <v>105.53</v>
      </c>
      <c r="J45" s="47">
        <f>J41+J42+J43+J44</f>
        <v>67.34</v>
      </c>
      <c r="K45" s="47">
        <f>K41+K42+K43+K44</f>
        <v>108.05</v>
      </c>
      <c r="L45" s="47">
        <f>L41+L42+L43+L44</f>
        <v>55.79</v>
      </c>
      <c r="M45" s="47">
        <f>M41+M42+M43+M44</f>
        <v>96.15</v>
      </c>
      <c r="N45" s="48">
        <f>B45+C45+D45+E45+F45+G45+H45+I45+J45+K45+L45+M45</f>
        <v>1300.72</v>
      </c>
    </row>
    <row r="46" spans="1:14" ht="16">
      <c r="A46" s="37" t="s">
        <v>43</v>
      </c>
      <c r="B46" s="46">
        <v>143.5</v>
      </c>
      <c r="C46" s="46">
        <v>59.0</v>
      </c>
      <c r="D46" s="46">
        <v>59.0</v>
      </c>
      <c r="E46" s="46">
        <v>108.51</v>
      </c>
      <c r="F46" s="46">
        <v>59.0</v>
      </c>
      <c r="G46" s="46">
        <v>59.0</v>
      </c>
      <c r="H46" s="46">
        <v>134.0</v>
      </c>
      <c r="I46" s="46">
        <v>299.0</v>
      </c>
      <c r="J46" s="46">
        <v>105.0</v>
      </c>
      <c r="K46" s="46">
        <v>105.0</v>
      </c>
      <c r="L46" s="46">
        <v>118.01</v>
      </c>
      <c r="M46" s="46">
        <v>182.44</v>
      </c>
      <c r="N46" s="46">
        <f>B46+C46+D46+E46+F46+G46+H46+I46+J46+K46+L46+M46</f>
        <v>1431.46</v>
      </c>
    </row>
    <row r="47" spans="1:14" ht="16">
      <c r="A47" s="37" t="s">
        <v>44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 ht="16">
      <c r="A48" s="38" t="s">
        <v>45</v>
      </c>
      <c r="B48" s="45"/>
      <c r="C48" s="45"/>
      <c r="D48" s="45"/>
      <c r="E48" s="45"/>
      <c r="F48" s="45"/>
      <c r="G48" s="45"/>
      <c r="H48" s="45"/>
      <c r="I48" s="45"/>
      <c r="J48" s="46">
        <v>425.0</v>
      </c>
      <c r="K48" s="45"/>
      <c r="L48" s="45"/>
      <c r="M48" s="45"/>
      <c r="N48" s="46">
        <f>B48+C48+D48+E48+F48+G48+H48+I48+J48+K48+L48+M48</f>
        <v>425.0</v>
      </c>
    </row>
    <row r="49" spans="1:14" ht="16">
      <c r="A49" s="39" t="s">
        <v>46</v>
      </c>
      <c r="B49" s="48">
        <f>B47+B48</f>
        <v>0.0</v>
      </c>
      <c r="C49" s="48">
        <f>C47+C48</f>
        <v>0.0</v>
      </c>
      <c r="D49" s="48">
        <f>D47+D48</f>
        <v>0.0</v>
      </c>
      <c r="E49" s="48">
        <f>E47+E48</f>
        <v>0.0</v>
      </c>
      <c r="F49" s="48">
        <f>F47+F48</f>
        <v>0.0</v>
      </c>
      <c r="G49" s="48">
        <f>G47+G48</f>
        <v>0.0</v>
      </c>
      <c r="H49" s="48">
        <f>H47+H48</f>
        <v>0.0</v>
      </c>
      <c r="I49" s="48">
        <f>I47+I48</f>
        <v>0.0</v>
      </c>
      <c r="J49" s="47">
        <f>J47+J48</f>
        <v>425.0</v>
      </c>
      <c r="K49" s="48">
        <f>K47+K48</f>
        <v>0.0</v>
      </c>
      <c r="L49" s="48">
        <f>L47+L48</f>
        <v>0.0</v>
      </c>
      <c r="M49" s="48">
        <f>M47+M48</f>
        <v>0.0</v>
      </c>
      <c r="N49" s="48">
        <f>B49+C49+D49+E49+F49+G49+H49+I49+J49+K49+L49+M49</f>
        <v>425.0</v>
      </c>
    </row>
    <row r="50" spans="1:14" ht="16">
      <c r="A50" s="37" t="s">
        <v>47</v>
      </c>
      <c r="B50" s="45"/>
      <c r="C50" s="45"/>
      <c r="D50" s="45"/>
      <c r="E50" s="45"/>
      <c r="F50" s="45"/>
      <c r="G50" s="46">
        <v>104.0</v>
      </c>
      <c r="H50" s="45"/>
      <c r="I50" s="45"/>
      <c r="J50" s="46">
        <v>275.0</v>
      </c>
      <c r="K50" s="45"/>
      <c r="L50" s="45"/>
      <c r="M50" s="45"/>
      <c r="N50" s="46">
        <f>B50+C50+D50+E50+F50+G50+H50+I50+J50+K50+L50+M50</f>
        <v>379.0</v>
      </c>
    </row>
    <row r="51" spans="1:14" ht="16">
      <c r="A51" s="37" t="s">
        <v>48</v>
      </c>
      <c r="B51" s="45"/>
      <c r="C51" s="45"/>
      <c r="D51" s="46">
        <v>100.0</v>
      </c>
      <c r="E51" s="45"/>
      <c r="F51" s="45"/>
      <c r="G51" s="45"/>
      <c r="H51" s="45"/>
      <c r="I51" s="45"/>
      <c r="J51" s="45"/>
      <c r="K51" s="45"/>
      <c r="L51" s="45"/>
      <c r="M51" s="45"/>
      <c r="N51" s="46">
        <f>B51+C51+D51+E51+F51+G51+H51+I51+J51+K51+L51+M51</f>
        <v>100.0</v>
      </c>
    </row>
    <row r="52" spans="1:14" ht="16">
      <c r="A52" s="40" t="s">
        <v>49</v>
      </c>
      <c r="B52" s="47">
        <f>B31+B36+B39+B40+B45+B46+B49+B50+B51</f>
        <v>1805.69</v>
      </c>
      <c r="C52" s="47">
        <f>C31+C36+C39+C40+C45+C46+C49+C50+C51</f>
        <v>493.62</v>
      </c>
      <c r="D52" s="47">
        <f>D31+D36+D39+D40+D45+D46+D49+D50+D51</f>
        <v>1617.3799999999999</v>
      </c>
      <c r="E52" s="47">
        <f>E31+E36+E39+E40+E45+E46+E49+E50+E51</f>
        <v>1026.1000000000001</v>
      </c>
      <c r="F52" s="47">
        <f>F31+F36+F39+F40+F45+F46+F49+F50+F51</f>
        <v>1557.72</v>
      </c>
      <c r="G52" s="47">
        <f>G31+G36+G39+G40+G45+G46+G49+G50+G51</f>
        <v>1430.6000000000001</v>
      </c>
      <c r="H52" s="47">
        <f>H31+H36+H39+H40+H45+H46+H49+H50+H51</f>
        <v>2781.82</v>
      </c>
      <c r="I52" s="47">
        <f>I31+I36+I39+I40+I45+I46+I49+I50+I51</f>
        <v>1666.01</v>
      </c>
      <c r="J52" s="47">
        <f>J31+J36+J39+J40+J45+J46+J49+J50+J51</f>
        <v>2130.59</v>
      </c>
      <c r="K52" s="47">
        <f>K31+K36+K39+K40+K45+K46+K49+K50+K51</f>
        <v>1464.84</v>
      </c>
      <c r="L52" s="47">
        <f>L31+L36+L39+L40+L45+L46+L49+L50+L51</f>
        <v>1419.22</v>
      </c>
      <c r="M52" s="47">
        <f>M31+M36+M39+M40+M45+M46+M49+M50+M51</f>
        <v>2347.87</v>
      </c>
      <c r="N52" s="48">
        <f>B52+C52+D52+E52+F52+G52+H52+I52+J52+K52+L52+M52</f>
        <v>19741.46</v>
      </c>
    </row>
    <row r="53" spans="1:14" ht="16">
      <c r="A53" s="36" t="s">
        <v>50</v>
      </c>
      <c r="B53" s="46">
        <v>106.71</v>
      </c>
      <c r="C53" s="46">
        <v>198.18</v>
      </c>
      <c r="D53" s="46">
        <v>38.36</v>
      </c>
      <c r="E53" s="46">
        <v>101.45</v>
      </c>
      <c r="F53" s="46">
        <v>35.04</v>
      </c>
      <c r="G53" s="46">
        <v>93.0</v>
      </c>
      <c r="H53" s="46">
        <v>145.85</v>
      </c>
      <c r="I53" s="46">
        <v>246.09</v>
      </c>
      <c r="J53" s="46">
        <v>260.96</v>
      </c>
      <c r="K53" s="46">
        <v>261.53</v>
      </c>
      <c r="L53" s="46">
        <v>109.86</v>
      </c>
      <c r="M53" s="46">
        <v>286.38</v>
      </c>
      <c r="N53" s="46">
        <f>B53+C53+D53+E53+F53+G53+H53+I53+J53+K53+L53+M53</f>
        <v>1883.4099999999999</v>
      </c>
    </row>
    <row r="54" spans="1:14" ht="16">
      <c r="A54" s="36" t="s">
        <v>51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6">
        <v>112.72</v>
      </c>
      <c r="M54" s="46">
        <v>77.34</v>
      </c>
      <c r="N54" s="46">
        <f>B54+C54+D54+E54+F54+G54+H54+I54+J54+K54+L54+M54</f>
        <v>190.06</v>
      </c>
    </row>
    <row r="55" spans="1:14" ht="16">
      <c r="A55" s="41" t="s">
        <v>52</v>
      </c>
      <c r="B55" s="47">
        <f>B25+B30+B52+B53+B54</f>
        <v>2724.16</v>
      </c>
      <c r="C55" s="47">
        <f>C25+C30+C52+C53+C54</f>
        <v>2357.91</v>
      </c>
      <c r="D55" s="47">
        <f>D25+D30+D52+D53+D54</f>
        <v>2668.22</v>
      </c>
      <c r="E55" s="47">
        <f>E25+E30+E52+E53+E54</f>
        <v>1528.6700000000003</v>
      </c>
      <c r="F55" s="47">
        <f>F25+F30+F52+F53+F54</f>
        <v>2050.3</v>
      </c>
      <c r="G55" s="47">
        <f>G25+G30+G52+G53+G54</f>
        <v>2045.1100000000001</v>
      </c>
      <c r="H55" s="47">
        <f>H25+H30+H52+H53+H54</f>
        <v>3805.7599999999998</v>
      </c>
      <c r="I55" s="47">
        <f>I25+I30+I52+I53+I54</f>
        <v>2983.87</v>
      </c>
      <c r="J55" s="47">
        <f>J25+J30+J52+J53+J54</f>
        <v>3032.19</v>
      </c>
      <c r="K55" s="47">
        <f>K25+K30+K52+K53+K54</f>
        <v>2862.5599999999995</v>
      </c>
      <c r="L55" s="47">
        <f>L25+L30+L52+L53+L54</f>
        <v>2563.29</v>
      </c>
      <c r="M55" s="47">
        <f>M25+M30+M52+M53+M54</f>
        <v>3399.4</v>
      </c>
      <c r="N55" s="48">
        <f>B55+C55+D55+E55+F55+G55+H55+I55+J55+K55+L55+M55</f>
        <v>32021.439999999995</v>
      </c>
    </row>
    <row r="56" spans="1:14" ht="16">
      <c r="A56" s="41" t="s">
        <v>53</v>
      </c>
      <c r="B56" s="47">
        <f>B24-B55</f>
        <v>-436.7999999999997</v>
      </c>
      <c r="C56" s="47">
        <f>C24-C55</f>
        <v>1597.9900000000007</v>
      </c>
      <c r="D56" s="47">
        <f>D24-D55</f>
        <v>-862.9299999999998</v>
      </c>
      <c r="E56" s="47">
        <f>E24-E55</f>
        <v>-1953.3300000000002</v>
      </c>
      <c r="F56" s="47">
        <f>F24-F55</f>
        <v>-927.1600000000003</v>
      </c>
      <c r="G56" s="47">
        <f>G24-G55</f>
        <v>-1373.52</v>
      </c>
      <c r="H56" s="47">
        <f>H24-H55</f>
        <v>-2935.72</v>
      </c>
      <c r="I56" s="47">
        <f>I24-I55</f>
        <v>-1252.53</v>
      </c>
      <c r="J56" s="47">
        <f>J24-J55</f>
        <v>-4887.0</v>
      </c>
      <c r="K56" s="47">
        <f>K24-K55</f>
        <v>2456.210000000001</v>
      </c>
      <c r="L56" s="47">
        <f>L24-L55</f>
        <v>2430.8899999999994</v>
      </c>
      <c r="M56" s="47">
        <f>M24-M55</f>
        <v>21192.409999999996</v>
      </c>
      <c r="N56" s="48">
        <f>B56+C56+D56+E56+F56+G56+H56+I56+J56+K56+L56+M56</f>
        <v>13048.509999999997</v>
      </c>
    </row>
    <row r="57" spans="1:13" ht="16">
      <c r="A57" s="35" t="s">
        <v>54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4" ht="16">
      <c r="A58" s="36" t="s">
        <v>55</v>
      </c>
      <c r="B58" s="46">
        <v>1299.29</v>
      </c>
      <c r="C58" s="46">
        <v>48.6</v>
      </c>
      <c r="D58" s="46">
        <v>14.48</v>
      </c>
      <c r="E58" s="46">
        <v>78.94</v>
      </c>
      <c r="F58" s="46">
        <v>41.08</v>
      </c>
      <c r="G58" s="46">
        <v>71.41</v>
      </c>
      <c r="H58" s="46">
        <v>111.15</v>
      </c>
      <c r="I58" s="46">
        <v>27.35</v>
      </c>
      <c r="J58" s="46">
        <v>51.94</v>
      </c>
      <c r="K58" s="46">
        <v>15.11</v>
      </c>
      <c r="L58" s="46">
        <v>3.24</v>
      </c>
      <c r="M58" s="46">
        <v>39.33</v>
      </c>
      <c r="N58" s="46">
        <f>B58+C58+D58+E58+F58+G58+H58+I58+J58+K58+L58+M58</f>
        <v>1801.9199999999998</v>
      </c>
    </row>
    <row r="59" spans="1:14" ht="16">
      <c r="A59" s="41" t="s">
        <v>56</v>
      </c>
      <c r="B59" s="47">
        <f>B57+B58</f>
        <v>1299.29</v>
      </c>
      <c r="C59" s="47">
        <f>C57+C58</f>
        <v>48.6</v>
      </c>
      <c r="D59" s="47">
        <f>D57+D58</f>
        <v>14.48</v>
      </c>
      <c r="E59" s="47">
        <f>E57+E58</f>
        <v>78.94</v>
      </c>
      <c r="F59" s="47">
        <f>F57+F58</f>
        <v>41.08</v>
      </c>
      <c r="G59" s="47">
        <f>G57+G58</f>
        <v>71.41</v>
      </c>
      <c r="H59" s="47">
        <f>H57+H58</f>
        <v>111.15</v>
      </c>
      <c r="I59" s="47">
        <f>I57+I58</f>
        <v>27.35</v>
      </c>
      <c r="J59" s="47">
        <f>J57+J58</f>
        <v>51.94</v>
      </c>
      <c r="K59" s="47">
        <f>K57+K58</f>
        <v>15.11</v>
      </c>
      <c r="L59" s="47">
        <f>L57+L58</f>
        <v>3.24</v>
      </c>
      <c r="M59" s="47">
        <f>M57+M58</f>
        <v>39.33</v>
      </c>
      <c r="N59" s="48">
        <f>B59+C59+D59+E59+F59+G59+H59+I59+J59+K59+L59+M59</f>
        <v>1801.9199999999998</v>
      </c>
    </row>
    <row r="60" spans="1:14" ht="16">
      <c r="A60" s="41" t="s">
        <v>57</v>
      </c>
      <c r="B60" s="47">
        <f>0-B59</f>
        <v>-1299.29</v>
      </c>
      <c r="C60" s="47">
        <f>0-C59</f>
        <v>-48.6</v>
      </c>
      <c r="D60" s="47">
        <f>0-D59</f>
        <v>-14.48</v>
      </c>
      <c r="E60" s="47">
        <f>0-E59</f>
        <v>-78.94</v>
      </c>
      <c r="F60" s="47">
        <f>0-F59</f>
        <v>-41.08</v>
      </c>
      <c r="G60" s="47">
        <f>0-G59</f>
        <v>-71.41</v>
      </c>
      <c r="H60" s="47">
        <f>0-H59</f>
        <v>-111.15</v>
      </c>
      <c r="I60" s="47">
        <f>0-I59</f>
        <v>-27.35</v>
      </c>
      <c r="J60" s="47">
        <f>0-J59</f>
        <v>-51.94</v>
      </c>
      <c r="K60" s="47">
        <f>0-K59</f>
        <v>-15.11</v>
      </c>
      <c r="L60" s="47">
        <f>0-L59</f>
        <v>-3.24</v>
      </c>
      <c r="M60" s="47">
        <f>0-M59</f>
        <v>-39.33</v>
      </c>
      <c r="N60" s="48">
        <f>B60+C60+D60+E60+F60+G60+H60+I60+J60+K60+L60+M60</f>
        <v>-1801.9199999999998</v>
      </c>
    </row>
    <row r="61" spans="1:14" ht="16">
      <c r="A61" s="41" t="s">
        <v>58</v>
      </c>
      <c r="B61" s="47">
        <f>B56+B60</f>
        <v>-1736.0899999999997</v>
      </c>
      <c r="C61" s="47">
        <f>C56+C60</f>
        <v>1549.3900000000008</v>
      </c>
      <c r="D61" s="47">
        <f>D56+D60</f>
        <v>-877.4099999999999</v>
      </c>
      <c r="E61" s="47">
        <f>E56+E60</f>
        <v>-2032.2700000000002</v>
      </c>
      <c r="F61" s="47">
        <f>F56+F60</f>
        <v>-968.2400000000004</v>
      </c>
      <c r="G61" s="47">
        <f>G56+G60</f>
        <v>-1444.93</v>
      </c>
      <c r="H61" s="47">
        <f>H56+H60</f>
        <v>-3046.87</v>
      </c>
      <c r="I61" s="47">
        <f>I56+I60</f>
        <v>-1279.8799999999999</v>
      </c>
      <c r="J61" s="47">
        <f>J56+J60</f>
        <v>-4938.94</v>
      </c>
      <c r="K61" s="47">
        <f>K56+K60</f>
        <v>2441.100000000001</v>
      </c>
      <c r="L61" s="47">
        <f>L56+L60</f>
        <v>2427.6499999999996</v>
      </c>
      <c r="M61" s="47">
        <f>M56+M60</f>
        <v>21153.079999999994</v>
      </c>
      <c r="N61" s="48">
        <f>B61+C61+D61+E61+F61+G61+H61+I61+J61+K61+L61+M61</f>
        <v>11246.589999999997</v>
      </c>
    </row>
    <row r="65" spans="1:1" ht="16">
      <c r="A65" s="50" t="s">
        <v>73</v>
      </c>
    </row>
  </sheetData>
  <mergeCells count="4">
    <mergeCell ref="A1:N1"/>
    <mergeCell ref="A2:N2"/>
    <mergeCell ref="A3:N3"/>
    <mergeCell ref="A65:N6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