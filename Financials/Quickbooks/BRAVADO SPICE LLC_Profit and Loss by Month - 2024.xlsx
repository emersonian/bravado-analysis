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2" i="1" l="1"/>
</calcChain>
</file>

<file path=xl/sharedStrings.xml><?xml version="1.0" encoding="utf-8"?>
<sst xmlns="http://schemas.openxmlformats.org/spreadsheetml/2006/main" count="135" uniqueCount="134">
  <si>
    <t>BRAVADO SPICE LLC</t>
  </si>
  <si>
    <t>Profit and Loss by Month</t>
  </si>
  <si>
    <t>January 1-December 31, 2024</t>
  </si>
  <si>
    <t>Income</t>
  </si>
  <si>
    <t>61000 Sales</t>
  </si>
  <si>
    <t>61200 Hot Sauce</t>
  </si>
  <si>
    <t>61210 Pineapple &amp; Habanero Hot Sauce</t>
  </si>
  <si>
    <t>61215 Garlic &amp; Arbol Moruga Scorpion Hot Sauce</t>
  </si>
  <si>
    <t>61216 Arbol Chili &amp; Garlic Hot Sauce</t>
  </si>
  <si>
    <t>61217 Manuka Honey Passion Fruit Hot Sauce</t>
  </si>
  <si>
    <t>61220 Jalapeno &amp; Green Apple Hot Sauce</t>
  </si>
  <si>
    <t>61225 Ancho Masala Ghost-Reaper Hot Sauce</t>
  </si>
  <si>
    <t>61230 Ghost Pepper &amp; Blueberry Hot Sauce</t>
  </si>
  <si>
    <t>61240 Crimson Hot Sauce</t>
  </si>
  <si>
    <t>61260 Serrano &amp; Basil Hot Sauce</t>
  </si>
  <si>
    <t>61270 Black Garlic &amp; Carolina Reaper Hot Sauce</t>
  </si>
  <si>
    <t>61280 Creamy Herb &amp; Jalapeño Hot Sauce</t>
  </si>
  <si>
    <t>61290 Aka Miso Ghost-Reaper Hot Sauce</t>
  </si>
  <si>
    <t>Total for 61200 Hot Sauce</t>
  </si>
  <si>
    <t>61300 Seasonings</t>
  </si>
  <si>
    <t>61310 Jalapeno &amp; Garlic Seasoning</t>
  </si>
  <si>
    <t>Total for 61300 Seasonings</t>
  </si>
  <si>
    <t>61400 Mixers</t>
  </si>
  <si>
    <t>61410 Pineapple &amp; Jalapeno &amp; Margarita Mix</t>
  </si>
  <si>
    <t>61420 Ruby Red Grapefruit Margarita Mix</t>
  </si>
  <si>
    <t>61430 Lime &amp; Yuzu Margarita Mix</t>
  </si>
  <si>
    <t>Total for 61400 Mixers</t>
  </si>
  <si>
    <t>61500 Sets</t>
  </si>
  <si>
    <t>61600 Faire Sales</t>
  </si>
  <si>
    <t>64000 Online Sales</t>
  </si>
  <si>
    <t>65000 Amazon Seller Central Sales</t>
  </si>
  <si>
    <t>65100 Amazon US Market Sales</t>
  </si>
  <si>
    <t>Total for 65000 Amazon Seller Central Sales</t>
  </si>
  <si>
    <t>Total for 61000 Sales</t>
  </si>
  <si>
    <t>66000 Other Income</t>
  </si>
  <si>
    <t>67000 Uncategorized Income</t>
  </si>
  <si>
    <t>Discounts given</t>
  </si>
  <si>
    <t>Total for Income</t>
  </si>
  <si>
    <t>Cost of Goods Sold</t>
  </si>
  <si>
    <t>71000 Cost of Sales (COS)</t>
  </si>
  <si>
    <t>71100 Shipping &amp; Delivery - COS</t>
  </si>
  <si>
    <t>71200 Other Costs - COS</t>
  </si>
  <si>
    <t>71300 Ingredients - COS</t>
  </si>
  <si>
    <t>71400 Co-Packer - COGS</t>
  </si>
  <si>
    <t>71500 Materials - COS</t>
  </si>
  <si>
    <t>71600 Placement/Freefill - COS</t>
  </si>
  <si>
    <t>Inventory Adjustment</t>
  </si>
  <si>
    <t>Inventory Shrinkage</t>
  </si>
  <si>
    <t>Marketing Allowance</t>
  </si>
  <si>
    <t>On-Invoice Discounts</t>
  </si>
  <si>
    <t>Pass Thru Deduction</t>
  </si>
  <si>
    <t>QuickBooks Payments Fees</t>
  </si>
  <si>
    <t>Spoilage Allowance</t>
  </si>
  <si>
    <t>Swell Discount</t>
  </si>
  <si>
    <t>Total for 71000 Cost of Sales (COS)</t>
  </si>
  <si>
    <t>Total for Cost of Goods Sold</t>
  </si>
  <si>
    <t>Gross Profit</t>
  </si>
  <si>
    <t>Expenses</t>
  </si>
  <si>
    <t>72000 Marketing/Advertising</t>
  </si>
  <si>
    <t>72100 Freight &amp; Delivery - Marketing</t>
  </si>
  <si>
    <t>72200 Social Media Marketing</t>
  </si>
  <si>
    <t>72300 Promotional</t>
  </si>
  <si>
    <t>72400 Travel</t>
  </si>
  <si>
    <t>72500 Events/Shows</t>
  </si>
  <si>
    <t>72600 In Store Marketing</t>
  </si>
  <si>
    <t>72601 Marketing Scanbacks</t>
  </si>
  <si>
    <t>Total for 72600 In Store Marketing</t>
  </si>
  <si>
    <t>Free fill</t>
  </si>
  <si>
    <t>Slotting Fees</t>
  </si>
  <si>
    <t>Total for 72000 Marketing/Advertising</t>
  </si>
  <si>
    <t>73000 Overhead Expenses (G&amp;A)</t>
  </si>
  <si>
    <t>73100 Rent or Lease</t>
  </si>
  <si>
    <t>73110 Office Rent</t>
  </si>
  <si>
    <t>Total for 73100 Rent or Lease</t>
  </si>
  <si>
    <t>73200 Office Expenses</t>
  </si>
  <si>
    <t>73210 Shipping Supplies</t>
  </si>
  <si>
    <t>73220 Food Expense</t>
  </si>
  <si>
    <t>Total for 73200 Office Expenses</t>
  </si>
  <si>
    <t>73300 Utilities</t>
  </si>
  <si>
    <t>Electricity</t>
  </si>
  <si>
    <t>Total for 73300 Utilities</t>
  </si>
  <si>
    <t>73400 Financial Fees</t>
  </si>
  <si>
    <t>73410 Bank Fees</t>
  </si>
  <si>
    <t>73420 Credit Card Fees</t>
  </si>
  <si>
    <t>73430 PayPal Fees</t>
  </si>
  <si>
    <t>73450 Interest Expense</t>
  </si>
  <si>
    <t>Faire Fees</t>
  </si>
  <si>
    <t>Late Penalty Fees</t>
  </si>
  <si>
    <t>Total for 73400 Financial Fees</t>
  </si>
  <si>
    <t>73500 Dues &amp; Subscriptions</t>
  </si>
  <si>
    <t>73600 Insurance</t>
  </si>
  <si>
    <t>73620 Insurance - Liability</t>
  </si>
  <si>
    <t>73640 Insurance - Health</t>
  </si>
  <si>
    <t>Total for 73600 Insurance</t>
  </si>
  <si>
    <t>73700 Professional Fees</t>
  </si>
  <si>
    <t>73800 Taxes &amp; Licenses</t>
  </si>
  <si>
    <t>73900 1099 Non-Employee Compensation</t>
  </si>
  <si>
    <t>73910 Payroll Expenses</t>
  </si>
  <si>
    <t>73901 Payroll Taxes</t>
  </si>
  <si>
    <t>73902 Salaries &amp; Wages</t>
  </si>
  <si>
    <t>Total for 73910 Payroll Expenses</t>
  </si>
  <si>
    <t>Total for 73000 Overhead Expenses (G&amp;A)</t>
  </si>
  <si>
    <t>74000 Bad Debts</t>
  </si>
  <si>
    <t>75500 Reimbursements</t>
  </si>
  <si>
    <t>76000 Repair &amp; Maintenance</t>
  </si>
  <si>
    <t>Melio Credit card fee</t>
  </si>
  <si>
    <t>Remittance Discrepancy</t>
  </si>
  <si>
    <t>Total for Expenses</t>
  </si>
  <si>
    <t>Net Operating Income</t>
  </si>
  <si>
    <t>Other Income</t>
  </si>
  <si>
    <t>80000 Interest Earned</t>
  </si>
  <si>
    <t>80001 Other Misc Income</t>
  </si>
  <si>
    <t>80005 Rent Income</t>
  </si>
  <si>
    <t>Total for Other Income</t>
  </si>
  <si>
    <t>Other Expenses</t>
  </si>
  <si>
    <t>Gains/Loss on Asset Sale/Disposal</t>
  </si>
  <si>
    <t>Total for Other Expenses</t>
  </si>
  <si>
    <t>Net Other Income</t>
  </si>
  <si>
    <t>Net Income</t>
  </si>
  <si>
    <t/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</si>
  <si>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</si>
  <si>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</si>
  <si>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</si>
  <si>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</si>
  <si>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</si>
  <si>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</si>
  <si>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</si>
  <si>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</si>
  <si>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</si>
  <si>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</si>
  <si>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</si>
  <si>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</si>
  <si>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</si>
  <si>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>Accrual Basis Monday, August 24, 2026 09:14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</si>
</sst>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126"/>
  <sheetViews>
    <sheetView tabSelected="1" workbookViewId="0" topLeftCell="A1"/>
  </sheetViews>
  <sheetFormatPr defaultColWidth="11.255" defaultRowHeight="16"/>
  <cols>
    <col min="1" max="1" width="40.125" style="43" customWidth="1"/>
    <col min="2" max="2" width="16.125" style="43" customWidth="1"/>
    <col min="3" max="3" width="15.25" style="43" customWidth="1"/>
    <col min="4" max="6" width="17" style="43" customWidth="1"/>
    <col min="7" max="7" width="16.125" style="43" customWidth="1"/>
    <col min="8" max="9" width="17" style="43" customWidth="1"/>
    <col min="10" max="10" width="16.125" style="43" customWidth="1"/>
    <col min="11" max="11" width="17" style="43" customWidth="1"/>
    <col min="12" max="12" width="16.125" style="43" customWidth="1"/>
    <col min="13" max="13" width="17" style="43" customWidth="1"/>
    <col min="14" max="14" width="16.125" style="43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14" ht="16">
      <c r="A5" s="45" t="s">
        <v>119</v>
      </c>
      <c r="B5" s="50" t="s">
        <v>120</v>
      </c>
      <c r="C5" s="50" t="s">
        <v>121</v>
      </c>
      <c r="D5" s="50" t="s">
        <v>122</v>
      </c>
      <c r="E5" s="50" t="s">
        <v>123</v>
      </c>
      <c r="F5" s="50" t="s">
        <v>124</v>
      </c>
      <c r="G5" s="50" t="s">
        <v>125</v>
      </c>
      <c r="H5" s="50" t="s">
        <v>126</v>
      </c>
      <c r="I5" s="50" t="s">
        <v>127</v>
      </c>
      <c r="J5" s="50" t="s">
        <v>128</v>
      </c>
      <c r="K5" s="50" t="s">
        <v>129</v>
      </c>
      <c r="L5" s="50" t="s">
        <v>130</v>
      </c>
      <c r="M5" s="50" t="s">
        <v>131</v>
      </c>
      <c r="N5" s="50" t="s">
        <v>132</v>
      </c>
    </row>
    <row r="6" spans="1:13" ht="16">
      <c r="A6" s="36" t="s">
        <v>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4" ht="16">
      <c r="A7" s="37" t="s">
        <v>4</v>
      </c>
      <c r="B7" s="46"/>
      <c r="C7" s="46"/>
      <c r="D7" s="46"/>
      <c r="E7" s="46"/>
      <c r="F7" s="46"/>
      <c r="G7" s="46"/>
      <c r="H7" s="46"/>
      <c r="I7" s="46"/>
      <c r="J7" s="46"/>
      <c r="K7" s="47">
        <v>0</v>
      </c>
      <c r="L7" s="47">
        <v>0</v>
      </c>
      <c r="M7" s="47">
        <v>0</v>
      </c>
      <c r="N7" s="47">
        <f>B7+C7+D7+E7+F7+G7+H7+I7+J7+K7+L7+M7</f>
        <v>0.0</v>
      </c>
    </row>
    <row r="8" spans="1:14" ht="16">
      <c r="A8" s="38" t="s">
        <v>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16">
      <c r="A9" s="39" t="s">
        <v>6</v>
      </c>
      <c r="B9" s="47">
        <v>5305.5</v>
      </c>
      <c r="C9" s="47">
        <v>4303.14</v>
      </c>
      <c r="D9" s="47">
        <v>8646.46</v>
      </c>
      <c r="E9" s="47">
        <v>3350.7</v>
      </c>
      <c r="F9" s="47">
        <v>7857.84</v>
      </c>
      <c r="G9" s="47">
        <v>6514.68</v>
      </c>
      <c r="H9" s="47">
        <v>8297.64</v>
      </c>
      <c r="I9" s="47">
        <v>5214.06</v>
      </c>
      <c r="J9" s="47">
        <v>12280.2</v>
      </c>
      <c r="K9" s="47">
        <v>12184.32</v>
      </c>
      <c r="L9" s="47">
        <v>5711.52</v>
      </c>
      <c r="M9" s="47">
        <v>377.64</v>
      </c>
      <c r="N9" s="47">
        <f>B9+C9+D9+E9+F9+G9+H9+I9+J9+K9+L9+M9</f>
        <v>80043.70000000001</v>
      </c>
    </row>
    <row r="10" spans="1:14" ht="16">
      <c r="A10" s="39" t="s">
        <v>7</v>
      </c>
      <c r="B10" s="47">
        <v>11564.64</v>
      </c>
      <c r="C10" s="47">
        <v>5211.84</v>
      </c>
      <c r="D10" s="47">
        <v>2642.64</v>
      </c>
      <c r="E10" s="46"/>
      <c r="F10" s="46"/>
      <c r="G10" s="46"/>
      <c r="H10" s="47">
        <v>183.6</v>
      </c>
      <c r="I10" s="47">
        <v>1168.32</v>
      </c>
      <c r="J10" s="47">
        <v>2756.76</v>
      </c>
      <c r="K10" s="47">
        <v>3475.4</v>
      </c>
      <c r="L10" s="47">
        <v>516.56</v>
      </c>
      <c r="M10" s="47">
        <v>1534.92</v>
      </c>
      <c r="N10" s="47">
        <f>B10+C10+D10+E10+F10+G10+H10+I10+J10+K10+L10+M10</f>
        <v>29054.68</v>
      </c>
    </row>
    <row r="11" spans="1:14" ht="16">
      <c r="A11" s="39" t="s">
        <v>8</v>
      </c>
      <c r="B11" s="47">
        <v>9724.62</v>
      </c>
      <c r="C11" s="47">
        <v>6333.06</v>
      </c>
      <c r="D11" s="47">
        <v>5181.14</v>
      </c>
      <c r="E11" s="47">
        <v>1492.92</v>
      </c>
      <c r="F11" s="47">
        <v>6782.22</v>
      </c>
      <c r="G11" s="47">
        <v>4357.5</v>
      </c>
      <c r="H11" s="47">
        <v>8862.48</v>
      </c>
      <c r="I11" s="47">
        <v>1983.12</v>
      </c>
      <c r="J11" s="47">
        <v>10498.08</v>
      </c>
      <c r="K11" s="47">
        <v>10855.44</v>
      </c>
      <c r="L11" s="47">
        <v>4207.14</v>
      </c>
      <c r="M11" s="47">
        <v>2783.64</v>
      </c>
      <c r="N11" s="47">
        <f>B11+C11+D11+E11+F11+G11+H11+I11+J11+K11+L11+M11</f>
        <v>73061.36</v>
      </c>
    </row>
    <row r="12" spans="1:14" ht="16">
      <c r="A12" s="39" t="s">
        <v>9</v>
      </c>
      <c r="B12" s="47">
        <v>528.0</v>
      </c>
      <c r="C12" s="47">
        <v>181.2</v>
      </c>
      <c r="D12" s="47">
        <v>132.0</v>
      </c>
      <c r="E12" s="47">
        <v>288.0</v>
      </c>
      <c r="F12" s="47">
        <v>460.8</v>
      </c>
      <c r="G12" s="47">
        <v>552.0</v>
      </c>
      <c r="H12" s="47">
        <v>57.6</v>
      </c>
      <c r="I12" s="47">
        <v>396.0</v>
      </c>
      <c r="J12" s="47">
        <v>288.0</v>
      </c>
      <c r="K12" s="46"/>
      <c r="L12" s="46"/>
      <c r="M12" s="47">
        <v>708.0</v>
      </c>
      <c r="N12" s="47">
        <f>B12+C12+D12+E12+F12+G12+H12+I12+J12+K12+L12+M12</f>
        <v>3591.6</v>
      </c>
    </row>
    <row r="13" spans="1:14" ht="16">
      <c r="A13" s="39" t="s">
        <v>10</v>
      </c>
      <c r="B13" s="46"/>
      <c r="C13" s="46"/>
      <c r="D13" s="46"/>
      <c r="E13" s="47">
        <v>420.0</v>
      </c>
      <c r="F13" s="46"/>
      <c r="G13" s="46"/>
      <c r="H13" s="46"/>
      <c r="I13" s="46"/>
      <c r="J13" s="46"/>
      <c r="K13" s="46"/>
      <c r="L13" s="46"/>
      <c r="M13" s="46"/>
      <c r="N13" s="47">
        <f>B13+C13+D13+E13+F13+G13+H13+I13+J13+K13+L13+M13</f>
        <v>420.0</v>
      </c>
    </row>
    <row r="14" spans="1:14" ht="16">
      <c r="A14" s="39" t="s">
        <v>11</v>
      </c>
      <c r="B14" s="47">
        <v>790.92</v>
      </c>
      <c r="C14" s="47">
        <v>227.32</v>
      </c>
      <c r="D14" s="47">
        <v>135.52</v>
      </c>
      <c r="E14" s="47">
        <v>1714.24</v>
      </c>
      <c r="F14" s="47">
        <v>997.44</v>
      </c>
      <c r="G14" s="47">
        <v>428.4</v>
      </c>
      <c r="H14" s="47">
        <v>268.92</v>
      </c>
      <c r="I14" s="47">
        <v>871.32</v>
      </c>
      <c r="J14" s="47">
        <v>1301.04</v>
      </c>
      <c r="K14" s="46"/>
      <c r="L14" s="46"/>
      <c r="M14" s="47">
        <v>77.04</v>
      </c>
      <c r="N14" s="47">
        <f>B14+C14+D14+E14+F14+G14+H14+I14+J14+K14+L14+M14</f>
        <v>6812.16</v>
      </c>
    </row>
    <row r="15" spans="1:14" ht="16">
      <c r="A15" s="39" t="s">
        <v>12</v>
      </c>
      <c r="B15" s="47">
        <v>3475.84</v>
      </c>
      <c r="C15" s="47">
        <v>1361.76</v>
      </c>
      <c r="D15" s="47">
        <v>2809.88</v>
      </c>
      <c r="E15" s="47">
        <v>2863.62</v>
      </c>
      <c r="F15" s="47">
        <v>6818.82</v>
      </c>
      <c r="G15" s="47">
        <v>5817.42</v>
      </c>
      <c r="H15" s="47">
        <v>6043.74</v>
      </c>
      <c r="I15" s="47">
        <v>3134.76</v>
      </c>
      <c r="J15" s="47">
        <v>5368.26</v>
      </c>
      <c r="K15" s="47">
        <v>8460.18</v>
      </c>
      <c r="L15" s="47">
        <v>3896.1</v>
      </c>
      <c r="M15" s="47">
        <v>3404.88</v>
      </c>
      <c r="N15" s="47">
        <f>B15+C15+D15+E15+F15+G15+H15+I15+J15+K15+L15+M15</f>
        <v>53455.259999999995</v>
      </c>
    </row>
    <row r="16" spans="1:14" ht="16">
      <c r="A16" s="39" t="s">
        <v>13</v>
      </c>
      <c r="B16" s="47">
        <v>110.64</v>
      </c>
      <c r="C16" s="47">
        <v>112.2</v>
      </c>
      <c r="D16" s="47">
        <v>104.0</v>
      </c>
      <c r="E16" s="47">
        <v>5280.0</v>
      </c>
      <c r="F16" s="47">
        <v>221.28</v>
      </c>
      <c r="G16" s="46"/>
      <c r="H16" s="46"/>
      <c r="I16" s="46"/>
      <c r="J16" s="46"/>
      <c r="K16" s="46"/>
      <c r="L16" s="47">
        <v>96.0</v>
      </c>
      <c r="M16" s="47">
        <v>122.52</v>
      </c>
      <c r="N16" s="47">
        <f>B16+C16+D16+E16+F16+G16+H16+I16+J16+K16+L16+M16</f>
        <v>6046.64</v>
      </c>
    </row>
    <row r="17" spans="1:14" ht="16">
      <c r="A17" s="39" t="s">
        <v>14</v>
      </c>
      <c r="B17" s="47">
        <v>1857.14</v>
      </c>
      <c r="C17" s="47">
        <v>1894.38</v>
      </c>
      <c r="D17" s="47">
        <v>4143.8</v>
      </c>
      <c r="E17" s="47">
        <v>1882.74</v>
      </c>
      <c r="F17" s="47">
        <v>1827.78</v>
      </c>
      <c r="G17" s="47">
        <v>1365.42</v>
      </c>
      <c r="H17" s="47">
        <v>2189.1</v>
      </c>
      <c r="I17" s="47">
        <v>3427.68</v>
      </c>
      <c r="J17" s="47">
        <v>2158.5</v>
      </c>
      <c r="K17" s="47">
        <v>1559.88</v>
      </c>
      <c r="L17" s="47">
        <v>4575.42</v>
      </c>
      <c r="M17" s="47">
        <v>1980.96</v>
      </c>
      <c r="N17" s="47">
        <f>B17+C17+D17+E17+F17+G17+H17+I17+J17+K17+L17+M17</f>
        <v>28862.800000000003</v>
      </c>
    </row>
    <row r="18" spans="1:14" ht="16">
      <c r="A18" s="39" t="s">
        <v>15</v>
      </c>
      <c r="B18" s="47">
        <v>20795.44</v>
      </c>
      <c r="C18" s="47">
        <v>13451.4</v>
      </c>
      <c r="D18" s="47">
        <v>386.76</v>
      </c>
      <c r="E18" s="46"/>
      <c r="F18" s="47">
        <v>9272.56</v>
      </c>
      <c r="G18" s="47">
        <v>5645.0</v>
      </c>
      <c r="H18" s="47">
        <v>12233.96</v>
      </c>
      <c r="I18" s="47">
        <v>722.04</v>
      </c>
      <c r="J18" s="47">
        <v>21336.56</v>
      </c>
      <c r="K18" s="47">
        <v>18369.48</v>
      </c>
      <c r="L18" s="47">
        <v>5161.44</v>
      </c>
      <c r="M18" s="47">
        <v>6617.44</v>
      </c>
      <c r="N18" s="47">
        <f>B18+C18+D18+E18+F18+G18+H18+I18+J18+K18+L18+M18</f>
        <v>113992.08</v>
      </c>
    </row>
    <row r="19" spans="1:14" ht="16">
      <c r="A19" s="39" t="s">
        <v>16</v>
      </c>
      <c r="B19" s="47">
        <v>1187.76</v>
      </c>
      <c r="C19" s="47">
        <v>1592.04</v>
      </c>
      <c r="D19" s="47">
        <v>299.0</v>
      </c>
      <c r="E19" s="47">
        <v>1956.24</v>
      </c>
      <c r="F19" s="47">
        <v>658.74</v>
      </c>
      <c r="G19" s="47">
        <v>2808.96</v>
      </c>
      <c r="H19" s="47">
        <v>5895.66</v>
      </c>
      <c r="I19" s="47">
        <v>2114.28</v>
      </c>
      <c r="J19" s="47">
        <v>3682.68</v>
      </c>
      <c r="K19" s="47">
        <v>8008.02</v>
      </c>
      <c r="L19" s="47">
        <v>2498.04</v>
      </c>
      <c r="M19" s="47">
        <v>219.12</v>
      </c>
      <c r="N19" s="47">
        <f>B19+C19+D19+E19+F19+G19+H19+I19+J19+K19+L19+M19</f>
        <v>30920.54</v>
      </c>
    </row>
    <row r="20" spans="1:14" ht="16">
      <c r="A20" s="39" t="s">
        <v>17</v>
      </c>
      <c r="B20" s="47">
        <v>2765.32</v>
      </c>
      <c r="C20" s="47">
        <v>2889.52</v>
      </c>
      <c r="D20" s="47">
        <v>1353.8</v>
      </c>
      <c r="E20" s="47">
        <v>1554.64</v>
      </c>
      <c r="F20" s="46"/>
      <c r="G20" s="47">
        <v>1379.76</v>
      </c>
      <c r="H20" s="47">
        <v>79.44</v>
      </c>
      <c r="I20" s="47">
        <v>214.2</v>
      </c>
      <c r="J20" s="47">
        <v>6139.93</v>
      </c>
      <c r="K20" s="47">
        <v>2907.0</v>
      </c>
      <c r="L20" s="47">
        <v>61.2</v>
      </c>
      <c r="M20" s="47">
        <v>77.04</v>
      </c>
      <c r="N20" s="47">
        <f>B20+C20+D20+E20+F20+G20+H20+I20+J20+K20+L20+M20</f>
        <v>19421.850000000002</v>
      </c>
    </row>
    <row r="21" spans="1:14" ht="16">
      <c r="A21" s="40" t="s">
        <v>18</v>
      </c>
      <c r="B21" s="48">
        <f>B8+B9+B10+B11+B12+B13+B14+B15+B16+B17+B18+B19+B20</f>
        <v>58105.82000000001</v>
      </c>
      <c r="C21" s="48">
        <f>C8+C9+C10+C11+C12+C13+C14+C15+C16+C17+C18+C19+C20</f>
        <v>37557.86</v>
      </c>
      <c r="D21" s="48">
        <f>D8+D9+D10+D11+D12+D13+D14+D15+D16+D17+D18+D19+D20</f>
        <v>25834.999999999996</v>
      </c>
      <c r="E21" s="48">
        <f>E8+E9+E10+E11+E12+E13+E14+E15+E16+E17+E18+E19+E20</f>
        <v>20803.100000000002</v>
      </c>
      <c r="F21" s="48">
        <f>F8+F9+F10+F11+F12+F13+F14+F15+F16+F17+F18+F19+F20</f>
        <v>34897.479999999996</v>
      </c>
      <c r="G21" s="48">
        <f>G8+G9+G10+G11+G12+G13+G14+G15+G16+G17+G18+G19+G20</f>
        <v>28869.139999999996</v>
      </c>
      <c r="H21" s="48">
        <f>H8+H9+H10+H11+H12+H13+H14+H15+H16+H17+H18+H19+H20</f>
        <v>44112.14</v>
      </c>
      <c r="I21" s="48">
        <f>I8+I9+I10+I11+I12+I13+I14+I15+I16+I17+I18+I19+I20</f>
        <v>19245.78</v>
      </c>
      <c r="J21" s="48">
        <f>J8+J9+J10+J11+J12+J13+J14+J15+J16+J17+J18+J19+J20</f>
        <v>65810.01000000001</v>
      </c>
      <c r="K21" s="48">
        <f>K8+K9+K10+K11+K12+K13+K14+K15+K16+K17+K18+K19+K20</f>
        <v>65819.72</v>
      </c>
      <c r="L21" s="48">
        <f>L8+L9+L10+L11+L12+L13+L14+L15+L16+L17+L18+L19+L20</f>
        <v>26723.420000000002</v>
      </c>
      <c r="M21" s="48">
        <f>M8+M9+M10+M11+M12+M13+M14+M15+M16+M17+M18+M19+M20</f>
        <v>17903.199999999997</v>
      </c>
      <c r="N21" s="51">
        <f>B21+C21+D21+E21+F21+G21+H21+I21+J21+K21+L21+M21</f>
        <v>445682.6699999999</v>
      </c>
    </row>
    <row r="22" spans="1:14" ht="16">
      <c r="A22" s="38" t="s">
        <v>19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</row>
    <row r="23" spans="1:14" ht="16">
      <c r="A23" s="39" t="s">
        <v>20</v>
      </c>
      <c r="B23" s="47">
        <v>270.64</v>
      </c>
      <c r="C23" s="47">
        <v>112.2</v>
      </c>
      <c r="D23" s="46"/>
      <c r="E23" s="47">
        <v>5435.76</v>
      </c>
      <c r="F23" s="47">
        <v>384.0</v>
      </c>
      <c r="G23" s="46"/>
      <c r="H23" s="46"/>
      <c r="I23" s="46"/>
      <c r="J23" s="47">
        <v>209.28</v>
      </c>
      <c r="K23" s="47">
        <v>384.0</v>
      </c>
      <c r="L23" s="47">
        <v>155.76</v>
      </c>
      <c r="M23" s="47">
        <v>119.76</v>
      </c>
      <c r="N23" s="47">
        <f>B23+C23+D23+E23+F23+G23+H23+I23+J23+K23+L23+M23</f>
        <v>7071.400000000001</v>
      </c>
    </row>
    <row r="24" spans="1:14" ht="16">
      <c r="A24" s="40" t="s">
        <v>21</v>
      </c>
      <c r="B24" s="48">
        <f>B22+B23</f>
        <v>270.64</v>
      </c>
      <c r="C24" s="48">
        <f>C22+C23</f>
        <v>112.2</v>
      </c>
      <c r="D24" s="51">
        <f>D22+D23</f>
        <v>0.0</v>
      </c>
      <c r="E24" s="48">
        <f>E22+E23</f>
        <v>5435.76</v>
      </c>
      <c r="F24" s="48">
        <f>F22+F23</f>
        <v>384.0</v>
      </c>
      <c r="G24" s="51">
        <f>G22+G23</f>
        <v>0.0</v>
      </c>
      <c r="H24" s="51">
        <f>H22+H23</f>
        <v>0.0</v>
      </c>
      <c r="I24" s="51">
        <f>I22+I23</f>
        <v>0.0</v>
      </c>
      <c r="J24" s="48">
        <f>J22+J23</f>
        <v>209.28</v>
      </c>
      <c r="K24" s="48">
        <f>K22+K23</f>
        <v>384.0</v>
      </c>
      <c r="L24" s="48">
        <f>L22+L23</f>
        <v>155.76</v>
      </c>
      <c r="M24" s="48">
        <f>M22+M23</f>
        <v>119.76</v>
      </c>
      <c r="N24" s="51">
        <f>B24+C24+D24+E24+F24+G24+H24+I24+J24+K24+L24+M24</f>
        <v>7071.400000000001</v>
      </c>
    </row>
    <row r="25" spans="1:14" ht="16">
      <c r="A25" s="38" t="s">
        <v>22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4" ht="16">
      <c r="A26" s="39" t="s">
        <v>23</v>
      </c>
      <c r="B26" s="47">
        <v>1944.0</v>
      </c>
      <c r="C26" s="47">
        <v>1080.0</v>
      </c>
      <c r="D26" s="47">
        <v>2538.0</v>
      </c>
      <c r="E26" s="47">
        <v>2454.9</v>
      </c>
      <c r="F26" s="47">
        <v>810.0</v>
      </c>
      <c r="G26" s="47">
        <v>1080.0</v>
      </c>
      <c r="H26" s="46"/>
      <c r="I26" s="47">
        <v>540.0</v>
      </c>
      <c r="J26" s="47">
        <v>1836.0</v>
      </c>
      <c r="K26" s="47">
        <v>4005.3</v>
      </c>
      <c r="L26" s="47">
        <v>2340.0</v>
      </c>
      <c r="M26" s="47">
        <v>135.54</v>
      </c>
      <c r="N26" s="47">
        <f>B26+C26+D26+E26+F26+G26+H26+I26+J26+K26+L26+M26</f>
        <v>18763.74</v>
      </c>
    </row>
    <row r="27" spans="1:14" ht="16">
      <c r="A27" s="39" t="s">
        <v>24</v>
      </c>
      <c r="B27" s="47">
        <v>918.0</v>
      </c>
      <c r="C27" s="47">
        <v>378.0</v>
      </c>
      <c r="D27" s="47">
        <v>882.0</v>
      </c>
      <c r="E27" s="46"/>
      <c r="F27" s="47">
        <v>540.0</v>
      </c>
      <c r="G27" s="47">
        <v>486.0</v>
      </c>
      <c r="H27" s="46"/>
      <c r="I27" s="46"/>
      <c r="J27" s="47">
        <v>810.0</v>
      </c>
      <c r="K27" s="47">
        <v>3935.1</v>
      </c>
      <c r="L27" s="46"/>
      <c r="M27" s="47">
        <v>129.54</v>
      </c>
      <c r="N27" s="47">
        <f>B27+C27+D27+E27+F27+G27+H27+I27+J27+K27+L27+M27</f>
        <v>8078.64</v>
      </c>
    </row>
    <row r="28" spans="1:14" ht="16">
      <c r="A28" s="39" t="s">
        <v>25</v>
      </c>
      <c r="B28" s="47">
        <v>1152.0</v>
      </c>
      <c r="C28" s="47">
        <v>108.0</v>
      </c>
      <c r="D28" s="47">
        <v>1080.0</v>
      </c>
      <c r="E28" s="47">
        <v>270.0</v>
      </c>
      <c r="F28" s="46"/>
      <c r="G28" s="47">
        <v>540.0</v>
      </c>
      <c r="H28" s="46"/>
      <c r="I28" s="47">
        <v>240.0</v>
      </c>
      <c r="J28" s="47">
        <v>828.0</v>
      </c>
      <c r="K28" s="46"/>
      <c r="L28" s="46"/>
      <c r="M28" s="46"/>
      <c r="N28" s="47">
        <f>B28+C28+D28+E28+F28+G28+H28+I28+J28+K28+L28+M28</f>
        <v>4218.0</v>
      </c>
    </row>
    <row r="29" spans="1:14" ht="16">
      <c r="A29" s="40" t="s">
        <v>26</v>
      </c>
      <c r="B29" s="48">
        <f>B25+B26+B27+B28</f>
        <v>4014.0</v>
      </c>
      <c r="C29" s="48">
        <f>C25+C26+C27+C28</f>
        <v>1566.0</v>
      </c>
      <c r="D29" s="48">
        <f>D25+D26+D27+D28</f>
        <v>4500.0</v>
      </c>
      <c r="E29" s="48">
        <f>E25+E26+E27+E28</f>
        <v>2724.9</v>
      </c>
      <c r="F29" s="48">
        <f>F25+F26+F27+F28</f>
        <v>1350.0</v>
      </c>
      <c r="G29" s="48">
        <f>G25+G26+G27+G28</f>
        <v>2106.0</v>
      </c>
      <c r="H29" s="51">
        <f>H25+H26+H27+H28</f>
        <v>0.0</v>
      </c>
      <c r="I29" s="48">
        <f>I25+I26+I27+I28</f>
        <v>780.0</v>
      </c>
      <c r="J29" s="48">
        <f>J25+J26+J27+J28</f>
        <v>3474.0</v>
      </c>
      <c r="K29" s="48">
        <f>K25+K26+K27+K28</f>
        <v>7940.4</v>
      </c>
      <c r="L29" s="48">
        <f>L25+L26+L27+L28</f>
        <v>2340.0</v>
      </c>
      <c r="M29" s="48">
        <f>M25+M26+M27+M28</f>
        <v>265.08</v>
      </c>
      <c r="N29" s="51">
        <f>B29+C29+D29+E29+F29+G29+H29+I29+J29+K29+L29+M29</f>
        <v>31060.380000000005</v>
      </c>
    </row>
    <row r="30" spans="1:14" ht="16">
      <c r="A30" s="38" t="s">
        <v>27</v>
      </c>
      <c r="B30" s="47">
        <v>16974.6</v>
      </c>
      <c r="C30" s="47">
        <v>21110.21</v>
      </c>
      <c r="D30" s="47">
        <v>11520.6</v>
      </c>
      <c r="E30" s="47">
        <v>31017.0</v>
      </c>
      <c r="F30" s="47">
        <v>31903.2</v>
      </c>
      <c r="G30" s="47">
        <v>42654.76</v>
      </c>
      <c r="H30" s="47">
        <v>19.98</v>
      </c>
      <c r="I30" s="46"/>
      <c r="J30" s="47">
        <v>659.04</v>
      </c>
      <c r="K30" s="47">
        <v>3900.0</v>
      </c>
      <c r="L30" s="47">
        <v>-1386.7</v>
      </c>
      <c r="M30" s="47">
        <v>1168.46</v>
      </c>
      <c r="N30" s="47">
        <f>B30+C30+D30+E30+F30+G30+H30+I30+J30+K30+L30+M30</f>
        <v>159541.15</v>
      </c>
    </row>
    <row r="31" spans="1:14" ht="16">
      <c r="A31" s="38" t="s">
        <v>28</v>
      </c>
      <c r="B31" s="47">
        <v>10336.0</v>
      </c>
      <c r="C31" s="47">
        <v>2676.0</v>
      </c>
      <c r="D31" s="47">
        <v>3811.0</v>
      </c>
      <c r="E31" s="47">
        <v>2489.0</v>
      </c>
      <c r="F31" s="47">
        <v>4108.0</v>
      </c>
      <c r="G31" s="47">
        <v>5784.0</v>
      </c>
      <c r="H31" s="47">
        <v>11436.0</v>
      </c>
      <c r="I31" s="47">
        <v>5212.0</v>
      </c>
      <c r="J31" s="47">
        <v>5415.0</v>
      </c>
      <c r="K31" s="47">
        <v>12833.0</v>
      </c>
      <c r="L31" s="47">
        <v>4600.0</v>
      </c>
      <c r="M31" s="47">
        <v>4219.0</v>
      </c>
      <c r="N31" s="47">
        <f>B31+C31+D31+E31+F31+G31+H31+I31+J31+K31+L31+M31</f>
        <v>72919.0</v>
      </c>
    </row>
    <row r="32" spans="1:14" ht="16">
      <c r="A32" s="38" t="s">
        <v>29</v>
      </c>
      <c r="B32" s="47">
        <v>-1082.89</v>
      </c>
      <c r="C32" s="47">
        <v>2954.54</v>
      </c>
      <c r="D32" s="47">
        <v>12938.37</v>
      </c>
      <c r="E32" s="47">
        <v>-7859.82</v>
      </c>
      <c r="F32" s="47">
        <v>2793.23</v>
      </c>
      <c r="G32" s="47">
        <v>2356.72</v>
      </c>
      <c r="H32" s="47">
        <v>6449.43</v>
      </c>
      <c r="I32" s="47">
        <v>5750.93</v>
      </c>
      <c r="J32" s="47">
        <v>2660.08</v>
      </c>
      <c r="K32" s="47">
        <v>5245.37</v>
      </c>
      <c r="L32" s="47">
        <v>6680.13</v>
      </c>
      <c r="M32" s="47">
        <v>10199.45</v>
      </c>
      <c r="N32" s="47">
        <f>B32+C32+D32+E32+F32+G32+H32+I32+J32+K32+L32+M32</f>
        <v>49085.54000000001</v>
      </c>
    </row>
    <row r="33" spans="1:14" ht="16">
      <c r="A33" s="38" t="s">
        <v>30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</row>
    <row r="34" spans="1:14" ht="16">
      <c r="A34" s="39" t="s">
        <v>31</v>
      </c>
      <c r="B34" s="47">
        <v>8723.46</v>
      </c>
      <c r="C34" s="47">
        <v>3728.8</v>
      </c>
      <c r="D34" s="47">
        <v>7302.22</v>
      </c>
      <c r="E34" s="47">
        <v>3565.24</v>
      </c>
      <c r="F34" s="47">
        <v>2129.84</v>
      </c>
      <c r="G34" s="47">
        <v>61.96</v>
      </c>
      <c r="H34" s="47">
        <v>12.86</v>
      </c>
      <c r="I34" s="47">
        <v>3137.03</v>
      </c>
      <c r="J34" s="47">
        <v>2741.7</v>
      </c>
      <c r="K34" s="47">
        <v>2630.75</v>
      </c>
      <c r="L34" s="47">
        <v>4093.34</v>
      </c>
      <c r="M34" s="47">
        <v>1523.88</v>
      </c>
      <c r="N34" s="47">
        <f>B34+C34+D34+E34+F34+G34+H34+I34+J34+K34+L34+M34</f>
        <v>39651.079999999994</v>
      </c>
    </row>
    <row r="35" spans="1:14" ht="16">
      <c r="A35" s="40" t="s">
        <v>32</v>
      </c>
      <c r="B35" s="48">
        <f>B33+B34</f>
        <v>8723.46</v>
      </c>
      <c r="C35" s="48">
        <f>C33+C34</f>
        <v>3728.8</v>
      </c>
      <c r="D35" s="48">
        <f>D33+D34</f>
        <v>7302.22</v>
      </c>
      <c r="E35" s="48">
        <f>E33+E34</f>
        <v>3565.24</v>
      </c>
      <c r="F35" s="48">
        <f>F33+F34</f>
        <v>2129.84</v>
      </c>
      <c r="G35" s="48">
        <f>G33+G34</f>
        <v>61.96</v>
      </c>
      <c r="H35" s="48">
        <f>H33+H34</f>
        <v>12.86</v>
      </c>
      <c r="I35" s="48">
        <f>I33+I34</f>
        <v>3137.03</v>
      </c>
      <c r="J35" s="48">
        <f>J33+J34</f>
        <v>2741.7</v>
      </c>
      <c r="K35" s="48">
        <f>K33+K34</f>
        <v>2630.75</v>
      </c>
      <c r="L35" s="48">
        <f>L33+L34</f>
        <v>4093.34</v>
      </c>
      <c r="M35" s="48">
        <f>M33+M34</f>
        <v>1523.88</v>
      </c>
      <c r="N35" s="51">
        <f>B35+C35+D35+E35+F35+G35+H35+I35+J35+K35+L35+M35</f>
        <v>39651.079999999994</v>
      </c>
    </row>
    <row r="36" spans="1:14" ht="16">
      <c r="A36" s="41" t="s">
        <v>33</v>
      </c>
      <c r="B36" s="48">
        <f>B7+B21+B24+B29+B30+B31+B32+B35</f>
        <v>97341.63</v>
      </c>
      <c r="C36" s="48">
        <f>C7+C21+C24+C29+C30+C31+C32+C35</f>
        <v>69705.61</v>
      </c>
      <c r="D36" s="48">
        <f>D7+D21+D24+D29+D30+D31+D32+D35</f>
        <v>65907.19</v>
      </c>
      <c r="E36" s="48">
        <f>E7+E21+E24+E29+E30+E31+E32+E35</f>
        <v>58175.18</v>
      </c>
      <c r="F36" s="48">
        <f>F7+F21+F24+F29+F30+F31+F32+F35</f>
        <v>77565.74999999999</v>
      </c>
      <c r="G36" s="48">
        <f>G7+G21+G24+G29+G30+G31+G32+G35</f>
        <v>81832.58</v>
      </c>
      <c r="H36" s="48">
        <f>H7+H21+H24+H29+H30+H31+H32+H35</f>
        <v>62030.41</v>
      </c>
      <c r="I36" s="48">
        <f>I7+I21+I24+I29+I30+I31+I32+I35</f>
        <v>34125.74</v>
      </c>
      <c r="J36" s="48">
        <f>J7+J21+J24+J29+J30+J31+J32+J35</f>
        <v>80969.11</v>
      </c>
      <c r="K36" s="48">
        <f>K7+K21+K24+K29+K30+K31+K32+K35</f>
        <v>98753.23999999999</v>
      </c>
      <c r="L36" s="48">
        <f>L7+L21+L24+L29+L30+L31+L32+L35</f>
        <v>43205.95</v>
      </c>
      <c r="M36" s="48">
        <f>M7+M21+M24+M29+M30+M31+M32+M35</f>
        <v>35398.829999999994</v>
      </c>
      <c r="N36" s="51">
        <f>B36+C36+D36+E36+F36+G36+H36+I36+J36+K36+L36+M36</f>
        <v>805011.2199999999</v>
      </c>
    </row>
    <row r="37" spans="1:14" ht="16">
      <c r="A37" s="37" t="s">
        <v>34</v>
      </c>
      <c r="B37" s="46"/>
      <c r="C37" s="46"/>
      <c r="D37" s="46"/>
      <c r="E37" s="47">
        <v>732.6</v>
      </c>
      <c r="F37" s="47">
        <v>0.26</v>
      </c>
      <c r="G37" s="46"/>
      <c r="H37" s="46"/>
      <c r="I37" s="46"/>
      <c r="J37" s="46"/>
      <c r="K37" s="46"/>
      <c r="L37" s="46"/>
      <c r="M37" s="46"/>
      <c r="N37" s="47">
        <f>B37+C37+D37+E37+F37+G37+H37+I37+J37+K37+L37+M37</f>
        <v>732.86</v>
      </c>
    </row>
    <row r="38" spans="1:14" ht="16">
      <c r="A38" s="37" t="s">
        <v>35</v>
      </c>
      <c r="B38" s="46"/>
      <c r="C38" s="46"/>
      <c r="D38" s="46"/>
      <c r="E38" s="46"/>
      <c r="F38" s="46"/>
      <c r="G38" s="49">
        <v>0</v>
      </c>
      <c r="H38" s="46"/>
      <c r="I38" s="46"/>
      <c r="J38" s="46"/>
      <c r="K38" s="46"/>
      <c r="L38" s="46"/>
      <c r="M38" s="46"/>
      <c r="N38" s="49">
        <f>B38+C38+D38+E38+F38+G38+H38+I38+J38+K38+L38+M38</f>
        <v>0.0</v>
      </c>
    </row>
    <row r="39" spans="1:14" ht="16">
      <c r="A39" s="37" t="s">
        <v>36</v>
      </c>
      <c r="B39" s="49">
        <v>0</v>
      </c>
      <c r="C39" s="49">
        <v>0</v>
      </c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9">
        <f>B39+C39+D39+E39+F39+G39+H39+I39+J39+K39+L39+M39</f>
        <v>0.0</v>
      </c>
    </row>
    <row r="40" spans="1:14" ht="16">
      <c r="A40" s="42" t="s">
        <v>37</v>
      </c>
      <c r="B40" s="48">
        <f>B6+B36+B37+B38+B39</f>
        <v>97341.63</v>
      </c>
      <c r="C40" s="48">
        <f>C6+C36+C37+C38+C39</f>
        <v>69705.61</v>
      </c>
      <c r="D40" s="48">
        <f>D6+D36+D37+D38+D39</f>
        <v>65907.19</v>
      </c>
      <c r="E40" s="48">
        <f>E6+E36+E37+E38+E39</f>
        <v>58907.78</v>
      </c>
      <c r="F40" s="48">
        <f>F6+F36+F37+F38+F39</f>
        <v>77566.00999999998</v>
      </c>
      <c r="G40" s="48">
        <f>G6+G36+G37+G38+G39</f>
        <v>81832.58</v>
      </c>
      <c r="H40" s="48">
        <f>H6+H36+H37+H38+H39</f>
        <v>62030.41</v>
      </c>
      <c r="I40" s="48">
        <f>I6+I36+I37+I38+I39</f>
        <v>34125.74</v>
      </c>
      <c r="J40" s="48">
        <f>J6+J36+J37+J38+J39</f>
        <v>80969.11</v>
      </c>
      <c r="K40" s="48">
        <f>K6+K36+K37+K38+K39</f>
        <v>98753.23999999999</v>
      </c>
      <c r="L40" s="48">
        <f>L6+L36+L37+L38+L39</f>
        <v>43205.95</v>
      </c>
      <c r="M40" s="48">
        <f>M6+M36+M37+M38+M39</f>
        <v>35398.829999999994</v>
      </c>
      <c r="N40" s="51">
        <f>B40+C40+D40+E40+F40+G40+H40+I40+J40+K40+L40+M40</f>
        <v>805744.0799999998</v>
      </c>
    </row>
    <row r="41" spans="1:13" ht="16">
      <c r="A41" s="36" t="s">
        <v>38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</row>
    <row r="42" spans="1:14" ht="16">
      <c r="A42" s="37" t="s">
        <v>39</v>
      </c>
      <c r="B42" s="46"/>
      <c r="C42" s="46"/>
      <c r="D42" s="47">
        <v>4960.84</v>
      </c>
      <c r="E42" s="46"/>
      <c r="F42" s="46"/>
      <c r="G42" s="46"/>
      <c r="H42" s="47">
        <v>921.4</v>
      </c>
      <c r="I42" s="46"/>
      <c r="J42" s="47">
        <v>3712.5</v>
      </c>
      <c r="K42" s="46"/>
      <c r="L42" s="46"/>
      <c r="M42" s="46"/>
      <c r="N42" s="47">
        <f>B42+C42+D42+E42+F42+G42+H42+I42+J42+K42+L42+M42</f>
        <v>9594.74</v>
      </c>
    </row>
    <row r="43" spans="1:14" ht="16">
      <c r="A43" s="38" t="s">
        <v>40</v>
      </c>
      <c r="B43" s="47">
        <v>8645.89</v>
      </c>
      <c r="C43" s="47">
        <v>5158.8</v>
      </c>
      <c r="D43" s="47">
        <v>4209.64</v>
      </c>
      <c r="E43" s="47">
        <v>4062.01</v>
      </c>
      <c r="F43" s="47">
        <v>5470.04</v>
      </c>
      <c r="G43" s="47">
        <v>3948.79</v>
      </c>
      <c r="H43" s="47">
        <v>5155.94</v>
      </c>
      <c r="I43" s="47">
        <v>3279.24</v>
      </c>
      <c r="J43" s="47">
        <v>2763.04</v>
      </c>
      <c r="K43" s="47">
        <v>5013.84</v>
      </c>
      <c r="L43" s="47">
        <v>6157.3</v>
      </c>
      <c r="M43" s="47">
        <v>2746.71</v>
      </c>
      <c r="N43" s="47">
        <f>B43+C43+D43+E43+F43+G43+H43+I43+J43+K43+L43+M43</f>
        <v>56611.24</v>
      </c>
    </row>
    <row r="44" spans="1:14" ht="16">
      <c r="A44" s="38" t="s">
        <v>41</v>
      </c>
      <c r="B44" s="47">
        <v>1407.64</v>
      </c>
      <c r="C44" s="47">
        <v>118.79</v>
      </c>
      <c r="D44" s="47">
        <v>631.58</v>
      </c>
      <c r="E44" s="47">
        <v>5782.17</v>
      </c>
      <c r="F44" s="47">
        <v>484.98</v>
      </c>
      <c r="G44" s="47">
        <v>243.28</v>
      </c>
      <c r="H44" s="47">
        <v>1597.75</v>
      </c>
      <c r="I44" s="47">
        <v>246.72</v>
      </c>
      <c r="J44" s="47">
        <v>1852.29</v>
      </c>
      <c r="K44" s="47">
        <v>3668.29</v>
      </c>
      <c r="L44" s="47">
        <v>627.39</v>
      </c>
      <c r="M44" s="47">
        <v>4384.97</v>
      </c>
      <c r="N44" s="47">
        <f>B44+C44+D44+E44+F44+G44+H44+I44+J44+K44+L44+M44</f>
        <v>21045.850000000002</v>
      </c>
    </row>
    <row r="45" spans="1:14" ht="16">
      <c r="A45" s="38" t="s">
        <v>42</v>
      </c>
      <c r="B45" s="46"/>
      <c r="C45" s="46"/>
      <c r="D45" s="46"/>
      <c r="E45" s="47">
        <v>-5010.17</v>
      </c>
      <c r="F45" s="47">
        <v>6588.28</v>
      </c>
      <c r="G45" s="47">
        <v>13541.54</v>
      </c>
      <c r="H45" s="46"/>
      <c r="I45" s="46"/>
      <c r="J45" s="46"/>
      <c r="K45" s="47">
        <v>629.0</v>
      </c>
      <c r="L45" s="46"/>
      <c r="M45" s="46"/>
      <c r="N45" s="47">
        <f>B45+C45+D45+E45+F45+G45+H45+I45+J45+K45+L45+M45</f>
        <v>15748.650000000001</v>
      </c>
    </row>
    <row r="46" spans="1:14" ht="16">
      <c r="A46" s="38" t="s">
        <v>43</v>
      </c>
      <c r="B46" s="47">
        <v>40909.49</v>
      </c>
      <c r="C46" s="47">
        <v>27875.18</v>
      </c>
      <c r="D46" s="47">
        <v>32709.91</v>
      </c>
      <c r="E46" s="47">
        <v>37749.46</v>
      </c>
      <c r="F46" s="47">
        <v>40924.29</v>
      </c>
      <c r="G46" s="47">
        <v>18153.26</v>
      </c>
      <c r="H46" s="47">
        <v>19985.29</v>
      </c>
      <c r="I46" s="47">
        <v>10148.25</v>
      </c>
      <c r="J46" s="47">
        <v>30374.18</v>
      </c>
      <c r="K46" s="47">
        <v>56094.79</v>
      </c>
      <c r="L46" s="47">
        <v>18035.05</v>
      </c>
      <c r="M46" s="47">
        <v>35939.15</v>
      </c>
      <c r="N46" s="47">
        <f>B46+C46+D46+E46+F46+G46+H46+I46+J46+K46+L46+M46</f>
        <v>368898.30000000005</v>
      </c>
    </row>
    <row r="47" spans="1:14" ht="16">
      <c r="A47" s="38" t="s">
        <v>44</v>
      </c>
      <c r="B47" s="46"/>
      <c r="C47" s="46"/>
      <c r="D47" s="46"/>
      <c r="E47" s="46"/>
      <c r="F47" s="46"/>
      <c r="G47" s="47">
        <v>634.08</v>
      </c>
      <c r="H47" s="46"/>
      <c r="I47" s="46"/>
      <c r="J47" s="46"/>
      <c r="K47" s="46"/>
      <c r="L47" s="46"/>
      <c r="M47" s="46"/>
      <c r="N47" s="47">
        <f>B47+C47+D47+E47+F47+G47+H47+I47+J47+K47+L47+M47</f>
        <v>634.08</v>
      </c>
    </row>
    <row r="48" spans="1:14" ht="16">
      <c r="A48" s="38" t="s">
        <v>45</v>
      </c>
      <c r="B48" s="46"/>
      <c r="C48" s="47">
        <v>89.52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7">
        <f>B48+C48+D48+E48+F48+G48+H48+I48+J48+K48+L48+M48</f>
        <v>89.52</v>
      </c>
    </row>
    <row r="49" spans="1:14" ht="16">
      <c r="A49" s="38" t="s">
        <v>46</v>
      </c>
      <c r="B49" s="47">
        <v>6899.69</v>
      </c>
      <c r="C49" s="47">
        <v>-2314.87</v>
      </c>
      <c r="D49" s="47">
        <v>1655.62</v>
      </c>
      <c r="E49" s="47">
        <v>2783.19</v>
      </c>
      <c r="F49" s="47">
        <v>695.56</v>
      </c>
      <c r="G49" s="47">
        <v>368.71</v>
      </c>
      <c r="H49" s="47">
        <v>1325.88</v>
      </c>
      <c r="I49" s="47">
        <v>845.08</v>
      </c>
      <c r="J49" s="47">
        <v>931.43</v>
      </c>
      <c r="K49" s="47">
        <v>381.58</v>
      </c>
      <c r="L49" s="47">
        <v>-1212.39</v>
      </c>
      <c r="M49" s="47">
        <v>8107.12</v>
      </c>
      <c r="N49" s="47">
        <f>B49+C49+D49+E49+F49+G49+H49+I49+J49+K49+L49+M49</f>
        <v>20466.6</v>
      </c>
    </row>
    <row r="50" spans="1:14" ht="16">
      <c r="A50" s="38" t="s">
        <v>47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9">
        <v>0</v>
      </c>
      <c r="N50" s="49">
        <f>B50+C50+D50+E50+F50+G50+H50+I50+J50+K50+L50+M50</f>
        <v>0.0</v>
      </c>
    </row>
    <row r="51" spans="1:14" ht="16">
      <c r="A51" s="38" t="s">
        <v>48</v>
      </c>
      <c r="B51" s="46"/>
      <c r="C51" s="47">
        <v>-199.06</v>
      </c>
      <c r="D51" s="46"/>
      <c r="E51" s="47">
        <v>18.27</v>
      </c>
      <c r="F51" s="46"/>
      <c r="G51" s="46"/>
      <c r="H51" s="47">
        <v>2200.01</v>
      </c>
      <c r="I51" s="46"/>
      <c r="J51" s="46"/>
      <c r="K51" s="46"/>
      <c r="L51" s="46"/>
      <c r="M51" s="46"/>
      <c r="N51" s="47">
        <f>B51+C51+D51+E51+F51+G51+H51+I51+J51+K51+L51+M51</f>
        <v>2019.2200000000003</v>
      </c>
    </row>
    <row r="52" spans="1:14" ht="16">
      <c r="A52" s="38" t="s">
        <v>49</v>
      </c>
      <c r="B52" s="47">
        <v>113.81</v>
      </c>
      <c r="C52" s="47">
        <v>128.49</v>
      </c>
      <c r="D52" s="47">
        <v>75.13</v>
      </c>
      <c r="E52" s="47">
        <v>598.72</v>
      </c>
      <c r="F52" s="47">
        <v>424.55</v>
      </c>
      <c r="G52" s="47">
        <v>75.42</v>
      </c>
      <c r="H52" s="47">
        <v>6.06</v>
      </c>
      <c r="I52" s="47">
        <v>293.2</v>
      </c>
      <c r="J52" s="47">
        <v>410.66</v>
      </c>
      <c r="K52" s="47">
        <v>278.77</v>
      </c>
      <c r="L52" s="46"/>
      <c r="M52" s="47">
        <v>113.78</v>
      </c>
      <c r="N52" s="47">
        <f>B52+C52+D52+E52+F52+G52+H52+I52+J52+K52+L52+M52</f>
        <v>2518.59</v>
      </c>
    </row>
    <row r="53" spans="1:14" ht="16">
      <c r="A53" s="38" t="s">
        <v>50</v>
      </c>
      <c r="B53" s="47">
        <v>2234.45</v>
      </c>
      <c r="C53" s="47">
        <v>3.24</v>
      </c>
      <c r="D53" s="46"/>
      <c r="E53" s="47">
        <v>353.26</v>
      </c>
      <c r="F53" s="47">
        <v>372.87</v>
      </c>
      <c r="G53" s="47">
        <v>272.03</v>
      </c>
      <c r="H53" s="46"/>
      <c r="I53" s="47">
        <v>145.14</v>
      </c>
      <c r="J53" s="47">
        <v>27.46</v>
      </c>
      <c r="K53" s="47">
        <v>196.73</v>
      </c>
      <c r="L53" s="46"/>
      <c r="M53" s="47">
        <v>402.85</v>
      </c>
      <c r="N53" s="47">
        <f>B53+C53+D53+E53+F53+G53+H53+I53+J53+K53+L53+M53</f>
        <v>4008.0299999999993</v>
      </c>
    </row>
    <row r="54" spans="1:14" ht="16">
      <c r="A54" s="38" t="s">
        <v>51</v>
      </c>
      <c r="B54" s="47">
        <v>392.08</v>
      </c>
      <c r="C54" s="47">
        <v>2.62</v>
      </c>
      <c r="D54" s="47">
        <v>246.0</v>
      </c>
      <c r="E54" s="46"/>
      <c r="F54" s="46"/>
      <c r="G54" s="47">
        <v>1070.0</v>
      </c>
      <c r="H54" s="47">
        <v>1075.98</v>
      </c>
      <c r="I54" s="46"/>
      <c r="J54" s="46"/>
      <c r="K54" s="46"/>
      <c r="L54" s="46"/>
      <c r="M54" s="46"/>
      <c r="N54" s="47">
        <f>B54+C54+D54+E54+F54+G54+H54+I54+J54+K54+L54+M54</f>
        <v>2786.6800000000003</v>
      </c>
    </row>
    <row r="55" spans="1:14" ht="16">
      <c r="A55" s="38" t="s">
        <v>52</v>
      </c>
      <c r="B55" s="47">
        <v>289.25</v>
      </c>
      <c r="C55" s="47">
        <v>309.87</v>
      </c>
      <c r="D55" s="47">
        <v>2771.98</v>
      </c>
      <c r="E55" s="47">
        <v>458.0</v>
      </c>
      <c r="F55" s="47">
        <v>242.98</v>
      </c>
      <c r="G55" s="47">
        <v>387.48</v>
      </c>
      <c r="H55" s="47">
        <v>430.39</v>
      </c>
      <c r="I55" s="47">
        <v>69.95</v>
      </c>
      <c r="J55" s="47">
        <v>3835.48</v>
      </c>
      <c r="K55" s="47">
        <v>108.86</v>
      </c>
      <c r="L55" s="47">
        <v>271.29</v>
      </c>
      <c r="M55" s="47">
        <v>149.06</v>
      </c>
      <c r="N55" s="47">
        <f>B55+C55+D55+E55+F55+G55+H55+I55+J55+K55+L55+M55</f>
        <v>9324.59</v>
      </c>
    </row>
    <row r="56" spans="1:14" ht="16">
      <c r="A56" s="38" t="s">
        <v>53</v>
      </c>
      <c r="B56" s="47">
        <v>16191.67</v>
      </c>
      <c r="C56" s="47">
        <v>16355.92</v>
      </c>
      <c r="D56" s="47">
        <v>1903.75</v>
      </c>
      <c r="E56" s="47">
        <v>5942.95</v>
      </c>
      <c r="F56" s="47">
        <v>1398.6</v>
      </c>
      <c r="G56" s="47">
        <v>1391.66</v>
      </c>
      <c r="H56" s="47">
        <v>2807.07</v>
      </c>
      <c r="I56" s="47">
        <v>2790.05</v>
      </c>
      <c r="J56" s="46"/>
      <c r="K56" s="47">
        <v>2445.74</v>
      </c>
      <c r="L56" s="47">
        <v>4773.6</v>
      </c>
      <c r="M56" s="47">
        <v>4724.6</v>
      </c>
      <c r="N56" s="47">
        <f>B56+C56+D56+E56+F56+G56+H56+I56+J56+K56+L56+M56</f>
        <v>60725.60999999999</v>
      </c>
    </row>
    <row r="57" spans="1:14" ht="16">
      <c r="A57" s="41" t="s">
        <v>54</v>
      </c>
      <c r="B57" s="48">
        <f>B42+B43+B44+B45+B46+B47+B48+B49+B50+B51+B52+B53+B54+B55+B56</f>
        <v>77083.97</v>
      </c>
      <c r="C57" s="48">
        <f>C42+C43+C44+C45+C46+C47+C48+C49+C50+C51+C52+C53+C54+C55+C56</f>
        <v>47528.5</v>
      </c>
      <c r="D57" s="48">
        <f>D42+D43+D44+D45+D46+D47+D48+D49+D50+D51+D52+D53+D54+D55+D56</f>
        <v>49164.450000000004</v>
      </c>
      <c r="E57" s="48">
        <f>E42+E43+E44+E45+E46+E47+E48+E49+E50+E51+E52+E53+E54+E55+E56</f>
        <v>52737.86</v>
      </c>
      <c r="F57" s="48">
        <f>F42+F43+F44+F45+F46+F47+F48+F49+F50+F51+F52+F53+F54+F55+F56</f>
        <v>56602.15</v>
      </c>
      <c r="G57" s="48">
        <f>G42+G43+G44+G45+G46+G47+G48+G49+G50+G51+G52+G53+G54+G55+G56</f>
        <v>40086.25</v>
      </c>
      <c r="H57" s="48">
        <f>H42+H43+H44+H45+H46+H47+H48+H49+H50+H51+H52+H53+H54+H55+H56</f>
        <v>35505.770000000004</v>
      </c>
      <c r="I57" s="48">
        <f>I42+I43+I44+I45+I46+I47+I48+I49+I50+I51+I52+I53+I54+I55+I56</f>
        <v>17817.63</v>
      </c>
      <c r="J57" s="48">
        <f>J42+J43+J44+J45+J46+J47+J48+J49+J50+J51+J52+J53+J54+J55+J56</f>
        <v>43907.04000000001</v>
      </c>
      <c r="K57" s="48">
        <f>K42+K43+K44+K45+K46+K47+K48+K49+K50+K51+K52+K53+K54+K55+K56</f>
        <v>68817.6</v>
      </c>
      <c r="L57" s="48">
        <f>L42+L43+L44+L45+L46+L47+L48+L49+L50+L51+L52+L53+L54+L55+L56</f>
        <v>28652.239999999998</v>
      </c>
      <c r="M57" s="48">
        <f>M42+M43+M44+M45+M46+M47+M48+M49+M50+M51+M52+M53+M54+M55+M56</f>
        <v>56568.24</v>
      </c>
      <c r="N57" s="51">
        <f>B57+C57+D57+E57+F57+G57+H57+I57+J57+K57+L57+M57</f>
        <v>574471.7000000001</v>
      </c>
    </row>
    <row r="58" spans="1:14" ht="16">
      <c r="A58" s="37" t="s">
        <v>38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f>B58+C58+D58+E58+F58+G58+H58+I58+J58+K58+L58+M58</f>
        <v>0.0</v>
      </c>
    </row>
    <row r="59" spans="1:14" ht="16">
      <c r="A59" s="42" t="s">
        <v>55</v>
      </c>
      <c r="B59" s="48">
        <f>B41+B57+B58</f>
        <v>77083.97</v>
      </c>
      <c r="C59" s="48">
        <f>C41+C57+C58</f>
        <v>47528.5</v>
      </c>
      <c r="D59" s="48">
        <f>D41+D57+D58</f>
        <v>49164.450000000004</v>
      </c>
      <c r="E59" s="48">
        <f>E41+E57+E58</f>
        <v>52737.86</v>
      </c>
      <c r="F59" s="48">
        <f>F41+F57+F58</f>
        <v>56602.15</v>
      </c>
      <c r="G59" s="48">
        <f>G41+G57+G58</f>
        <v>40086.25</v>
      </c>
      <c r="H59" s="48">
        <f>H41+H57+H58</f>
        <v>35505.770000000004</v>
      </c>
      <c r="I59" s="48">
        <f>I41+I57+I58</f>
        <v>17817.63</v>
      </c>
      <c r="J59" s="48">
        <f>J41+J57+J58</f>
        <v>43907.04000000001</v>
      </c>
      <c r="K59" s="48">
        <f>K41+K57+K58</f>
        <v>68817.6</v>
      </c>
      <c r="L59" s="48">
        <f>L41+L57+L58</f>
        <v>28652.239999999998</v>
      </c>
      <c r="M59" s="48">
        <f>M41+M57+M58</f>
        <v>56568.24</v>
      </c>
      <c r="N59" s="51">
        <f>B59+C59+D59+E59+F59+G59+H59+I59+J59+K59+L59+M59</f>
        <v>574471.7000000001</v>
      </c>
    </row>
    <row r="60" spans="1:14" ht="16">
      <c r="A60" s="42" t="s">
        <v>56</v>
      </c>
      <c r="B60" s="48">
        <f>B40-B59</f>
        <v>20257.660000000003</v>
      </c>
      <c r="C60" s="48">
        <f>C40-C59</f>
        <v>22177.11</v>
      </c>
      <c r="D60" s="48">
        <f>D40-D59</f>
        <v>16742.739999999998</v>
      </c>
      <c r="E60" s="48">
        <f>E40-E59</f>
        <v>6169.919999999998</v>
      </c>
      <c r="F60" s="48">
        <f>F40-F59</f>
        <v>20963.85999999998</v>
      </c>
      <c r="G60" s="48">
        <f>G40-G59</f>
        <v>41746.33</v>
      </c>
      <c r="H60" s="48">
        <f>H40-H59</f>
        <v>26524.64</v>
      </c>
      <c r="I60" s="48">
        <f>I40-I59</f>
        <v>16308.109999999997</v>
      </c>
      <c r="J60" s="48">
        <f>J40-J59</f>
        <v>37062.06999999999</v>
      </c>
      <c r="K60" s="48">
        <f>K40-K59</f>
        <v>29935.639999999985</v>
      </c>
      <c r="L60" s="48">
        <f>L40-L59</f>
        <v>14553.71</v>
      </c>
      <c r="M60" s="48">
        <f>M40-M59</f>
        <v>-21169.410000000003</v>
      </c>
      <c r="N60" s="51">
        <f>B60+C60+D60+E60+F60+G60+H60+I60+J60+K60+L60+M60</f>
        <v>231272.37999999992</v>
      </c>
    </row>
    <row r="61" spans="1:13" ht="16">
      <c r="A61" s="36" t="s">
        <v>57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</row>
    <row r="62" spans="1:14" ht="16">
      <c r="A62" s="37" t="s">
        <v>58</v>
      </c>
      <c r="B62" s="46"/>
      <c r="C62" s="47">
        <v>3311.52</v>
      </c>
      <c r="D62" s="47">
        <v>306.64</v>
      </c>
      <c r="E62" s="47">
        <v>-181.71</v>
      </c>
      <c r="F62" s="47">
        <v>204.67</v>
      </c>
      <c r="G62" s="47">
        <v>2091.25</v>
      </c>
      <c r="H62" s="46"/>
      <c r="I62" s="47">
        <v>-645.6</v>
      </c>
      <c r="J62" s="46"/>
      <c r="K62" s="46"/>
      <c r="L62" s="47">
        <v>337.36</v>
      </c>
      <c r="M62" s="47">
        <v>112.3</v>
      </c>
      <c r="N62" s="47">
        <f>B62+C62+D62+E62+F62+G62+H62+I62+J62+K62+L62+M62</f>
        <v>5536.429999999999</v>
      </c>
    </row>
    <row r="63" spans="1:14" ht="16">
      <c r="A63" s="38" t="s">
        <v>59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7">
        <v>292.03</v>
      </c>
      <c r="N63" s="47">
        <f>B63+C63+D63+E63+F63+G63+H63+I63+J63+K63+L63+M63</f>
        <v>292.03</v>
      </c>
    </row>
    <row r="64" spans="1:14" ht="16">
      <c r="A64" s="38" t="s">
        <v>60</v>
      </c>
      <c r="B64" s="47">
        <v>740.54</v>
      </c>
      <c r="C64" s="49">
        <v>0</v>
      </c>
      <c r="D64" s="49">
        <v>0</v>
      </c>
      <c r="E64" s="46"/>
      <c r="F64" s="46"/>
      <c r="G64" s="46"/>
      <c r="H64" s="46"/>
      <c r="I64" s="46"/>
      <c r="J64" s="46"/>
      <c r="K64" s="46"/>
      <c r="L64" s="46"/>
      <c r="M64" s="46"/>
      <c r="N64" s="47">
        <f>B64+C64+D64+E64+F64+G64+H64+I64+J64+K64+L64+M64</f>
        <v>740.54</v>
      </c>
    </row>
    <row r="65" spans="1:14" ht="16">
      <c r="A65" s="38" t="s">
        <v>61</v>
      </c>
      <c r="B65" s="47">
        <v>495.79</v>
      </c>
      <c r="C65" s="47">
        <v>1110.47</v>
      </c>
      <c r="D65" s="47">
        <v>1008.72</v>
      </c>
      <c r="E65" s="47">
        <v>2261.9</v>
      </c>
      <c r="F65" s="47">
        <v>1880.5</v>
      </c>
      <c r="G65" s="47">
        <v>47.49</v>
      </c>
      <c r="H65" s="47">
        <v>1730.05</v>
      </c>
      <c r="I65" s="47">
        <v>1583.09</v>
      </c>
      <c r="J65" s="46"/>
      <c r="K65" s="47">
        <v>1598.13</v>
      </c>
      <c r="L65" s="46"/>
      <c r="M65" s="47">
        <v>70.35</v>
      </c>
      <c r="N65" s="47">
        <f>B65+C65+D65+E65+F65+G65+H65+I65+J65+K65+L65+M65</f>
        <v>11786.49</v>
      </c>
    </row>
    <row r="66" spans="1:14" ht="16">
      <c r="A66" s="38" t="s">
        <v>62</v>
      </c>
      <c r="B66" s="47">
        <v>3487.39</v>
      </c>
      <c r="C66" s="47">
        <v>209.16</v>
      </c>
      <c r="D66" s="47">
        <v>750.24</v>
      </c>
      <c r="E66" s="47">
        <v>361.94</v>
      </c>
      <c r="F66" s="47">
        <v>366.67</v>
      </c>
      <c r="G66" s="47">
        <v>316.1</v>
      </c>
      <c r="H66" s="47">
        <v>1126.56</v>
      </c>
      <c r="I66" s="47">
        <v>1269.47</v>
      </c>
      <c r="J66" s="47">
        <v>3977.6</v>
      </c>
      <c r="K66" s="46"/>
      <c r="L66" s="47">
        <v>789.56</v>
      </c>
      <c r="M66" s="47">
        <v>354.45</v>
      </c>
      <c r="N66" s="47">
        <f>B66+C66+D66+E66+F66+G66+H66+I66+J66+K66+L66+M66</f>
        <v>13009.14</v>
      </c>
    </row>
    <row r="67" spans="1:14" ht="16">
      <c r="A67" s="38" t="s">
        <v>63</v>
      </c>
      <c r="B67" s="47">
        <v>14.99</v>
      </c>
      <c r="C67" s="47">
        <v>3990.5</v>
      </c>
      <c r="D67" s="47">
        <v>4.5</v>
      </c>
      <c r="E67" s="47">
        <v>75.08</v>
      </c>
      <c r="F67" s="47">
        <v>3870.39</v>
      </c>
      <c r="G67" s="47">
        <v>278.84</v>
      </c>
      <c r="H67" s="46"/>
      <c r="I67" s="46"/>
      <c r="J67" s="47">
        <v>839.22</v>
      </c>
      <c r="K67" s="47">
        <v>170.85</v>
      </c>
      <c r="L67" s="47">
        <v>32.44</v>
      </c>
      <c r="M67" s="47">
        <v>57.65</v>
      </c>
      <c r="N67" s="47">
        <f>B67+C67+D67+E67+F67+G67+H67+I67+J67+K67+L67+M67</f>
        <v>9334.46</v>
      </c>
    </row>
    <row r="68" spans="1:14" ht="16">
      <c r="A68" s="38" t="s">
        <v>64</v>
      </c>
      <c r="B68" s="47">
        <v>192.44</v>
      </c>
      <c r="C68" s="47">
        <v>30.0</v>
      </c>
      <c r="D68" s="47">
        <v>106.61</v>
      </c>
      <c r="E68" s="47">
        <v>140.97</v>
      </c>
      <c r="F68" s="47">
        <v>451.33</v>
      </c>
      <c r="G68" s="47">
        <v>314.18</v>
      </c>
      <c r="H68" s="47">
        <v>314.19</v>
      </c>
      <c r="I68" s="47">
        <v>295.0</v>
      </c>
      <c r="J68" s="47">
        <v>408.39</v>
      </c>
      <c r="K68" s="46"/>
      <c r="L68" s="46"/>
      <c r="M68" s="47">
        <v>10.0</v>
      </c>
      <c r="N68" s="47">
        <f>B68+C68+D68+E68+F68+G68+H68+I68+J68+K68+L68+M68</f>
        <v>2263.11</v>
      </c>
    </row>
    <row r="69" spans="1:14" ht="16">
      <c r="A69" s="39" t="s">
        <v>65</v>
      </c>
      <c r="B69" s="46"/>
      <c r="C69" s="46"/>
      <c r="D69" s="46"/>
      <c r="E69" s="46"/>
      <c r="F69" s="47">
        <v>851.8</v>
      </c>
      <c r="G69" s="46"/>
      <c r="H69" s="47">
        <v>20.5</v>
      </c>
      <c r="I69" s="46"/>
      <c r="J69" s="47">
        <v>3.02</v>
      </c>
      <c r="K69" s="46"/>
      <c r="L69" s="47">
        <v>43.32</v>
      </c>
      <c r="M69" s="46"/>
      <c r="N69" s="47">
        <f>B69+C69+D69+E69+F69+G69+H69+I69+J69+K69+L69+M69</f>
        <v>918.64</v>
      </c>
    </row>
    <row r="70" spans="1:14" ht="16">
      <c r="A70" s="40" t="s">
        <v>66</v>
      </c>
      <c r="B70" s="48">
        <f>B68+B69</f>
        <v>192.44</v>
      </c>
      <c r="C70" s="48">
        <f>C68+C69</f>
        <v>30.0</v>
      </c>
      <c r="D70" s="48">
        <f>D68+D69</f>
        <v>106.61</v>
      </c>
      <c r="E70" s="48">
        <f>E68+E69</f>
        <v>140.97</v>
      </c>
      <c r="F70" s="48">
        <f>F68+F69</f>
        <v>1303.1299999999999</v>
      </c>
      <c r="G70" s="48">
        <f>G68+G69</f>
        <v>314.18</v>
      </c>
      <c r="H70" s="48">
        <f>H68+H69</f>
        <v>334.69</v>
      </c>
      <c r="I70" s="48">
        <f>I68+I69</f>
        <v>295.0</v>
      </c>
      <c r="J70" s="48">
        <f>J68+J69</f>
        <v>411.40999999999997</v>
      </c>
      <c r="K70" s="51">
        <f>K68+K69</f>
        <v>0.0</v>
      </c>
      <c r="L70" s="48">
        <f>L68+L69</f>
        <v>43.32</v>
      </c>
      <c r="M70" s="48">
        <f>M68+M69</f>
        <v>10.0</v>
      </c>
      <c r="N70" s="51">
        <f>B70+C70+D70+E70+F70+G70+H70+I70+J70+K70+L70+M70</f>
        <v>3181.75</v>
      </c>
    </row>
    <row r="71" spans="1:14" ht="16">
      <c r="A71" s="38" t="s">
        <v>67</v>
      </c>
      <c r="B71" s="46"/>
      <c r="C71" s="46"/>
      <c r="D71" s="46"/>
      <c r="E71" s="47">
        <v>415.71</v>
      </c>
      <c r="F71" s="47">
        <v>38.89</v>
      </c>
      <c r="G71" s="46"/>
      <c r="H71" s="47">
        <v>70.93</v>
      </c>
      <c r="I71" s="46"/>
      <c r="J71" s="46"/>
      <c r="K71" s="46"/>
      <c r="L71" s="46"/>
      <c r="M71" s="46"/>
      <c r="N71" s="47">
        <f>B71+C71+D71+E71+F71+G71+H71+I71+J71+K71+L71+M71</f>
        <v>525.53</v>
      </c>
    </row>
    <row r="72" spans="1:14" ht="16">
      <c r="A72" s="38" t="s">
        <v>68</v>
      </c>
      <c r="B72" s="46"/>
      <c r="C72" s="46"/>
      <c r="D72" s="46"/>
      <c r="E72" s="46"/>
      <c r="F72" s="46"/>
      <c r="G72" s="46"/>
      <c r="H72" s="46"/>
      <c r="I72" s="47">
        <v>34.06</v>
      </c>
      <c r="J72" s="46"/>
      <c r="K72" s="46"/>
      <c r="L72" s="46"/>
      <c r="M72" s="46"/>
      <c r="N72" s="47">
        <f>B72+C72+D72+E72+F72+G72+H72+I72+J72+K72+L72+M72</f>
        <v>34.06</v>
      </c>
    </row>
    <row r="73" spans="1:14" ht="16">
      <c r="A73" s="41" t="s">
        <v>69</v>
      </c>
      <c r="B73" s="48">
        <f>B62+B63+B64+B65+B66+B67+B70+B71+B72</f>
        <v>4931.149999999999</v>
      </c>
      <c r="C73" s="48">
        <f>C62+C63+C64+C65+C66+C67+C70+C71+C72</f>
        <v>8651.65</v>
      </c>
      <c r="D73" s="48">
        <f>D62+D63+D64+D65+D66+D67+D70+D71+D72</f>
        <v>2176.7100000000005</v>
      </c>
      <c r="E73" s="48">
        <f>E62+E63+E64+E65+E66+E67+E70+E71+E72</f>
        <v>3073.89</v>
      </c>
      <c r="F73" s="48">
        <f>F62+F63+F64+F65+F66+F67+F70+F71+F72</f>
        <v>7664.25</v>
      </c>
      <c r="G73" s="48">
        <f>G62+G63+G64+G65+G66+G67+G70+G71+G72</f>
        <v>3047.8599999999997</v>
      </c>
      <c r="H73" s="48">
        <f>H62+H63+H64+H65+H66+H67+H70+H71+H72</f>
        <v>3262.2299999999996</v>
      </c>
      <c r="I73" s="48">
        <f>I62+I63+I64+I65+I66+I67+I70+I71+I72</f>
        <v>2536.02</v>
      </c>
      <c r="J73" s="48">
        <f>J62+J63+J64+J65+J66+J67+J70+J71+J72</f>
        <v>5228.23</v>
      </c>
      <c r="K73" s="48">
        <f>K62+K63+K64+K65+K66+K67+K70+K71+K72</f>
        <v>1768.98</v>
      </c>
      <c r="L73" s="48">
        <f>L62+L63+L64+L65+L66+L67+L70+L71+L72</f>
        <v>1202.68</v>
      </c>
      <c r="M73" s="48">
        <f>M62+M63+M64+M65+M66+M67+M70+M71+M72</f>
        <v>896.7799999999999</v>
      </c>
      <c r="N73" s="51">
        <f>B73+C73+D73+E73+F73+G73+H73+I73+J73+K73+L73+M73</f>
        <v>44440.43000000001</v>
      </c>
    </row>
    <row r="74" spans="1:14" ht="16">
      <c r="A74" s="37" t="s">
        <v>70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</row>
    <row r="75" spans="1:14" ht="16">
      <c r="A75" s="38" t="s">
        <v>71</v>
      </c>
      <c r="B75" s="47">
        <v>9559.18</v>
      </c>
      <c r="C75" s="47">
        <v>9559.18</v>
      </c>
      <c r="D75" s="47">
        <v>-413.96</v>
      </c>
      <c r="E75" s="47">
        <v>9150.0</v>
      </c>
      <c r="F75" s="47">
        <v>10533.78</v>
      </c>
      <c r="G75" s="47">
        <v>11511.58</v>
      </c>
      <c r="H75" s="47">
        <v>2547.64</v>
      </c>
      <c r="I75" s="47">
        <v>2537.61</v>
      </c>
      <c r="J75" s="47">
        <v>2330.0</v>
      </c>
      <c r="K75" s="47">
        <v>2330.0</v>
      </c>
      <c r="L75" s="47">
        <v>2330.0</v>
      </c>
      <c r="M75" s="47">
        <v>2603.24</v>
      </c>
      <c r="N75" s="47">
        <f>B75+C75+D75+E75+F75+G75+H75+I75+J75+K75+L75+M75</f>
        <v>64578.25</v>
      </c>
    </row>
    <row r="76" spans="1:14" ht="16">
      <c r="A76" s="39" t="s">
        <v>72</v>
      </c>
      <c r="B76" s="47">
        <v>-4500.0</v>
      </c>
      <c r="C76" s="46"/>
      <c r="D76" s="47">
        <v>-4500.0</v>
      </c>
      <c r="E76" s="47">
        <v>-4497.16</v>
      </c>
      <c r="F76" s="47">
        <v>-4500.0</v>
      </c>
      <c r="G76" s="46"/>
      <c r="H76" s="46"/>
      <c r="I76" s="46"/>
      <c r="J76" s="47">
        <v>7.25</v>
      </c>
      <c r="K76" s="46"/>
      <c r="L76" s="46"/>
      <c r="M76" s="47">
        <v>17989.91</v>
      </c>
      <c r="N76" s="49">
        <f>B76+C76+D76+E76+F76+G76+H76+I76+J76+K76+L76+M76</f>
        <v>0.0</v>
      </c>
    </row>
    <row r="77" spans="1:14" ht="16">
      <c r="A77" s="40" t="s">
        <v>73</v>
      </c>
      <c r="B77" s="48">
        <f>B75+B76</f>
        <v>5059.18</v>
      </c>
      <c r="C77" s="48">
        <f>C75+C76</f>
        <v>9559.18</v>
      </c>
      <c r="D77" s="48">
        <f>D75+D76</f>
        <v>-4913.96</v>
      </c>
      <c r="E77" s="48">
        <f>E75+E76</f>
        <v>4652.84</v>
      </c>
      <c r="F77" s="48">
        <f>F75+F76</f>
        <v>6033.780000000001</v>
      </c>
      <c r="G77" s="48">
        <f>G75+G76</f>
        <v>11511.58</v>
      </c>
      <c r="H77" s="48">
        <f>H75+H76</f>
        <v>2547.64</v>
      </c>
      <c r="I77" s="48">
        <f>I75+I76</f>
        <v>2537.61</v>
      </c>
      <c r="J77" s="48">
        <f>J75+J76</f>
        <v>2337.25</v>
      </c>
      <c r="K77" s="48">
        <f>K75+K76</f>
        <v>2330.0</v>
      </c>
      <c r="L77" s="48">
        <f>L75+L76</f>
        <v>2330.0</v>
      </c>
      <c r="M77" s="48">
        <f>M75+M76</f>
        <v>20593.15</v>
      </c>
      <c r="N77" s="51">
        <f>B77+C77+D77+E77+F77+G77+H77+I77+J77+K77+L77+M77</f>
        <v>64578.25000000001</v>
      </c>
    </row>
    <row r="78" spans="1:14" ht="16">
      <c r="A78" s="38" t="s">
        <v>74</v>
      </c>
      <c r="B78" s="47">
        <v>173.58</v>
      </c>
      <c r="C78" s="47">
        <v>1029.36</v>
      </c>
      <c r="D78" s="47">
        <v>2301.74</v>
      </c>
      <c r="E78" s="47">
        <v>590.02</v>
      </c>
      <c r="F78" s="47">
        <v>1214.21</v>
      </c>
      <c r="G78" s="47">
        <v>784.41</v>
      </c>
      <c r="H78" s="47">
        <v>1454.09</v>
      </c>
      <c r="I78" s="47">
        <v>-8.1</v>
      </c>
      <c r="J78" s="47">
        <v>2318.01</v>
      </c>
      <c r="K78" s="47">
        <v>500.0</v>
      </c>
      <c r="L78" s="47">
        <v>83.08</v>
      </c>
      <c r="M78" s="46"/>
      <c r="N78" s="47">
        <f>B78+C78+D78+E78+F78+G78+H78+I78+J78+K78+L78+M78</f>
        <v>10440.4</v>
      </c>
    </row>
    <row r="79" spans="1:14" ht="16">
      <c r="A79" s="39" t="s">
        <v>75</v>
      </c>
      <c r="B79" s="49">
        <v>0</v>
      </c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9">
        <f>B79+C79+D79+E79+F79+G79+H79+I79+J79+K79+L79+M79</f>
        <v>0.0</v>
      </c>
    </row>
    <row r="80" spans="1:14" ht="16">
      <c r="A80" s="39" t="s">
        <v>76</v>
      </c>
      <c r="B80" s="47">
        <v>77.18</v>
      </c>
      <c r="C80" s="46"/>
      <c r="D80" s="47">
        <v>112.72</v>
      </c>
      <c r="E80" s="47">
        <v>416.99</v>
      </c>
      <c r="F80" s="47">
        <v>104.07</v>
      </c>
      <c r="G80" s="47">
        <v>13.92</v>
      </c>
      <c r="H80" s="47">
        <v>65.52</v>
      </c>
      <c r="I80" s="47">
        <v>144.67</v>
      </c>
      <c r="J80" s="47">
        <v>92.53</v>
      </c>
      <c r="K80" s="46"/>
      <c r="L80" s="47">
        <v>402.5</v>
      </c>
      <c r="M80" s="47">
        <v>409.94</v>
      </c>
      <c r="N80" s="47">
        <f>B80+C80+D80+E80+F80+G80+H80+I80+J80+K80+L80+M80</f>
        <v>1840.04</v>
      </c>
    </row>
    <row r="81" spans="1:14" ht="16">
      <c r="A81" s="40" t="s">
        <v>77</v>
      </c>
      <c r="B81" s="48">
        <f>B78+B79+B80</f>
        <v>250.76000000000002</v>
      </c>
      <c r="C81" s="48">
        <f>C78+C79+C80</f>
        <v>1029.36</v>
      </c>
      <c r="D81" s="48">
        <f>D78+D79+D80</f>
        <v>2414.4599999999996</v>
      </c>
      <c r="E81" s="48">
        <f>E78+E79+E80</f>
        <v>1007.01</v>
      </c>
      <c r="F81" s="48">
        <f>F78+F79+F80</f>
        <v>1318.28</v>
      </c>
      <c r="G81" s="48">
        <f>G78+G79+G80</f>
        <v>798.3299999999999</v>
      </c>
      <c r="H81" s="48">
        <f>H78+H79+H80</f>
        <v>1519.61</v>
      </c>
      <c r="I81" s="48">
        <f>I78+I79+I80</f>
        <v>136.57</v>
      </c>
      <c r="J81" s="48">
        <f>J78+J79+J80</f>
        <v>2410.5400000000004</v>
      </c>
      <c r="K81" s="48">
        <f>K78+K79+K80</f>
        <v>500.0</v>
      </c>
      <c r="L81" s="48">
        <f>L78+L79+L80</f>
        <v>485.58</v>
      </c>
      <c r="M81" s="48">
        <f>M78+M79+M80</f>
        <v>409.94</v>
      </c>
      <c r="N81" s="51">
        <f>B81+C81+D81+E81+F81+G81+H81+I81+J81+K81+L81+M81</f>
        <v>12280.44</v>
      </c>
    </row>
    <row r="82" spans="1:14" ht="16">
      <c r="A82" s="38" t="s">
        <v>78</v>
      </c>
      <c r="B82" s="47">
        <v>791.63</v>
      </c>
      <c r="C82" s="47">
        <v>782.26</v>
      </c>
      <c r="D82" s="47">
        <v>2715.66</v>
      </c>
      <c r="E82" s="47">
        <v>1293.38</v>
      </c>
      <c r="F82" s="47">
        <v>609.88</v>
      </c>
      <c r="G82" s="47">
        <v>1767.58</v>
      </c>
      <c r="H82" s="47">
        <v>579.6</v>
      </c>
      <c r="I82" s="47">
        <v>237.7</v>
      </c>
      <c r="J82" s="47">
        <v>270.66</v>
      </c>
      <c r="K82" s="47">
        <v>270.78</v>
      </c>
      <c r="L82" s="47">
        <v>270.86</v>
      </c>
      <c r="M82" s="47">
        <v>270.86</v>
      </c>
      <c r="N82" s="47">
        <f>B82+C82+D82+E82+F82+G82+H82+I82+J82+K82+L82+M82</f>
        <v>9860.850000000002</v>
      </c>
    </row>
    <row r="83" spans="1:14" ht="16">
      <c r="A83" s="39" t="s">
        <v>79</v>
      </c>
      <c r="B83" s="47">
        <v>1298.84</v>
      </c>
      <c r="C83" s="46"/>
      <c r="D83" s="46"/>
      <c r="E83" s="46"/>
      <c r="F83" s="46"/>
      <c r="G83" s="47">
        <v>286.95</v>
      </c>
      <c r="H83" s="46"/>
      <c r="I83" s="46"/>
      <c r="J83" s="46"/>
      <c r="K83" s="46"/>
      <c r="L83" s="46"/>
      <c r="M83" s="46"/>
      <c r="N83" s="47">
        <f>B83+C83+D83+E83+F83+G83+H83+I83+J83+K83+L83+M83</f>
        <v>1585.79</v>
      </c>
    </row>
    <row r="84" spans="1:14" ht="16">
      <c r="A84" s="40" t="s">
        <v>80</v>
      </c>
      <c r="B84" s="48">
        <f>B82+B83</f>
        <v>2090.47</v>
      </c>
      <c r="C84" s="48">
        <f>C82+C83</f>
        <v>782.26</v>
      </c>
      <c r="D84" s="48">
        <f>D82+D83</f>
        <v>2715.66</v>
      </c>
      <c r="E84" s="48">
        <f>E82+E83</f>
        <v>1293.38</v>
      </c>
      <c r="F84" s="48">
        <f>F82+F83</f>
        <v>609.88</v>
      </c>
      <c r="G84" s="48">
        <f>G82+G83</f>
        <v>2054.5299999999997</v>
      </c>
      <c r="H84" s="48">
        <f>H82+H83</f>
        <v>579.6</v>
      </c>
      <c r="I84" s="48">
        <f>I82+I83</f>
        <v>237.7</v>
      </c>
      <c r="J84" s="48">
        <f>J82+J83</f>
        <v>270.66</v>
      </c>
      <c r="K84" s="48">
        <f>K82+K83</f>
        <v>270.78</v>
      </c>
      <c r="L84" s="48">
        <f>L82+L83</f>
        <v>270.86</v>
      </c>
      <c r="M84" s="48">
        <f>M82+M83</f>
        <v>270.86</v>
      </c>
      <c r="N84" s="51">
        <f>B84+C84+D84+E84+F84+G84+H84+I84+J84+K84+L84+M84</f>
        <v>11446.640000000003</v>
      </c>
    </row>
    <row r="85" spans="1:14" ht="16">
      <c r="A85" s="38" t="s">
        <v>81</v>
      </c>
      <c r="B85" s="46"/>
      <c r="C85" s="46"/>
      <c r="D85" s="46"/>
      <c r="E85" s="46"/>
      <c r="F85" s="47">
        <v>1515.91</v>
      </c>
      <c r="G85" s="47">
        <v>1021.24</v>
      </c>
      <c r="H85" s="46"/>
      <c r="I85" s="46"/>
      <c r="J85" s="46"/>
      <c r="K85" s="46"/>
      <c r="L85" s="47">
        <v>199.75</v>
      </c>
      <c r="M85" s="47">
        <v>7532.56</v>
      </c>
      <c r="N85" s="47">
        <f>B85+C85+D85+E85+F85+G85+H85+I85+J85+K85+L85+M85</f>
        <v>10269.460000000001</v>
      </c>
    </row>
    <row r="86" spans="1:14" ht="16">
      <c r="A86" s="39" t="s">
        <v>82</v>
      </c>
      <c r="B86" s="47">
        <v>1130.46</v>
      </c>
      <c r="C86" s="47">
        <v>127.99</v>
      </c>
      <c r="D86" s="47">
        <v>1360.99</v>
      </c>
      <c r="E86" s="47">
        <v>789.65</v>
      </c>
      <c r="F86" s="47">
        <v>1558.49</v>
      </c>
      <c r="G86" s="47">
        <v>1123.08</v>
      </c>
      <c r="H86" s="47">
        <v>1353.0</v>
      </c>
      <c r="I86" s="47">
        <v>430.81</v>
      </c>
      <c r="J86" s="47">
        <v>250.69</v>
      </c>
      <c r="K86" s="47">
        <v>304.0</v>
      </c>
      <c r="L86" s="47">
        <v>247.0</v>
      </c>
      <c r="M86" s="47">
        <v>263.22</v>
      </c>
      <c r="N86" s="47">
        <f>B86+C86+D86+E86+F86+G86+H86+I86+J86+K86+L86+M86</f>
        <v>8939.38</v>
      </c>
    </row>
    <row r="87" spans="1:14" ht="16">
      <c r="A87" s="39" t="s">
        <v>83</v>
      </c>
      <c r="B87" s="46"/>
      <c r="C87" s="47">
        <v>26.17</v>
      </c>
      <c r="D87" s="46"/>
      <c r="E87" s="47">
        <v>216.25</v>
      </c>
      <c r="F87" s="47">
        <v>62.24</v>
      </c>
      <c r="G87" s="47">
        <v>54.98</v>
      </c>
      <c r="H87" s="47">
        <v>53.17</v>
      </c>
      <c r="I87" s="47">
        <v>102.26</v>
      </c>
      <c r="J87" s="47">
        <v>57.22</v>
      </c>
      <c r="K87" s="47">
        <v>104.49</v>
      </c>
      <c r="L87" s="46"/>
      <c r="M87" s="47">
        <v>250.0</v>
      </c>
      <c r="N87" s="47">
        <f>B87+C87+D87+E87+F87+G87+H87+I87+J87+K87+L87+M87</f>
        <v>926.7800000000001</v>
      </c>
    </row>
    <row r="88" spans="1:14" ht="16">
      <c r="A88" s="39" t="s">
        <v>84</v>
      </c>
      <c r="B88" s="47">
        <v>310.83</v>
      </c>
      <c r="C88" s="47">
        <v>486.32</v>
      </c>
      <c r="D88" s="47">
        <v>204.67</v>
      </c>
      <c r="E88" s="46"/>
      <c r="F88" s="46"/>
      <c r="G88" s="46"/>
      <c r="H88" s="46"/>
      <c r="I88" s="47">
        <v>5.1</v>
      </c>
      <c r="J88" s="46"/>
      <c r="K88" s="46"/>
      <c r="L88" s="46"/>
      <c r="M88" s="46"/>
      <c r="N88" s="47">
        <f>B88+C88+D88+E88+F88+G88+H88+I88+J88+K88+L88+M88</f>
        <v>1006.92</v>
      </c>
    </row>
    <row r="89" spans="1:14" ht="16">
      <c r="A89" s="39" t="s">
        <v>85</v>
      </c>
      <c r="B89" s="47">
        <v>3799.49</v>
      </c>
      <c r="C89" s="47">
        <v>3608.65</v>
      </c>
      <c r="D89" s="47">
        <v>2672.09</v>
      </c>
      <c r="E89" s="47">
        <v>5113.48</v>
      </c>
      <c r="F89" s="47">
        <v>2316.82</v>
      </c>
      <c r="G89" s="47">
        <v>841.14</v>
      </c>
      <c r="H89" s="47">
        <v>1310.33</v>
      </c>
      <c r="I89" s="47">
        <v>3504.77</v>
      </c>
      <c r="J89" s="47">
        <v>1603.78</v>
      </c>
      <c r="K89" s="47">
        <v>517.62</v>
      </c>
      <c r="L89" s="47">
        <v>13768.61</v>
      </c>
      <c r="M89" s="47">
        <v>374.26</v>
      </c>
      <c r="N89" s="47">
        <f>B89+C89+D89+E89+F89+G89+H89+I89+J89+K89+L89+M89</f>
        <v>39431.04</v>
      </c>
    </row>
    <row r="90" spans="1:14" ht="16">
      <c r="A90" s="39" t="s">
        <v>86</v>
      </c>
      <c r="B90" s="47">
        <v>366.32</v>
      </c>
      <c r="C90" s="47">
        <v>102.27</v>
      </c>
      <c r="D90" s="47">
        <v>147.96</v>
      </c>
      <c r="E90" s="47">
        <v>76.26</v>
      </c>
      <c r="F90" s="47">
        <v>171.56</v>
      </c>
      <c r="G90" s="47">
        <v>197.86</v>
      </c>
      <c r="H90" s="47">
        <v>354.05</v>
      </c>
      <c r="I90" s="47">
        <v>183.45</v>
      </c>
      <c r="J90" s="47">
        <v>175.87</v>
      </c>
      <c r="K90" s="47">
        <v>473.27</v>
      </c>
      <c r="L90" s="47">
        <v>159.71</v>
      </c>
      <c r="M90" s="47">
        <v>150.69</v>
      </c>
      <c r="N90" s="47">
        <f>B90+C90+D90+E90+F90+G90+H90+I90+J90+K90+L90+M90</f>
        <v>2559.27</v>
      </c>
    </row>
    <row r="91" spans="1:14" ht="16">
      <c r="A91" s="39" t="s">
        <v>87</v>
      </c>
      <c r="B91" s="46"/>
      <c r="C91" s="46"/>
      <c r="D91" s="47">
        <v>600.0</v>
      </c>
      <c r="E91" s="47">
        <v>2752.92</v>
      </c>
      <c r="F91" s="47">
        <v>555.56</v>
      </c>
      <c r="G91" s="47">
        <v>150.0</v>
      </c>
      <c r="H91" s="47">
        <v>37.83</v>
      </c>
      <c r="I91" s="47">
        <v>2411.52</v>
      </c>
      <c r="J91" s="47">
        <v>859.77</v>
      </c>
      <c r="K91" s="49">
        <v>0</v>
      </c>
      <c r="L91" s="49">
        <v>0</v>
      </c>
      <c r="M91" s="47">
        <v>1800.0</v>
      </c>
      <c r="N91" s="47">
        <f>B91+C91+D91+E91+F91+G91+H91+I91+J91+K91+L91+M91</f>
        <v>9167.6</v>
      </c>
    </row>
    <row r="92" spans="1:14" ht="16">
      <c r="A92" s="40" t="s">
        <v>88</v>
      </c>
      <c r="B92" s="48">
        <f>B85+B86+B87+B88+B89+B90+B91</f>
        <v>5607.099999999999</v>
      </c>
      <c r="C92" s="48">
        <f>C85+C86+C87+C88+C89+C90+C91</f>
        <v>4351.400000000001</v>
      </c>
      <c r="D92" s="48">
        <f>D85+D86+D87+D88+D89+D90+D91</f>
        <v>4985.71</v>
      </c>
      <c r="E92" s="48">
        <f>E85+E86+E87+E88+E89+E90+E91</f>
        <v>8948.56</v>
      </c>
      <c r="F92" s="48">
        <f>F85+F86+F87+F88+F89+F90+F91</f>
        <v>6180.58</v>
      </c>
      <c r="G92" s="48">
        <f>G85+G86+G87+G88+G89+G90+G91</f>
        <v>3388.2999999999997</v>
      </c>
      <c r="H92" s="48">
        <f>H85+H86+H87+H88+H89+H90+H91</f>
        <v>3108.38</v>
      </c>
      <c r="I92" s="48">
        <f>I85+I86+I87+I88+I89+I90+I91</f>
        <v>6637.91</v>
      </c>
      <c r="J92" s="48">
        <f>J85+J86+J87+J88+J89+J90+J91</f>
        <v>2947.33</v>
      </c>
      <c r="K92" s="48">
        <f>K85+K86+K87+K88+K89+K90+K91</f>
        <v>1399.38</v>
      </c>
      <c r="L92" s="48">
        <f>L85+L86+L87+L88+L89+L90+L91</f>
        <v>14375.07</v>
      </c>
      <c r="M92" s="48">
        <f>M85+M86+M87+M88+M89+M90+M91</f>
        <v>10370.730000000001</v>
      </c>
      <c r="N92" s="51">
        <f>B92+C92+D92+E92+F92+G92+H92+I92+J92+K92+L92+M92</f>
        <v>72300.45</v>
      </c>
    </row>
    <row r="93" spans="1:14" ht="16">
      <c r="A93" s="38" t="s">
        <v>89</v>
      </c>
      <c r="B93" s="47">
        <v>2088.34</v>
      </c>
      <c r="C93" s="47">
        <v>1427.59</v>
      </c>
      <c r="D93" s="47">
        <v>4188.12</v>
      </c>
      <c r="E93" s="47">
        <v>648.91</v>
      </c>
      <c r="F93" s="47">
        <v>2517.19</v>
      </c>
      <c r="G93" s="47">
        <v>2467.26</v>
      </c>
      <c r="H93" s="47">
        <v>3593.86</v>
      </c>
      <c r="I93" s="47">
        <v>2963.81</v>
      </c>
      <c r="J93" s="47">
        <v>1571.03</v>
      </c>
      <c r="K93" s="47">
        <v>2256.97</v>
      </c>
      <c r="L93" s="47">
        <v>1910.31</v>
      </c>
      <c r="M93" s="47">
        <v>2277.91</v>
      </c>
      <c r="N93" s="47">
        <f>B93+C93+D93+E93+F93+G93+H93+I93+J93+K93+L93+M93</f>
        <v>27911.300000000003</v>
      </c>
    </row>
    <row r="94" spans="1:14" ht="16">
      <c r="A94" s="38" t="s">
        <v>90</v>
      </c>
      <c r="B94" s="47">
        <v>295.44</v>
      </c>
      <c r="C94" s="47">
        <v>295.44</v>
      </c>
      <c r="D94" s="47">
        <v>280.62</v>
      </c>
      <c r="E94" s="47">
        <v>333.69</v>
      </c>
      <c r="F94" s="47">
        <v>253.57</v>
      </c>
      <c r="G94" s="47">
        <v>296.8</v>
      </c>
      <c r="H94" s="47">
        <v>296.8</v>
      </c>
      <c r="I94" s="47">
        <v>296.8</v>
      </c>
      <c r="J94" s="47">
        <v>301.09</v>
      </c>
      <c r="K94" s="47">
        <v>188.84</v>
      </c>
      <c r="L94" s="47">
        <v>413.34</v>
      </c>
      <c r="M94" s="47">
        <v>112.25</v>
      </c>
      <c r="N94" s="47">
        <f>B94+C94+D94+E94+F94+G94+H94+I94+J94+K94+L94+M94</f>
        <v>3364.6800000000007</v>
      </c>
    </row>
    <row r="95" spans="1:14" ht="16">
      <c r="A95" s="39" t="s">
        <v>91</v>
      </c>
      <c r="B95" s="47">
        <v>2720.62</v>
      </c>
      <c r="C95" s="47">
        <v>1808.54</v>
      </c>
      <c r="D95" s="47">
        <v>982.54</v>
      </c>
      <c r="E95" s="47">
        <v>982.54</v>
      </c>
      <c r="F95" s="47">
        <v>982.54</v>
      </c>
      <c r="G95" s="47">
        <v>-2023.92</v>
      </c>
      <c r="H95" s="46"/>
      <c r="I95" s="46"/>
      <c r="J95" s="47">
        <v>-16.31</v>
      </c>
      <c r="K95" s="46"/>
      <c r="L95" s="46"/>
      <c r="M95" s="46"/>
      <c r="N95" s="47">
        <f>B95+C95+D95+E95+F95+G95+H95+I95+J95+K95+L95+M95</f>
        <v>5436.549999999999</v>
      </c>
    </row>
    <row r="96" spans="1:14" ht="16">
      <c r="A96" s="39" t="s">
        <v>92</v>
      </c>
      <c r="B96" s="47">
        <v>345.3</v>
      </c>
      <c r="C96" s="47">
        <v>138.12</v>
      </c>
      <c r="D96" s="47">
        <v>207.18</v>
      </c>
      <c r="E96" s="47">
        <v>3310.62</v>
      </c>
      <c r="F96" s="47">
        <v>138.12</v>
      </c>
      <c r="G96" s="47">
        <v>2144.78</v>
      </c>
      <c r="H96" s="47">
        <v>1755.85</v>
      </c>
      <c r="I96" s="47">
        <v>1617.73</v>
      </c>
      <c r="J96" s="47">
        <v>-1203.02</v>
      </c>
      <c r="K96" s="47">
        <v>1617.73</v>
      </c>
      <c r="L96" s="47">
        <v>2209.92</v>
      </c>
      <c r="M96" s="47">
        <v>-1490.86</v>
      </c>
      <c r="N96" s="47">
        <f>B96+C96+D96+E96+F96+G96+H96+I96+J96+K96+L96+M96</f>
        <v>10791.47</v>
      </c>
    </row>
    <row r="97" spans="1:14" ht="16">
      <c r="A97" s="40" t="s">
        <v>93</v>
      </c>
      <c r="B97" s="48">
        <f>B94+B95+B96</f>
        <v>3361.36</v>
      </c>
      <c r="C97" s="48">
        <f>C94+C95+C96</f>
        <v>2242.1</v>
      </c>
      <c r="D97" s="48">
        <f>D94+D95+D96</f>
        <v>1470.34</v>
      </c>
      <c r="E97" s="48">
        <f>E94+E95+E96</f>
        <v>4626.85</v>
      </c>
      <c r="F97" s="48">
        <f>F94+F95+F96</f>
        <v>1374.23</v>
      </c>
      <c r="G97" s="48">
        <f>G94+G95+G96</f>
        <v>417.6600000000001</v>
      </c>
      <c r="H97" s="48">
        <f>H94+H95+H96</f>
        <v>2052.65</v>
      </c>
      <c r="I97" s="48">
        <f>I94+I95+I96</f>
        <v>1914.53</v>
      </c>
      <c r="J97" s="48">
        <f>J94+J95+J96</f>
        <v>-918.24</v>
      </c>
      <c r="K97" s="48">
        <f>K94+K95+K96</f>
        <v>1806.57</v>
      </c>
      <c r="L97" s="48">
        <f>L94+L95+L96</f>
        <v>2623.26</v>
      </c>
      <c r="M97" s="48">
        <f>M94+M95+M96</f>
        <v>-1378.61</v>
      </c>
      <c r="N97" s="51">
        <f>B97+C97+D97+E97+F97+G97+H97+I97+J97+K97+L97+M97</f>
        <v>19592.699999999997</v>
      </c>
    </row>
    <row r="98" spans="1:14" ht="16">
      <c r="A98" s="38" t="s">
        <v>94</v>
      </c>
      <c r="B98" s="47">
        <v>5893.65</v>
      </c>
      <c r="C98" s="46"/>
      <c r="D98" s="47">
        <v>1593.65</v>
      </c>
      <c r="E98" s="47">
        <v>9093.65</v>
      </c>
      <c r="F98" s="47">
        <v>4093.65</v>
      </c>
      <c r="G98" s="47">
        <v>4133.55</v>
      </c>
      <c r="H98" s="47">
        <v>4133.55</v>
      </c>
      <c r="I98" s="47">
        <v>4173.45</v>
      </c>
      <c r="J98" s="47">
        <v>4133.55</v>
      </c>
      <c r="K98" s="47">
        <v>4093.65</v>
      </c>
      <c r="L98" s="47">
        <v>4093.65</v>
      </c>
      <c r="M98" s="47">
        <v>2500.0</v>
      </c>
      <c r="N98" s="47">
        <f>B98+C98+D98+E98+F98+G98+H98+I98+J98+K98+L98+M98</f>
        <v>47936.0</v>
      </c>
    </row>
    <row r="99" spans="1:14" ht="16">
      <c r="A99" s="38" t="s">
        <v>95</v>
      </c>
      <c r="B99" s="46"/>
      <c r="C99" s="46"/>
      <c r="D99" s="46"/>
      <c r="E99" s="46"/>
      <c r="F99" s="46"/>
      <c r="G99" s="46"/>
      <c r="H99" s="46"/>
      <c r="I99" s="47">
        <v>1.0</v>
      </c>
      <c r="J99" s="46"/>
      <c r="K99" s="46"/>
      <c r="L99" s="46"/>
      <c r="M99" s="46"/>
      <c r="N99" s="47">
        <f>B99+C99+D99+E99+F99+G99+H99+I99+J99+K99+L99+M99</f>
        <v>1.0</v>
      </c>
    </row>
    <row r="100" spans="1:14" ht="16">
      <c r="A100" s="38" t="s">
        <v>96</v>
      </c>
      <c r="B100" s="47">
        <v>7721.7</v>
      </c>
      <c r="C100" s="47">
        <v>3588.2</v>
      </c>
      <c r="D100" s="47">
        <v>9125.97</v>
      </c>
      <c r="E100" s="47">
        <v>7933.5</v>
      </c>
      <c r="F100" s="47">
        <v>6115.2</v>
      </c>
      <c r="G100" s="47">
        <v>9159.11</v>
      </c>
      <c r="H100" s="47">
        <v>8033.62</v>
      </c>
      <c r="I100" s="47">
        <v>8580.25</v>
      </c>
      <c r="J100" s="47">
        <v>5630.75</v>
      </c>
      <c r="K100" s="47">
        <v>9354.75</v>
      </c>
      <c r="L100" s="47">
        <v>4625.5</v>
      </c>
      <c r="M100" s="47">
        <v>11945.62</v>
      </c>
      <c r="N100" s="47">
        <f>B100+C100+D100+E100+F100+G100+H100+I100+J100+K100+L100+M100</f>
        <v>91814.17</v>
      </c>
    </row>
    <row r="101" spans="1:14" ht="16">
      <c r="A101" s="38" t="s">
        <v>97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</row>
    <row r="102" spans="1:14" ht="16">
      <c r="A102" s="39" t="s">
        <v>98</v>
      </c>
      <c r="B102" s="47">
        <v>2183.8</v>
      </c>
      <c r="C102" s="47">
        <v>1544.7</v>
      </c>
      <c r="D102" s="47">
        <v>994.74</v>
      </c>
      <c r="E102" s="47">
        <v>682.27</v>
      </c>
      <c r="F102" s="47">
        <v>803.89</v>
      </c>
      <c r="G102" s="47">
        <v>522.93</v>
      </c>
      <c r="H102" s="47">
        <v>349.92</v>
      </c>
      <c r="I102" s="46"/>
      <c r="J102" s="47">
        <v>333.61</v>
      </c>
      <c r="K102" s="47">
        <v>166.82</v>
      </c>
      <c r="L102" s="47">
        <v>333.62</v>
      </c>
      <c r="M102" s="47">
        <v>-6099.49</v>
      </c>
      <c r="N102" s="47">
        <f>B102+C102+D102+E102+F102+G102+H102+I102+J102+K102+L102+M102</f>
        <v>1816.8100000000004</v>
      </c>
    </row>
    <row r="103" spans="1:14" ht="16">
      <c r="A103" s="39" t="s">
        <v>99</v>
      </c>
      <c r="B103" s="47">
        <v>29408.71</v>
      </c>
      <c r="C103" s="47">
        <v>22406.77</v>
      </c>
      <c r="D103" s="47">
        <v>20694.92</v>
      </c>
      <c r="E103" s="47">
        <v>15370.26</v>
      </c>
      <c r="F103" s="47">
        <v>17163.57</v>
      </c>
      <c r="G103" s="47">
        <v>13536.92</v>
      </c>
      <c r="H103" s="47">
        <v>11250.02</v>
      </c>
      <c r="I103" s="47">
        <v>2500.0</v>
      </c>
      <c r="J103" s="47">
        <v>17500.04</v>
      </c>
      <c r="K103" s="47">
        <v>8750.02</v>
      </c>
      <c r="L103" s="47">
        <v>13125.02</v>
      </c>
      <c r="M103" s="47">
        <v>11250.02</v>
      </c>
      <c r="N103" s="47">
        <f>B103+C103+D103+E103+F103+G103+H103+I103+J103+K103+L103+M103</f>
        <v>182956.26999999996</v>
      </c>
    </row>
    <row r="104" spans="1:14" ht="16">
      <c r="A104" s="40" t="s">
        <v>100</v>
      </c>
      <c r="B104" s="48">
        <f>B101+B102+B103</f>
        <v>31592.51</v>
      </c>
      <c r="C104" s="48">
        <f>C101+C102+C103</f>
        <v>23951.47</v>
      </c>
      <c r="D104" s="48">
        <f>D101+D102+D103</f>
        <v>21689.66</v>
      </c>
      <c r="E104" s="48">
        <f>E101+E102+E103</f>
        <v>16052.53</v>
      </c>
      <c r="F104" s="48">
        <f>F101+F102+F103</f>
        <v>17967.46</v>
      </c>
      <c r="G104" s="48">
        <f>G101+G102+G103</f>
        <v>14059.85</v>
      </c>
      <c r="H104" s="48">
        <f>H101+H102+H103</f>
        <v>11599.94</v>
      </c>
      <c r="I104" s="48">
        <f>I101+I102+I103</f>
        <v>2500.0</v>
      </c>
      <c r="J104" s="48">
        <f>J101+J102+J103</f>
        <v>17833.65</v>
      </c>
      <c r="K104" s="48">
        <f>K101+K102+K103</f>
        <v>8916.84</v>
      </c>
      <c r="L104" s="48">
        <f>L101+L102+L103</f>
        <v>13458.640000000001</v>
      </c>
      <c r="M104" s="48">
        <f>M101+M102+M103</f>
        <v>5150.530000000001</v>
      </c>
      <c r="N104" s="51">
        <f>B104+C104+D104+E104+F104+G104+H104+I104+J104+K104+L104+M104</f>
        <v>184773.08000000002</v>
      </c>
    </row>
    <row r="105" spans="1:14" ht="16">
      <c r="A105" s="41" t="s">
        <v>101</v>
      </c>
      <c r="B105" s="48">
        <f>B74+B77+B81+B84+B92+B93+B97+B98+B99+B100+B104</f>
        <v>63665.07</v>
      </c>
      <c r="C105" s="48">
        <f>C74+C77+C81+C84+C92+C93+C97+C98+C99+C100+C104</f>
        <v>46931.56</v>
      </c>
      <c r="D105" s="48">
        <f>D74+D77+D81+D84+D92+D93+D97+D98+D99+D100+D104</f>
        <v>43269.61</v>
      </c>
      <c r="E105" s="48">
        <f>E74+E77+E81+E84+E92+E93+E97+E98+E99+E100+E104</f>
        <v>54257.23</v>
      </c>
      <c r="F105" s="48">
        <f>F74+F77+F81+F84+F92+F93+F97+F98+F99+F100+F104</f>
        <v>46210.25</v>
      </c>
      <c r="G105" s="48">
        <f>G74+G77+G81+G84+G92+G93+G97+G98+G99+G100+G104</f>
        <v>47990.17</v>
      </c>
      <c r="H105" s="48">
        <f>H74+H77+H81+H84+H92+H93+H97+H98+H99+H100+H104</f>
        <v>37168.85</v>
      </c>
      <c r="I105" s="48">
        <f>I74+I77+I81+I84+I92+I93+I97+I98+I99+I100+I104</f>
        <v>29682.83</v>
      </c>
      <c r="J105" s="48">
        <f>J74+J77+J81+J84+J92+J93+J97+J98+J99+J100+J104</f>
        <v>36216.520000000004</v>
      </c>
      <c r="K105" s="48">
        <f>K74+K77+K81+K84+K92+K93+K97+K98+K99+K100+K104</f>
        <v>30928.94</v>
      </c>
      <c r="L105" s="48">
        <f>L74+L77+L81+L84+L92+L93+L97+L98+L99+L100+L104</f>
        <v>44172.87</v>
      </c>
      <c r="M105" s="48">
        <f>M74+M77+M81+M84+M92+M93+M97+M98+M99+M100+M104</f>
        <v>52140.13</v>
      </c>
      <c r="N105" s="51">
        <f>B105+C105+D105+E105+F105+G105+H105+I105+J105+K105+L105+M105</f>
        <v>532634.03</v>
      </c>
    </row>
    <row r="106" spans="1:14" ht="16">
      <c r="A106" s="37" t="s">
        <v>102</v>
      </c>
      <c r="B106" s="46"/>
      <c r="C106" s="47">
        <v>1913.76</v>
      </c>
      <c r="D106" s="47">
        <v>1949.04</v>
      </c>
      <c r="E106" s="46"/>
      <c r="F106" s="46"/>
      <c r="G106" s="46"/>
      <c r="H106" s="46"/>
      <c r="I106" s="46"/>
      <c r="J106" s="46"/>
      <c r="K106" s="46"/>
      <c r="L106" s="47">
        <v>5790.74</v>
      </c>
      <c r="M106" s="46"/>
      <c r="N106" s="47">
        <f>B106+C106+D106+E106+F106+G106+H106+I106+J106+K106+L106+M106</f>
        <v>9653.54</v>
      </c>
    </row>
    <row r="107" spans="1:14" ht="16">
      <c r="A107" s="37" t="s">
        <v>103</v>
      </c>
      <c r="B107" s="47">
        <v>78.66</v>
      </c>
      <c r="C107" s="47">
        <v>240.15</v>
      </c>
      <c r="D107" s="47">
        <v>103.76</v>
      </c>
      <c r="E107" s="46"/>
      <c r="F107" s="47">
        <v>54.91</v>
      </c>
      <c r="G107" s="46"/>
      <c r="H107" s="46"/>
      <c r="I107" s="46"/>
      <c r="J107" s="46"/>
      <c r="K107" s="47">
        <v>552.19</v>
      </c>
      <c r="L107" s="47">
        <v>92.25</v>
      </c>
      <c r="M107" s="47">
        <v>514.42</v>
      </c>
      <c r="N107" s="47">
        <f>B107+C107+D107+E107+F107+G107+H107+I107+J107+K107+L107+M107</f>
        <v>1636.3400000000001</v>
      </c>
    </row>
    <row r="108" spans="1:14" ht="16">
      <c r="A108" s="37" t="s">
        <v>104</v>
      </c>
      <c r="B108" s="46"/>
      <c r="C108" s="46"/>
      <c r="D108" s="47">
        <v>361.47</v>
      </c>
      <c r="E108" s="47">
        <v>1843.97</v>
      </c>
      <c r="F108" s="47">
        <v>353.32</v>
      </c>
      <c r="G108" s="47">
        <v>163.54</v>
      </c>
      <c r="H108" s="46"/>
      <c r="I108" s="46"/>
      <c r="J108" s="47">
        <v>268.42</v>
      </c>
      <c r="K108" s="46"/>
      <c r="L108" s="47">
        <v>20.63</v>
      </c>
      <c r="M108" s="47">
        <v>185.0</v>
      </c>
      <c r="N108" s="47">
        <f>B108+C108+D108+E108+F108+G108+H108+I108+J108+K108+L108+M108</f>
        <v>3196.3500000000004</v>
      </c>
    </row>
    <row r="109" spans="1:14" ht="16">
      <c r="A109" s="37" t="s">
        <v>105</v>
      </c>
      <c r="B109" s="47">
        <v>4.5</v>
      </c>
      <c r="C109" s="46"/>
      <c r="D109" s="47">
        <v>158.96</v>
      </c>
      <c r="E109" s="47">
        <v>6.09</v>
      </c>
      <c r="F109" s="47">
        <v>87.72</v>
      </c>
      <c r="G109" s="47">
        <v>28.55</v>
      </c>
      <c r="H109" s="47">
        <v>70.71</v>
      </c>
      <c r="I109" s="47">
        <v>167.04</v>
      </c>
      <c r="J109" s="46"/>
      <c r="K109" s="47">
        <v>-7.25</v>
      </c>
      <c r="L109" s="46"/>
      <c r="M109" s="46"/>
      <c r="N109" s="47">
        <f>B109+C109+D109+E109+F109+G109+H109+I109+J109+K109+L109+M109</f>
        <v>516.3199999999999</v>
      </c>
    </row>
    <row r="110" spans="1:14" ht="16">
      <c r="A110" s="37" t="s">
        <v>106</v>
      </c>
      <c r="B110" s="46"/>
      <c r="C110" s="46"/>
      <c r="D110" s="46"/>
      <c r="E110" s="47">
        <v>-19.98</v>
      </c>
      <c r="F110" s="47">
        <v>-779.36</v>
      </c>
      <c r="G110" s="46"/>
      <c r="H110" s="46"/>
      <c r="I110" s="46"/>
      <c r="J110" s="46"/>
      <c r="K110" s="46"/>
      <c r="L110" s="46"/>
      <c r="M110" s="46"/>
      <c r="N110" s="47">
        <f>B110+C110+D110+E110+F110+G110+H110+I110+J110+K110+L110+M110</f>
        <v>-799.34</v>
      </c>
    </row>
    <row r="111" spans="1:14" ht="16">
      <c r="A111" s="42" t="s">
        <v>107</v>
      </c>
      <c r="B111" s="48">
        <f>B61+B73+B105+B106+B107+B108+B109+B110</f>
        <v>68679.38</v>
      </c>
      <c r="C111" s="48">
        <f>C61+C73+C105+C106+C107+C108+C109+C110</f>
        <v>57737.12</v>
      </c>
      <c r="D111" s="48">
        <f>D61+D73+D105+D106+D107+D108+D109+D110</f>
        <v>48019.55</v>
      </c>
      <c r="E111" s="48">
        <f>E61+E73+E105+E106+E107+E108+E109+E110</f>
        <v>59161.2</v>
      </c>
      <c r="F111" s="48">
        <f>F61+F73+F105+F106+F107+F108+F109+F110</f>
        <v>53591.090000000004</v>
      </c>
      <c r="G111" s="48">
        <f>G61+G73+G105+G106+G107+G108+G109+G110</f>
        <v>51230.12</v>
      </c>
      <c r="H111" s="48">
        <f>H61+H73+H105+H106+H107+H108+H109+H110</f>
        <v>40501.79</v>
      </c>
      <c r="I111" s="48">
        <f>I61+I73+I105+I106+I107+I108+I109+I110</f>
        <v>32385.890000000003</v>
      </c>
      <c r="J111" s="48">
        <f>J61+J73+J105+J106+J107+J108+J109+J110</f>
        <v>41713.17</v>
      </c>
      <c r="K111" s="48">
        <f>K61+K73+K105+K106+K107+K108+K109+K110</f>
        <v>33242.86</v>
      </c>
      <c r="L111" s="48">
        <f>L61+L73+L105+L106+L107+L108+L109+L110</f>
        <v>51279.17</v>
      </c>
      <c r="M111" s="48">
        <f>M61+M73+M105+M106+M107+M108+M109+M110</f>
        <v>53736.329999999994</v>
      </c>
      <c r="N111" s="51">
        <f>B111+C111+D111+E111+F111+G111+H111+I111+J111+K111+L111+M111</f>
        <v>591277.6699999999</v>
      </c>
    </row>
    <row r="112" spans="1:14" ht="16">
      <c r="A112" s="42" t="s">
        <v>108</v>
      </c>
      <c r="B112" s="48">
        <f>B60-B111</f>
        <v>-48421.72</v>
      </c>
      <c r="C112" s="48">
        <f>C60-C111</f>
        <v>-35560.01</v>
      </c>
      <c r="D112" s="48">
        <f>D60-D111</f>
        <v>-31276.810000000005</v>
      </c>
      <c r="E112" s="48">
        <f>E60-E111</f>
        <v>-52991.28</v>
      </c>
      <c r="F112" s="48">
        <f>F60-F111</f>
        <v>-32627.230000000025</v>
      </c>
      <c r="G112" s="48">
        <f>G60-G111</f>
        <v>-9483.79</v>
      </c>
      <c r="H112" s="48">
        <f>H60-H111</f>
        <v>-13977.150000000001</v>
      </c>
      <c r="I112" s="48">
        <f>I60-I111</f>
        <v>-16077.780000000006</v>
      </c>
      <c r="J112" s="48">
        <f>J60-J111</f>
        <v>-4651.100000000006</v>
      </c>
      <c r="K112" s="48">
        <f>K60-K111</f>
        <v>-3307.2200000000157</v>
      </c>
      <c r="L112" s="48">
        <f>L60-L111</f>
        <v>-36725.46</v>
      </c>
      <c r="M112" s="48">
        <f>M60-M111</f>
        <v>-74905.73999999999</v>
      </c>
      <c r="N112" s="51">
        <f>B112+C112+D112+E112+F112+G112+H112+I112+J112+K112+L112+M112</f>
        <v>-360005.2900000001</v>
      </c>
    </row>
    <row r="113" spans="1:13" ht="16">
      <c r="A113" s="36" t="s">
        <v>109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</row>
    <row r="114" spans="1:14" ht="16">
      <c r="A114" s="37" t="s">
        <v>110</v>
      </c>
      <c r="B114" s="47">
        <v>0.14</v>
      </c>
      <c r="C114" s="47">
        <v>0.04</v>
      </c>
      <c r="D114" s="47">
        <v>0.02</v>
      </c>
      <c r="E114" s="47">
        <v>0.02</v>
      </c>
      <c r="F114" s="46"/>
      <c r="G114" s="46"/>
      <c r="H114" s="47">
        <v>0.11</v>
      </c>
      <c r="I114" s="47">
        <v>5400.01</v>
      </c>
      <c r="J114" s="47">
        <v>0.06</v>
      </c>
      <c r="K114" s="47">
        <v>0.01</v>
      </c>
      <c r="L114" s="47">
        <v>0.09</v>
      </c>
      <c r="M114" s="47">
        <v>0.13</v>
      </c>
      <c r="N114" s="47">
        <f>B114+C114+D114+E114+F114+G114+H114+I114+J114+K114+L114+M114</f>
        <v>5400.630000000001</v>
      </c>
    </row>
    <row r="115" spans="1:14" ht="16">
      <c r="A115" s="37" t="s">
        <v>111</v>
      </c>
      <c r="B115" s="46"/>
      <c r="C115" s="46"/>
      <c r="D115" s="46"/>
      <c r="E115" s="46"/>
      <c r="F115" s="47">
        <v>3000.0</v>
      </c>
      <c r="G115" s="47">
        <v>23217.12</v>
      </c>
      <c r="H115" s="47">
        <v>2167.0</v>
      </c>
      <c r="I115" s="47">
        <v>-2167.0</v>
      </c>
      <c r="J115" s="46"/>
      <c r="K115" s="46"/>
      <c r="L115" s="46"/>
      <c r="M115" s="46"/>
      <c r="N115" s="47">
        <f>B115+C115+D115+E115+F115+G115+H115+I115+J115+K115+L115+M115</f>
        <v>26217.12</v>
      </c>
    </row>
    <row r="116" spans="1:14" ht="16">
      <c r="A116" s="37" t="s">
        <v>112</v>
      </c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7">
        <v>17989.91</v>
      </c>
      <c r="N116" s="47">
        <f>B116+C116+D116+E116+F116+G116+H116+I116+J116+K116+L116+M116</f>
        <v>17989.91</v>
      </c>
    </row>
    <row r="117" spans="1:14" ht="16">
      <c r="A117" s="42" t="s">
        <v>113</v>
      </c>
      <c r="B117" s="48">
        <f>B113+B114+B115+B116</f>
        <v>0.14</v>
      </c>
      <c r="C117" s="48">
        <f>C113+C114+C115+C116</f>
        <v>0.04</v>
      </c>
      <c r="D117" s="48">
        <f>D113+D114+D115+D116</f>
        <v>0.02</v>
      </c>
      <c r="E117" s="48">
        <f>E113+E114+E115+E116</f>
        <v>0.02</v>
      </c>
      <c r="F117" s="48">
        <f>F113+F114+F115+F116</f>
        <v>3000.0</v>
      </c>
      <c r="G117" s="48">
        <f>G113+G114+G115+G116</f>
        <v>23217.12</v>
      </c>
      <c r="H117" s="48">
        <f>H113+H114+H115+H116</f>
        <v>2167.11</v>
      </c>
      <c r="I117" s="48">
        <f>I113+I114+I115+I116</f>
        <v>3233.01</v>
      </c>
      <c r="J117" s="48">
        <f>J113+J114+J115+J116</f>
        <v>0.06</v>
      </c>
      <c r="K117" s="48">
        <f>K113+K114+K115+K116</f>
        <v>0.01</v>
      </c>
      <c r="L117" s="48">
        <f>L113+L114+L115+L116</f>
        <v>0.09</v>
      </c>
      <c r="M117" s="48">
        <f>M113+M114+M115+M116</f>
        <v>17990.04</v>
      </c>
      <c r="N117" s="51">
        <f>B117+C117+D117+E117+F117+G117+H117+I117+J117+K117+L117+M117</f>
        <v>49607.66</v>
      </c>
    </row>
    <row r="118" spans="1:13" ht="16">
      <c r="A118" s="36" t="s">
        <v>114</v>
      </c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</row>
    <row r="119" spans="1:14" ht="16">
      <c r="A119" s="37" t="s">
        <v>115</v>
      </c>
      <c r="B119" s="47">
        <v>-12134.87</v>
      </c>
      <c r="C119" s="46"/>
      <c r="D119" s="46"/>
      <c r="E119" s="46"/>
      <c r="F119" s="46"/>
      <c r="G119" s="47">
        <v>-3600.0</v>
      </c>
      <c r="H119" s="46"/>
      <c r="I119" s="46"/>
      <c r="J119" s="46"/>
      <c r="K119" s="46"/>
      <c r="L119" s="46"/>
      <c r="M119" s="46"/>
      <c r="N119" s="47">
        <f>B119+C119+D119+E119+F119+G119+H119+I119+J119+K119+L119+M119</f>
        <v>-15734.87</v>
      </c>
    </row>
    <row r="120" spans="1:14" ht="16">
      <c r="A120" s="42" t="s">
        <v>116</v>
      </c>
      <c r="B120" s="48">
        <f>B118+B119</f>
        <v>-12134.87</v>
      </c>
      <c r="C120" s="51">
        <f>C118+C119</f>
        <v>0.0</v>
      </c>
      <c r="D120" s="51">
        <f>D118+D119</f>
        <v>0.0</v>
      </c>
      <c r="E120" s="51">
        <f>E118+E119</f>
        <v>0.0</v>
      </c>
      <c r="F120" s="51">
        <f>F118+F119</f>
        <v>0.0</v>
      </c>
      <c r="G120" s="48">
        <f>G118+G119</f>
        <v>-3600.0</v>
      </c>
      <c r="H120" s="51">
        <f>H118+H119</f>
        <v>0.0</v>
      </c>
      <c r="I120" s="51">
        <f>I118+I119</f>
        <v>0.0</v>
      </c>
      <c r="J120" s="51">
        <f>J118+J119</f>
        <v>0.0</v>
      </c>
      <c r="K120" s="51">
        <f>K118+K119</f>
        <v>0.0</v>
      </c>
      <c r="L120" s="51">
        <f>L118+L119</f>
        <v>0.0</v>
      </c>
      <c r="M120" s="51">
        <f>M118+M119</f>
        <v>0.0</v>
      </c>
      <c r="N120" s="51">
        <f>B120+C120+D120+E120+F120+G120+H120+I120+J120+K120+L120+M120</f>
        <v>-15734.87</v>
      </c>
    </row>
    <row r="121" spans="1:14" ht="16">
      <c r="A121" s="42" t="s">
        <v>117</v>
      </c>
      <c r="B121" s="48">
        <f>B117-B120</f>
        <v>12135.01</v>
      </c>
      <c r="C121" s="48">
        <f>C117-C120</f>
        <v>0.04</v>
      </c>
      <c r="D121" s="48">
        <f>D117-D120</f>
        <v>0.02</v>
      </c>
      <c r="E121" s="48">
        <f>E117-E120</f>
        <v>0.02</v>
      </c>
      <c r="F121" s="48">
        <f>F117-F120</f>
        <v>3000.0</v>
      </c>
      <c r="G121" s="48">
        <f>G117-G120</f>
        <v>26817.12</v>
      </c>
      <c r="H121" s="48">
        <f>H117-H120</f>
        <v>2167.11</v>
      </c>
      <c r="I121" s="48">
        <f>I117-I120</f>
        <v>3233.01</v>
      </c>
      <c r="J121" s="48">
        <f>J117-J120</f>
        <v>0.06</v>
      </c>
      <c r="K121" s="48">
        <f>K117-K120</f>
        <v>0.01</v>
      </c>
      <c r="L121" s="48">
        <f>L117-L120</f>
        <v>0.09</v>
      </c>
      <c r="M121" s="48">
        <f>M117-M120</f>
        <v>17990.04</v>
      </c>
      <c r="N121" s="51">
        <f>B121+C121+D121+E121+F121+G121+H121+I121+J121+K121+L121+M121</f>
        <v>65342.53</v>
      </c>
    </row>
    <row r="122" spans="1:14" ht="16">
      <c r="A122" s="42" t="s">
        <v>118</v>
      </c>
      <c r="B122" s="48">
        <f>B112+B121</f>
        <v>-36286.71</v>
      </c>
      <c r="C122" s="48">
        <f>C112+C121</f>
        <v>-35559.97</v>
      </c>
      <c r="D122" s="48">
        <f>D112+D121</f>
        <v>-31276.790000000005</v>
      </c>
      <c r="E122" s="48">
        <f>E112+E121</f>
        <v>-52991.26</v>
      </c>
      <c r="F122" s="48">
        <f>F112+F121</f>
        <v>-29627.230000000025</v>
      </c>
      <c r="G122" s="48">
        <f>G112+G121</f>
        <v>17333.329999999998</v>
      </c>
      <c r="H122" s="48">
        <f>H112+H121</f>
        <v>-11810.04</v>
      </c>
      <c r="I122" s="48">
        <f>I112+I121</f>
        <v>-12844.770000000006</v>
      </c>
      <c r="J122" s="48">
        <f>J112+J121</f>
        <v>-4651.040000000005</v>
      </c>
      <c r="K122" s="48">
        <f>K112+K121</f>
        <v>-3307.2100000000155</v>
      </c>
      <c r="L122" s="48">
        <f>L112+L121</f>
        <v>-36725.37</v>
      </c>
      <c r="M122" s="48">
        <f>M112+M121</f>
        <v>-56915.69999999999</v>
      </c>
      <c r="N122" s="51">
        <f>B122+C122+D122+E122+F122+G122+H122+I122+J122+K122+L122+M122</f>
        <v>-294662.76000000007</v>
      </c>
    </row>
    <row r="126" spans="1:1" ht="16">
      <c r="A126" s="52" t="s">
        <v>133</v>
      </c>
    </row>
  </sheetData>
  <mergeCells count="4">
    <mergeCell ref="A1:N1"/>
    <mergeCell ref="A2:N2"/>
    <mergeCell ref="A3:N3"/>
    <mergeCell ref="A126:N12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