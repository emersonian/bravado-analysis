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0" i="1" l="1"/>
</calcChain>
</file>

<file path=xl/sharedStrings.xml><?xml version="1.0" encoding="utf-8"?>
<sst xmlns="http://schemas.openxmlformats.org/spreadsheetml/2006/main" count="123" uniqueCount="122">
  <si>
    <t>BRAVADO SPICE LLC</t>
  </si>
  <si>
    <t>Profit and Loss by Month</t>
  </si>
  <si>
    <t>January 1-December 31, 2020</t>
  </si>
  <si>
    <t>Income</t>
  </si>
  <si>
    <t>61000 Sales</t>
  </si>
  <si>
    <t>61200 Hot Sauce</t>
  </si>
  <si>
    <t>61210 Pineapple &amp; Habanero Hot Sauce</t>
  </si>
  <si>
    <t>61220 Jalapeno &amp; Green Apple Hot Sauce</t>
  </si>
  <si>
    <t>61230 Ghost Pepper &amp; Blueberry Hot Sauce</t>
  </si>
  <si>
    <t>61240 Crimson Hot Sauce</t>
  </si>
  <si>
    <t>61250 Crimson Special Reserve</t>
  </si>
  <si>
    <t>61260 Serrano &amp; Basil Hot Sauce</t>
  </si>
  <si>
    <t>61270 Black Garlic &amp; Carolina Reaper Hot Sauce</t>
  </si>
  <si>
    <t>61280 Creamy Herb &amp; Jalapeño Hot Sauce</t>
  </si>
  <si>
    <t>61290 Aka Miso Ghost-Reaper Hot Sauce</t>
  </si>
  <si>
    <t>Total for 61200 Hot Sauce</t>
  </si>
  <si>
    <t>61300 Seasonings</t>
  </si>
  <si>
    <t>61310 Jalapeno &amp; Garlic Seasoning</t>
  </si>
  <si>
    <t>61320 Crimson Seasonings</t>
  </si>
  <si>
    <t>Total for 61300 Seasonings</t>
  </si>
  <si>
    <t>61400 Mixers</t>
  </si>
  <si>
    <t>61410 Pineapple &amp; Jalapeno &amp; Margarita Mix</t>
  </si>
  <si>
    <t>61420 Ruby Red Grapefruit Margarita Mix</t>
  </si>
  <si>
    <t>Total for 61400 Mixers</t>
  </si>
  <si>
    <t>61500 Sets</t>
  </si>
  <si>
    <t>63000 Events/Shows Sales</t>
  </si>
  <si>
    <t>64000 Online Sales</t>
  </si>
  <si>
    <t>65000 Amazon Seller Central Sales</t>
  </si>
  <si>
    <t>65100 Amazon US Market Sales</t>
  </si>
  <si>
    <t>65110 Amazon Refund/Swell US Market Place</t>
  </si>
  <si>
    <t>Total for 65100 Amazon US Market Sales</t>
  </si>
  <si>
    <t>65200 Amazon CA Market Sales</t>
  </si>
  <si>
    <t>Total for 65000 Amazon Seller Central Sales</t>
  </si>
  <si>
    <t>Total for 61000 Sales</t>
  </si>
  <si>
    <t>66000 Other Income</t>
  </si>
  <si>
    <t>Sales of Product Income</t>
  </si>
  <si>
    <t>Shipping Income</t>
  </si>
  <si>
    <t>Total for Income</t>
  </si>
  <si>
    <t>Cost of Goods Sold</t>
  </si>
  <si>
    <t>71000 Cost of Sales (COS)</t>
  </si>
  <si>
    <t>71100 Shipping &amp; Delivery - COS</t>
  </si>
  <si>
    <t>71300 Ingredients - COS</t>
  </si>
  <si>
    <t>71400 Co-Packer - COGS</t>
  </si>
  <si>
    <t>71500 Materials - COS</t>
  </si>
  <si>
    <t>71600 Placement/Freefill - COS</t>
  </si>
  <si>
    <t>Inventory Shrinkage</t>
  </si>
  <si>
    <t>On-Invoice Discounts</t>
  </si>
  <si>
    <t>QuickBooks Payments Fees</t>
  </si>
  <si>
    <t>Shipping/Transit Discounts</t>
  </si>
  <si>
    <t>Swell Discount</t>
  </si>
  <si>
    <t>Total for 71000 Cost of Sales (COS)</t>
  </si>
  <si>
    <t>Total for Cost of Goods Sold</t>
  </si>
  <si>
    <t>Gross Profit</t>
  </si>
  <si>
    <t>Expenses</t>
  </si>
  <si>
    <t>72000 Marketing/Advertising</t>
  </si>
  <si>
    <t>72100 Freight &amp; Delivery - Marketing</t>
  </si>
  <si>
    <t>72200 Social Media Marketing</t>
  </si>
  <si>
    <t>72300 Promotional</t>
  </si>
  <si>
    <t>72400 Travel</t>
  </si>
  <si>
    <t>72500 Events/Shows</t>
  </si>
  <si>
    <t>72600 In Store Marketing</t>
  </si>
  <si>
    <t>72601 Marketing Scanbacks</t>
  </si>
  <si>
    <t>Total for 72600 In Store Marketing</t>
  </si>
  <si>
    <t>72700 Website/Design</t>
  </si>
  <si>
    <t>Total for 72000 Marketing/Advertising</t>
  </si>
  <si>
    <t>73000 Overhead Expenses (G&amp;A)</t>
  </si>
  <si>
    <t>73100 Rent or Lease</t>
  </si>
  <si>
    <t>73200 Office Expenses</t>
  </si>
  <si>
    <t>73210 Shipping Supplies</t>
  </si>
  <si>
    <t>73220 Food Expense</t>
  </si>
  <si>
    <t>Total for 73200 Office Expenses</t>
  </si>
  <si>
    <t>73300 Utilities</t>
  </si>
  <si>
    <t>73400 Financial Fees</t>
  </si>
  <si>
    <t>73410 Bank Fees</t>
  </si>
  <si>
    <t>73420 Credit Card Fees</t>
  </si>
  <si>
    <t>73450 Interest Expense</t>
  </si>
  <si>
    <t>73460 Line of Credit Fee | AT</t>
  </si>
  <si>
    <t>Total for 73400 Financial Fees</t>
  </si>
  <si>
    <t>73500 Dues &amp; Subscriptions</t>
  </si>
  <si>
    <t>73600 Insurance</t>
  </si>
  <si>
    <t>73620 Insurance - Liability</t>
  </si>
  <si>
    <t>73630 Insurance - Auto</t>
  </si>
  <si>
    <t>73640 Insurance - Health</t>
  </si>
  <si>
    <t>Total for 73600 Insurance</t>
  </si>
  <si>
    <t>73700 Professional Fees</t>
  </si>
  <si>
    <t>73800 Taxes &amp; Licenses</t>
  </si>
  <si>
    <t>73900 1099 Non-Employee Compensation</t>
  </si>
  <si>
    <t>73910 Payroll Expenses</t>
  </si>
  <si>
    <t>73901 Payroll Taxes</t>
  </si>
  <si>
    <t>73902 Salaries &amp; Wages</t>
  </si>
  <si>
    <t>Total for 73910 Payroll Expenses</t>
  </si>
  <si>
    <t>Total for 73000 Overhead Expenses (G&amp;A)</t>
  </si>
  <si>
    <t>74000 Bad Debts</t>
  </si>
  <si>
    <t>75000 Travel</t>
  </si>
  <si>
    <t>76000 Repair &amp; Maintenance</t>
  </si>
  <si>
    <t>77000 Diminimis Safe Harbor Expenses</t>
  </si>
  <si>
    <t>Charitable Contributions</t>
  </si>
  <si>
    <t>Total for Expenses</t>
  </si>
  <si>
    <t>Net Operating Income</t>
  </si>
  <si>
    <t>Other Income</t>
  </si>
  <si>
    <t>80000 Interest Earned</t>
  </si>
  <si>
    <t>Total for Other Income</t>
  </si>
  <si>
    <t>Other Expenses</t>
  </si>
  <si>
    <t>Depreciation</t>
  </si>
  <si>
    <t>Total for Other Expenses</t>
  </si>
  <si>
    <t>Net Other Income</t>
  </si>
  <si>
    <t>Net Income</t>
  </si>
  <si>
    <t/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</si>
  <si>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</si>
  <si>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</si>
  <si>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</si>
  <si>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</si>
  <si>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</si>
  <si>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</si>
  <si>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</si>
  <si>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</si>
  <si>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</si>
  <si>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</si>
  <si>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</si>
  <si>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</si>
  <si>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Total</t>
  </si>
  <si>
    <t>Accrual Basis Tuesday, August 25, 2026 03:25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</si>
</sst>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9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5" fillId="0" borderId="0" xfId="0" applyFont="1" applyAlignment="1">
      <alignment horizontal="left" indent="3"/>
    </xf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77" fontId="3" fillId="0" borderId="0" xfId="0" applyNumberFormat="1" applyFont="1"/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5" fillId="0" borderId="2" xfId="0" applyNumberFormat="1" applyFont="1" applyBorder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N114"/>
  <sheetViews>
    <sheetView tabSelected="1" workbookViewId="0" topLeftCell="A1"/>
  </sheetViews>
  <sheetFormatPr defaultColWidth="11.255" defaultRowHeight="16"/>
  <cols>
    <col min="1" max="1" width="40.125" style="49" customWidth="1"/>
    <col min="2" max="13" width="16.125" style="49" customWidth="1"/>
    <col min="14" max="14" width="17" style="49" customWidth="1"/>
  </cols>
  <sheetData>
    <row r="1" spans="1:1" ht="16">
      <c r="A1" s="36" t="s">
        <v>0</v>
      </c>
    </row>
    <row r="2" spans="1:1" ht="16">
      <c r="A2" s="37" t="s">
        <v>1</v>
      </c>
    </row>
    <row r="3" spans="1:1" ht="16">
      <c r="A3" s="38" t="s">
        <v>2</v>
      </c>
    </row>
    <row r="5" spans="1:14" ht="16">
      <c r="A5" s="51" t="s">
        <v>107</v>
      </c>
      <c r="B5" s="56" t="s">
        <v>108</v>
      </c>
      <c r="C5" s="56" t="s">
        <v>109</v>
      </c>
      <c r="D5" s="56" t="s">
        <v>110</v>
      </c>
      <c r="E5" s="56" t="s">
        <v>111</v>
      </c>
      <c r="F5" s="56" t="s">
        <v>112</v>
      </c>
      <c r="G5" s="56" t="s">
        <v>113</v>
      </c>
      <c r="H5" s="56" t="s">
        <v>114</v>
      </c>
      <c r="I5" s="56" t="s">
        <v>115</v>
      </c>
      <c r="J5" s="56" t="s">
        <v>116</v>
      </c>
      <c r="K5" s="56" t="s">
        <v>117</v>
      </c>
      <c r="L5" s="56" t="s">
        <v>118</v>
      </c>
      <c r="M5" s="56" t="s">
        <v>119</v>
      </c>
      <c r="N5" s="56" t="s">
        <v>120</v>
      </c>
    </row>
    <row r="6" spans="1:13" ht="16">
      <c r="A6" s="40" t="s">
        <v>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</row>
    <row r="7" spans="1:14" ht="16">
      <c r="A7" s="41" t="s">
        <v>4</v>
      </c>
      <c r="B7" s="53">
        <v>39399.42</v>
      </c>
      <c r="C7" s="52"/>
      <c r="D7" s="52"/>
      <c r="E7" s="52"/>
      <c r="F7" s="52"/>
      <c r="G7" s="52"/>
      <c r="H7" s="52"/>
      <c r="I7" s="52"/>
      <c r="J7" s="52"/>
      <c r="K7" s="53">
        <v>0</v>
      </c>
      <c r="L7" s="53">
        <v>0</v>
      </c>
      <c r="M7" s="52"/>
      <c r="N7" s="53">
        <f>B7+C7+D7+E7+F7+G7+H7+I7+J7+K7+L7+M7</f>
        <v>39399.42</v>
      </c>
    </row>
    <row r="8" spans="1:14" ht="16">
      <c r="A8" s="42" t="s">
        <v>5</v>
      </c>
      <c r="B8" s="52"/>
      <c r="C8" s="52"/>
      <c r="D8" s="52"/>
      <c r="E8" s="52"/>
      <c r="F8" s="52"/>
      <c r="G8" s="52"/>
      <c r="H8" s="52"/>
      <c r="I8" s="53">
        <v>560.0</v>
      </c>
      <c r="J8" s="52"/>
      <c r="K8" s="52"/>
      <c r="L8" s="52"/>
      <c r="M8" s="53">
        <v>0</v>
      </c>
      <c r="N8" s="53">
        <f>B8+C8+D8+E8+F8+G8+H8+I8+J8+K8+L8+M8</f>
        <v>560.0</v>
      </c>
    </row>
    <row r="9" spans="1:14" ht="16">
      <c r="A9" s="43" t="s">
        <v>6</v>
      </c>
      <c r="B9" s="53">
        <v>18891.16</v>
      </c>
      <c r="C9" s="53">
        <v>17343.48</v>
      </c>
      <c r="D9" s="53">
        <v>19678.52</v>
      </c>
      <c r="E9" s="53">
        <v>23092.22</v>
      </c>
      <c r="F9" s="53">
        <v>17977.32</v>
      </c>
      <c r="G9" s="53">
        <v>25039.3</v>
      </c>
      <c r="H9" s="53">
        <v>33298.45</v>
      </c>
      <c r="I9" s="53">
        <v>20865.24</v>
      </c>
      <c r="J9" s="53">
        <v>23966.26</v>
      </c>
      <c r="K9" s="53">
        <v>31727.34</v>
      </c>
      <c r="L9" s="53">
        <v>41213.14</v>
      </c>
      <c r="M9" s="53">
        <v>34385.7</v>
      </c>
      <c r="N9" s="53">
        <f>B9+C9+D9+E9+F9+G9+H9+I9+J9+K9+L9+M9</f>
        <v>307478.13</v>
      </c>
    </row>
    <row r="10" spans="1:14" ht="16">
      <c r="A10" s="43" t="s">
        <v>7</v>
      </c>
      <c r="B10" s="53">
        <v>2582.82</v>
      </c>
      <c r="C10" s="53">
        <v>2343.75</v>
      </c>
      <c r="D10" s="53">
        <v>2666.32</v>
      </c>
      <c r="E10" s="53">
        <v>1197.0</v>
      </c>
      <c r="F10" s="53">
        <v>1420.68</v>
      </c>
      <c r="G10" s="53">
        <v>10972.2</v>
      </c>
      <c r="H10" s="53">
        <v>2655.12</v>
      </c>
      <c r="I10" s="53">
        <v>16254.76</v>
      </c>
      <c r="J10" s="53">
        <v>4033.08</v>
      </c>
      <c r="K10" s="53">
        <v>10943.0</v>
      </c>
      <c r="L10" s="53">
        <v>1630.38</v>
      </c>
      <c r="M10" s="53">
        <v>4748.82</v>
      </c>
      <c r="N10" s="53">
        <f>B10+C10+D10+E10+F10+G10+H10+I10+J10+K10+L10+M10</f>
        <v>61447.93</v>
      </c>
    </row>
    <row r="11" spans="1:14" ht="16">
      <c r="A11" s="43" t="s">
        <v>8</v>
      </c>
      <c r="B11" s="53">
        <v>17513.34</v>
      </c>
      <c r="C11" s="53">
        <v>15481.26</v>
      </c>
      <c r="D11" s="53">
        <v>8417.4</v>
      </c>
      <c r="E11" s="53">
        <v>22448.1</v>
      </c>
      <c r="F11" s="53">
        <v>17636.14</v>
      </c>
      <c r="G11" s="53">
        <v>15493.98</v>
      </c>
      <c r="H11" s="53">
        <v>17561.88</v>
      </c>
      <c r="I11" s="53">
        <v>19162.18</v>
      </c>
      <c r="J11" s="53">
        <v>16374.18</v>
      </c>
      <c r="K11" s="53">
        <v>30232.62</v>
      </c>
      <c r="L11" s="53">
        <v>24855.24</v>
      </c>
      <c r="M11" s="53">
        <v>22204.74</v>
      </c>
      <c r="N11" s="53">
        <f>B11+C11+D11+E11+F11+G11+H11+I11+J11+K11+L11+M11</f>
        <v>227381.05999999997</v>
      </c>
    </row>
    <row r="12" spans="1:14" ht="16">
      <c r="A12" s="43" t="s">
        <v>9</v>
      </c>
      <c r="B12" s="53">
        <v>9440.1</v>
      </c>
      <c r="C12" s="53">
        <v>2286.99</v>
      </c>
      <c r="D12" s="53">
        <v>6203.52</v>
      </c>
      <c r="E12" s="53">
        <v>2089.16</v>
      </c>
      <c r="F12" s="53">
        <v>19781.76</v>
      </c>
      <c r="G12" s="53">
        <v>35131.86</v>
      </c>
      <c r="H12" s="53">
        <v>9958.06</v>
      </c>
      <c r="I12" s="53">
        <v>12056.58</v>
      </c>
      <c r="J12" s="53">
        <v>3587.88</v>
      </c>
      <c r="K12" s="53">
        <v>4398.48</v>
      </c>
      <c r="L12" s="53">
        <v>8857.74</v>
      </c>
      <c r="M12" s="53">
        <v>3379.86</v>
      </c>
      <c r="N12" s="53">
        <f>B12+C12+D12+E12+F12+G12+H12+I12+J12+K12+L12+M12</f>
        <v>117171.99</v>
      </c>
    </row>
    <row r="13" spans="1:14" ht="16">
      <c r="A13" s="43" t="s">
        <v>10</v>
      </c>
      <c r="B13" s="53">
        <v>1924.14</v>
      </c>
      <c r="C13" s="53">
        <v>2183.46</v>
      </c>
      <c r="D13" s="53">
        <v>945.88</v>
      </c>
      <c r="E13" s="53">
        <v>2295.76</v>
      </c>
      <c r="F13" s="53">
        <v>806.88</v>
      </c>
      <c r="G13" s="53">
        <v>4028.1</v>
      </c>
      <c r="H13" s="53">
        <v>2682.36</v>
      </c>
      <c r="I13" s="53">
        <v>5072.72</v>
      </c>
      <c r="J13" s="53">
        <v>5616.56</v>
      </c>
      <c r="K13" s="53">
        <v>5211.04</v>
      </c>
      <c r="L13" s="53">
        <v>1401.84</v>
      </c>
      <c r="M13" s="53">
        <v>3696.32</v>
      </c>
      <c r="N13" s="53">
        <f>B13+C13+D13+E13+F13+G13+H13+I13+J13+K13+L13+M13</f>
        <v>35865.060000000005</v>
      </c>
    </row>
    <row r="14" spans="1:14" ht="16">
      <c r="A14" s="43" t="s">
        <v>11</v>
      </c>
      <c r="B14" s="53">
        <v>15306.76</v>
      </c>
      <c r="C14" s="53">
        <v>9723.27</v>
      </c>
      <c r="D14" s="53">
        <v>11180.56</v>
      </c>
      <c r="E14" s="53">
        <v>1213.08</v>
      </c>
      <c r="F14" s="53">
        <v>3971.68</v>
      </c>
      <c r="G14" s="53">
        <v>7938.38</v>
      </c>
      <c r="H14" s="53">
        <v>13620.11</v>
      </c>
      <c r="I14" s="53">
        <v>17071.74</v>
      </c>
      <c r="J14" s="53">
        <v>4812.99</v>
      </c>
      <c r="K14" s="53">
        <v>6199.14</v>
      </c>
      <c r="L14" s="53">
        <v>9125.9</v>
      </c>
      <c r="M14" s="53">
        <v>10837.32</v>
      </c>
      <c r="N14" s="53">
        <f>B14+C14+D14+E14+F14+G14+H14+I14+J14+K14+L14+M14</f>
        <v>111000.93</v>
      </c>
    </row>
    <row r="15" spans="1:14" ht="16">
      <c r="A15" s="43" t="s">
        <v>12</v>
      </c>
      <c r="B15" s="53">
        <v>21200.92</v>
      </c>
      <c r="C15" s="53">
        <v>30302.96</v>
      </c>
      <c r="D15" s="53">
        <v>18974.8</v>
      </c>
      <c r="E15" s="53">
        <v>6110.48</v>
      </c>
      <c r="F15" s="53">
        <v>9724.44</v>
      </c>
      <c r="G15" s="53">
        <v>20370.48</v>
      </c>
      <c r="H15" s="53">
        <v>31704.0</v>
      </c>
      <c r="I15" s="53">
        <v>36098.96</v>
      </c>
      <c r="J15" s="53">
        <v>26132.52</v>
      </c>
      <c r="K15" s="53">
        <v>76676.64</v>
      </c>
      <c r="L15" s="53">
        <v>22321.99</v>
      </c>
      <c r="M15" s="53">
        <v>44929.96</v>
      </c>
      <c r="N15" s="53">
        <f>B15+C15+D15+E15+F15+G15+H15+I15+J15+K15+L15+M15</f>
        <v>344548.14999999997</v>
      </c>
    </row>
    <row r="16" spans="1:14" ht="16">
      <c r="A16" s="43" t="s">
        <v>13</v>
      </c>
      <c r="B16" s="53">
        <v>11419.44</v>
      </c>
      <c r="C16" s="53">
        <v>5498.44</v>
      </c>
      <c r="D16" s="53">
        <v>6812.28</v>
      </c>
      <c r="E16" s="53">
        <v>8831.64</v>
      </c>
      <c r="F16" s="53">
        <v>20625.16</v>
      </c>
      <c r="G16" s="53">
        <v>24461.64</v>
      </c>
      <c r="H16" s="53">
        <v>7324.32</v>
      </c>
      <c r="I16" s="53">
        <v>13526.34</v>
      </c>
      <c r="J16" s="53">
        <v>11106.48</v>
      </c>
      <c r="K16" s="53">
        <v>4001.64</v>
      </c>
      <c r="L16" s="53">
        <v>8379.6</v>
      </c>
      <c r="M16" s="53">
        <v>8926.0</v>
      </c>
      <c r="N16" s="53">
        <f>B16+C16+D16+E16+F16+G16+H16+I16+J16+K16+L16+M16</f>
        <v>130912.98000000001</v>
      </c>
    </row>
    <row r="17" spans="1:14" ht="16">
      <c r="A17" s="43" t="s">
        <v>14</v>
      </c>
      <c r="B17" s="53">
        <v>45242.92</v>
      </c>
      <c r="C17" s="53">
        <v>20743.02</v>
      </c>
      <c r="D17" s="53">
        <v>10787.44</v>
      </c>
      <c r="E17" s="53">
        <v>8172.79</v>
      </c>
      <c r="F17" s="53">
        <v>3579.04</v>
      </c>
      <c r="G17" s="53">
        <v>9985.5</v>
      </c>
      <c r="H17" s="53">
        <v>13992.04</v>
      </c>
      <c r="I17" s="53">
        <v>26476.72</v>
      </c>
      <c r="J17" s="53">
        <v>13478.72</v>
      </c>
      <c r="K17" s="53">
        <v>40290.92</v>
      </c>
      <c r="L17" s="53">
        <v>7521.6</v>
      </c>
      <c r="M17" s="53">
        <v>24657.08</v>
      </c>
      <c r="N17" s="53">
        <f>B17+C17+D17+E17+F17+G17+H17+I17+J17+K17+L17+M17</f>
        <v>224927.78999999998</v>
      </c>
    </row>
    <row r="18" spans="1:14" ht="16">
      <c r="A18" s="44" t="s">
        <v>15</v>
      </c>
      <c r="B18" s="54">
        <f>B8+B9+B10+B11+B12+B13+B14+B15+B16+B17</f>
        <v>143521.59999999998</v>
      </c>
      <c r="C18" s="54">
        <f>C8+C9+C10+C11+C12+C13+C14+C15+C16+C17</f>
        <v>105906.62999999999</v>
      </c>
      <c r="D18" s="54">
        <f>D8+D9+D10+D11+D12+D13+D14+D15+D16+D17</f>
        <v>85666.71999999999</v>
      </c>
      <c r="E18" s="54">
        <f>E8+E9+E10+E11+E12+E13+E14+E15+E16+E17</f>
        <v>75450.23</v>
      </c>
      <c r="F18" s="54">
        <f>F8+F9+F10+F11+F12+F13+F14+F15+F16+F17</f>
        <v>95523.09999999999</v>
      </c>
      <c r="G18" s="54">
        <f>G8+G9+G10+G11+G12+G13+G14+G15+G16+G17</f>
        <v>153421.44</v>
      </c>
      <c r="H18" s="54">
        <f>H8+H9+H10+H11+H12+H13+H14+H15+H16+H17</f>
        <v>132796.34</v>
      </c>
      <c r="I18" s="54">
        <f>I8+I9+I10+I11+I12+I13+I14+I15+I16+I17</f>
        <v>167145.24</v>
      </c>
      <c r="J18" s="54">
        <f>J8+J9+J10+J11+J12+J13+J14+J15+J16+J17</f>
        <v>109108.66999999998</v>
      </c>
      <c r="K18" s="54">
        <f>K8+K9+K10+K11+K12+K13+K14+K15+K16+K17</f>
        <v>209680.82</v>
      </c>
      <c r="L18" s="54">
        <f>L8+L9+L10+L11+L12+L13+L14+L15+L16+L17</f>
        <v>125307.43000000001</v>
      </c>
      <c r="M18" s="54">
        <f>M8+M9+M10+M11+M12+M13+M14+M15+M16+M17</f>
        <v>157765.8</v>
      </c>
      <c r="N18" s="55">
        <f>B18+C18+D18+E18+F18+G18+H18+I18+J18+K18+L18+M18</f>
        <v>1561294.02</v>
      </c>
    </row>
    <row r="19" spans="1:14" ht="16">
      <c r="A19" s="42" t="s">
        <v>16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</row>
    <row r="20" spans="1:14" ht="16">
      <c r="A20" s="43" t="s">
        <v>17</v>
      </c>
      <c r="B20" s="53">
        <v>1028.8</v>
      </c>
      <c r="C20" s="53">
        <v>755.4</v>
      </c>
      <c r="D20" s="53">
        <v>432.0</v>
      </c>
      <c r="E20" s="53">
        <v>937.0</v>
      </c>
      <c r="F20" s="53">
        <v>805.8</v>
      </c>
      <c r="G20" s="53">
        <v>1014.9</v>
      </c>
      <c r="H20" s="53">
        <v>4804.8</v>
      </c>
      <c r="I20" s="53">
        <v>2797.2</v>
      </c>
      <c r="J20" s="53">
        <v>1279.32</v>
      </c>
      <c r="K20" s="53">
        <v>1764.6</v>
      </c>
      <c r="L20" s="53">
        <v>4067.88</v>
      </c>
      <c r="M20" s="53">
        <v>1813.8</v>
      </c>
      <c r="N20" s="53">
        <f>B20+C20+D20+E20+F20+G20+H20+I20+J20+K20+L20+M20</f>
        <v>21501.5</v>
      </c>
    </row>
    <row r="21" spans="1:14" ht="16">
      <c r="A21" s="43" t="s">
        <v>18</v>
      </c>
      <c r="B21" s="53">
        <v>335.2</v>
      </c>
      <c r="C21" s="53">
        <v>742.2</v>
      </c>
      <c r="D21" s="52"/>
      <c r="E21" s="53">
        <v>139.2</v>
      </c>
      <c r="F21" s="53">
        <v>139.2</v>
      </c>
      <c r="G21" s="53">
        <v>331.8</v>
      </c>
      <c r="H21" s="53">
        <v>703.8</v>
      </c>
      <c r="I21" s="53">
        <v>847.8</v>
      </c>
      <c r="J21" s="53">
        <v>459.0</v>
      </c>
      <c r="K21" s="53">
        <v>1326.0</v>
      </c>
      <c r="L21" s="53">
        <v>658.2</v>
      </c>
      <c r="M21" s="53">
        <v>648.3</v>
      </c>
      <c r="N21" s="53">
        <f>B21+C21+D21+E21+F21+G21+H21+I21+J21+K21+L21+M21</f>
        <v>6330.7</v>
      </c>
    </row>
    <row r="22" spans="1:14" ht="16">
      <c r="A22" s="44" t="s">
        <v>19</v>
      </c>
      <c r="B22" s="54">
        <f>B19+B20+B21</f>
        <v>1364.0</v>
      </c>
      <c r="C22" s="54">
        <f>C19+C20+C21</f>
        <v>1497.6</v>
      </c>
      <c r="D22" s="54">
        <f>D19+D20+D21</f>
        <v>432.0</v>
      </c>
      <c r="E22" s="54">
        <f>E19+E20+E21</f>
        <v>1076.2</v>
      </c>
      <c r="F22" s="54">
        <f>F19+F20+F21</f>
        <v>945.0</v>
      </c>
      <c r="G22" s="54">
        <f>G19+G20+G21</f>
        <v>1346.7</v>
      </c>
      <c r="H22" s="54">
        <f>H19+H20+H21</f>
        <v>5508.6</v>
      </c>
      <c r="I22" s="54">
        <f>I19+I20+I21</f>
        <v>3645.0</v>
      </c>
      <c r="J22" s="54">
        <f>J19+J20+J21</f>
        <v>1738.32</v>
      </c>
      <c r="K22" s="54">
        <f>K19+K20+K21</f>
        <v>3090.6</v>
      </c>
      <c r="L22" s="54">
        <f>L19+L20+L21</f>
        <v>4726.08</v>
      </c>
      <c r="M22" s="54">
        <f>M19+M20+M21</f>
        <v>2462.1</v>
      </c>
      <c r="N22" s="55">
        <f>B22+C22+D22+E22+F22+G22+H22+I22+J22+K22+L22+M22</f>
        <v>27832.199999999997</v>
      </c>
    </row>
    <row r="23" spans="1:14" ht="16">
      <c r="A23" s="42" t="s">
        <v>20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</row>
    <row r="24" spans="1:14" ht="16">
      <c r="A24" s="43" t="s">
        <v>21</v>
      </c>
      <c r="B24" s="53">
        <v>5312.88</v>
      </c>
      <c r="C24" s="53">
        <v>2352.24</v>
      </c>
      <c r="D24" s="53">
        <v>8994.6</v>
      </c>
      <c r="E24" s="53">
        <v>3953.4</v>
      </c>
      <c r="F24" s="53">
        <v>16626.0</v>
      </c>
      <c r="G24" s="53">
        <v>17675.46</v>
      </c>
      <c r="H24" s="53">
        <v>26166.54</v>
      </c>
      <c r="I24" s="53">
        <v>16208.1</v>
      </c>
      <c r="J24" s="53">
        <v>21841.5</v>
      </c>
      <c r="K24" s="53">
        <v>6201.78</v>
      </c>
      <c r="L24" s="53">
        <v>4898.82</v>
      </c>
      <c r="M24" s="53">
        <v>3378.24</v>
      </c>
      <c r="N24" s="53">
        <f>B24+C24+D24+E24+F24+G24+H24+I24+J24+K24+L24+M24</f>
        <v>133609.56</v>
      </c>
    </row>
    <row r="25" spans="1:14" ht="16">
      <c r="A25" s="43" t="s">
        <v>22</v>
      </c>
      <c r="B25" s="53">
        <v>605.88</v>
      </c>
      <c r="C25" s="53">
        <v>742.8</v>
      </c>
      <c r="D25" s="53">
        <v>1043.1</v>
      </c>
      <c r="E25" s="53">
        <v>2155.8</v>
      </c>
      <c r="F25" s="53">
        <v>1895.4</v>
      </c>
      <c r="G25" s="53">
        <v>4129.62</v>
      </c>
      <c r="H25" s="53">
        <v>1429.38</v>
      </c>
      <c r="I25" s="53">
        <v>1279.5</v>
      </c>
      <c r="J25" s="53">
        <v>766.5</v>
      </c>
      <c r="K25" s="53">
        <v>3644.58</v>
      </c>
      <c r="L25" s="53">
        <v>2238.42</v>
      </c>
      <c r="M25" s="53">
        <v>1498.8</v>
      </c>
      <c r="N25" s="53">
        <f>B25+C25+D25+E25+F25+G25+H25+I25+J25+K25+L25+M25</f>
        <v>21429.779999999995</v>
      </c>
    </row>
    <row r="26" spans="1:14" ht="16">
      <c r="A26" s="44" t="s">
        <v>23</v>
      </c>
      <c r="B26" s="54">
        <f>B23+B24+B25</f>
        <v>5918.76</v>
      </c>
      <c r="C26" s="54">
        <f>C23+C24+C25</f>
        <v>3095.04</v>
      </c>
      <c r="D26" s="54">
        <f>D23+D24+D25</f>
        <v>10037.7</v>
      </c>
      <c r="E26" s="54">
        <f>E23+E24+E25</f>
        <v>6109.200000000001</v>
      </c>
      <c r="F26" s="54">
        <f>F23+F24+F25</f>
        <v>18521.4</v>
      </c>
      <c r="G26" s="54">
        <f>G23+G24+G25</f>
        <v>21805.079999999998</v>
      </c>
      <c r="H26" s="54">
        <f>H23+H24+H25</f>
        <v>27595.920000000002</v>
      </c>
      <c r="I26" s="54">
        <f>I23+I24+I25</f>
        <v>17487.6</v>
      </c>
      <c r="J26" s="54">
        <f>J23+J24+J25</f>
        <v>22608.0</v>
      </c>
      <c r="K26" s="54">
        <f>K23+K24+K25</f>
        <v>9846.36</v>
      </c>
      <c r="L26" s="54">
        <f>L23+L24+L25</f>
        <v>7137.24</v>
      </c>
      <c r="M26" s="54">
        <f>M23+M24+M25</f>
        <v>4877.04</v>
      </c>
      <c r="N26" s="55">
        <f>B26+C26+D26+E26+F26+G26+H26+I26+J26+K26+L26+M26</f>
        <v>155039.34</v>
      </c>
    </row>
    <row r="27" spans="1:14" ht="16">
      <c r="A27" s="42" t="s">
        <v>24</v>
      </c>
      <c r="B27" s="52"/>
      <c r="C27" s="52"/>
      <c r="D27" s="52"/>
      <c r="E27" s="52"/>
      <c r="F27" s="52"/>
      <c r="G27" s="52"/>
      <c r="H27" s="52"/>
      <c r="I27" s="52"/>
      <c r="J27" s="52"/>
      <c r="K27" s="53">
        <v>58.5</v>
      </c>
      <c r="L27" s="52"/>
      <c r="M27" s="53">
        <v>8010.0</v>
      </c>
      <c r="N27" s="53">
        <f>B27+C27+D27+E27+F27+G27+H27+I27+J27+K27+L27+M27</f>
        <v>8068.5</v>
      </c>
    </row>
    <row r="28" spans="1:14" ht="16">
      <c r="A28" s="42" t="s">
        <v>25</v>
      </c>
      <c r="B28" s="53">
        <v>1270.69</v>
      </c>
      <c r="C28" s="52"/>
      <c r="D28" s="53">
        <v>2990.0</v>
      </c>
      <c r="E28" s="52"/>
      <c r="F28" s="52"/>
      <c r="G28" s="52"/>
      <c r="H28" s="52"/>
      <c r="I28" s="52"/>
      <c r="J28" s="52"/>
      <c r="K28" s="52"/>
      <c r="L28" s="52"/>
      <c r="M28" s="52"/>
      <c r="N28" s="53">
        <f>B28+C28+D28+E28+F28+G28+H28+I28+J28+K28+L28+M28</f>
        <v>4260.6900000000005</v>
      </c>
    </row>
    <row r="29" spans="1:14" ht="16">
      <c r="A29" s="42" t="s">
        <v>26</v>
      </c>
      <c r="B29" s="53">
        <v>14741.53</v>
      </c>
      <c r="C29" s="53">
        <v>10847.95</v>
      </c>
      <c r="D29" s="53">
        <v>17125.91</v>
      </c>
      <c r="E29" s="53">
        <v>36617.81</v>
      </c>
      <c r="F29" s="53">
        <v>31258.22</v>
      </c>
      <c r="G29" s="53">
        <v>16590.52</v>
      </c>
      <c r="H29" s="53">
        <v>18466.62</v>
      </c>
      <c r="I29" s="53">
        <v>15788.77</v>
      </c>
      <c r="J29" s="53">
        <v>16868.45</v>
      </c>
      <c r="K29" s="53">
        <v>15425.64</v>
      </c>
      <c r="L29" s="53">
        <v>10758.79</v>
      </c>
      <c r="M29" s="53">
        <v>52534.29</v>
      </c>
      <c r="N29" s="53">
        <f>B29+C29+D29+E29+F29+G29+H29+I29+J29+K29+L29+M29</f>
        <v>257024.5</v>
      </c>
    </row>
    <row r="30" spans="1:14" ht="16">
      <c r="A30" s="42" t="s">
        <v>27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</row>
    <row r="31" spans="1:14" ht="16">
      <c r="A31" s="43" t="s">
        <v>28</v>
      </c>
      <c r="B31" s="53">
        <v>1801.94</v>
      </c>
      <c r="C31" s="53">
        <v>8433.71</v>
      </c>
      <c r="D31" s="53">
        <v>12071.6</v>
      </c>
      <c r="E31" s="53">
        <v>24078.79</v>
      </c>
      <c r="F31" s="53">
        <v>20094.65</v>
      </c>
      <c r="G31" s="53">
        <v>7022.65</v>
      </c>
      <c r="H31" s="53">
        <v>1388.85</v>
      </c>
      <c r="I31" s="53">
        <v>1441.23</v>
      </c>
      <c r="J31" s="53">
        <v>1285.72</v>
      </c>
      <c r="K31" s="53">
        <v>7723.23</v>
      </c>
      <c r="L31" s="53">
        <v>9730.42</v>
      </c>
      <c r="M31" s="53">
        <v>20004.71</v>
      </c>
      <c r="N31" s="53">
        <f>B31+C31+D31+E31+F31+G31+H31+I31+J31+K31+L31+M31</f>
        <v>115077.5</v>
      </c>
    </row>
    <row r="32" spans="1:14" ht="16">
      <c r="A32" s="45" t="s">
        <v>29</v>
      </c>
      <c r="B32" s="52"/>
      <c r="C32" s="52"/>
      <c r="D32" s="53">
        <v>24.03</v>
      </c>
      <c r="E32" s="52"/>
      <c r="F32" s="52"/>
      <c r="G32" s="52"/>
      <c r="H32" s="52"/>
      <c r="I32" s="52"/>
      <c r="J32" s="52"/>
      <c r="K32" s="52"/>
      <c r="L32" s="52"/>
      <c r="M32" s="52"/>
      <c r="N32" s="53">
        <f>B32+C32+D32+E32+F32+G32+H32+I32+J32+K32+L32+M32</f>
        <v>24.03</v>
      </c>
    </row>
    <row r="33" spans="1:14" ht="16">
      <c r="A33" s="46" t="s">
        <v>30</v>
      </c>
      <c r="B33" s="54">
        <f>B31+B32</f>
        <v>1801.94</v>
      </c>
      <c r="C33" s="54">
        <f>C31+C32</f>
        <v>8433.71</v>
      </c>
      <c r="D33" s="54">
        <f>D31+D32</f>
        <v>12095.630000000001</v>
      </c>
      <c r="E33" s="54">
        <f>E31+E32</f>
        <v>24078.79</v>
      </c>
      <c r="F33" s="54">
        <f>F31+F32</f>
        <v>20094.65</v>
      </c>
      <c r="G33" s="54">
        <f>G31+G32</f>
        <v>7022.65</v>
      </c>
      <c r="H33" s="54">
        <f>H31+H32</f>
        <v>1388.85</v>
      </c>
      <c r="I33" s="54">
        <f>I31+I32</f>
        <v>1441.23</v>
      </c>
      <c r="J33" s="54">
        <f>J31+J32</f>
        <v>1285.72</v>
      </c>
      <c r="K33" s="54">
        <f>K31+K32</f>
        <v>7723.23</v>
      </c>
      <c r="L33" s="54">
        <f>L31+L32</f>
        <v>9730.42</v>
      </c>
      <c r="M33" s="54">
        <f>M31+M32</f>
        <v>20004.71</v>
      </c>
      <c r="N33" s="55">
        <f>B33+C33+D33+E33+F33+G33+H33+I33+J33+K33+L33+M33</f>
        <v>115101.53</v>
      </c>
    </row>
    <row r="34" spans="1:14" ht="16">
      <c r="A34" s="43" t="s">
        <v>31</v>
      </c>
      <c r="B34" s="53">
        <v>87.26</v>
      </c>
      <c r="C34" s="53">
        <v>64.79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3">
        <f>B34+C34+D34+E34+F34+G34+H34+I34+J34+K34+L34+M34</f>
        <v>152.05</v>
      </c>
    </row>
    <row r="35" spans="1:14" ht="16">
      <c r="A35" s="44" t="s">
        <v>32</v>
      </c>
      <c r="B35" s="54">
        <f>B30+B33+B34</f>
        <v>1889.2</v>
      </c>
      <c r="C35" s="54">
        <f>C30+C33+C34</f>
        <v>8498.5</v>
      </c>
      <c r="D35" s="54">
        <f>D30+D33+D34</f>
        <v>12095.630000000001</v>
      </c>
      <c r="E35" s="54">
        <f>E30+E33+E34</f>
        <v>24078.79</v>
      </c>
      <c r="F35" s="54">
        <f>F30+F33+F34</f>
        <v>20094.65</v>
      </c>
      <c r="G35" s="54">
        <f>G30+G33+G34</f>
        <v>7022.65</v>
      </c>
      <c r="H35" s="54">
        <f>H30+H33+H34</f>
        <v>1388.85</v>
      </c>
      <c r="I35" s="54">
        <f>I30+I33+I34</f>
        <v>1441.23</v>
      </c>
      <c r="J35" s="54">
        <f>J30+J33+J34</f>
        <v>1285.72</v>
      </c>
      <c r="K35" s="54">
        <f>K30+K33+K34</f>
        <v>7723.23</v>
      </c>
      <c r="L35" s="54">
        <f>L30+L33+L34</f>
        <v>9730.42</v>
      </c>
      <c r="M35" s="54">
        <f>M30+M33+M34</f>
        <v>20004.71</v>
      </c>
      <c r="N35" s="55">
        <f>B35+C35+D35+E35+F35+G35+H35+I35+J35+K35+L35+M35</f>
        <v>115253.57999999999</v>
      </c>
    </row>
    <row r="36" spans="1:14" ht="16">
      <c r="A36" s="47" t="s">
        <v>33</v>
      </c>
      <c r="B36" s="54">
        <f>B7+B18+B22+B26+B27+B28+B29+B35</f>
        <v>208105.19999999998</v>
      </c>
      <c r="C36" s="54">
        <f>C7+C18+C22+C26+C27+C28+C29+C35</f>
        <v>129845.71999999999</v>
      </c>
      <c r="D36" s="54">
        <f>D7+D18+D22+D26+D27+D28+D29+D35</f>
        <v>128347.95999999999</v>
      </c>
      <c r="E36" s="54">
        <f>E7+E18+E22+E26+E27+E28+E29+E35</f>
        <v>143332.22999999998</v>
      </c>
      <c r="F36" s="54">
        <f>F7+F18+F22+F26+F27+F28+F29+F35</f>
        <v>166342.37</v>
      </c>
      <c r="G36" s="54">
        <f>G7+G18+G22+G26+G27+G28+G29+G35</f>
        <v>200186.38999999998</v>
      </c>
      <c r="H36" s="54">
        <f>H7+H18+H22+H26+H27+H28+H29+H35</f>
        <v>185756.33000000002</v>
      </c>
      <c r="I36" s="54">
        <f>I7+I18+I22+I26+I27+I28+I29+I35</f>
        <v>205507.84</v>
      </c>
      <c r="J36" s="54">
        <f>J7+J18+J22+J26+J27+J28+J29+J35</f>
        <v>151609.16</v>
      </c>
      <c r="K36" s="54">
        <f>K7+K18+K22+K26+K27+K28+K29+K35</f>
        <v>245825.15000000005</v>
      </c>
      <c r="L36" s="54">
        <f>L7+L18+L22+L26+L27+L28+L29+L35</f>
        <v>157659.96000000002</v>
      </c>
      <c r="M36" s="54">
        <f>M7+M18+M22+M26+M27+M28+M29+M35</f>
        <v>245653.94</v>
      </c>
      <c r="N36" s="55">
        <f>B36+C36+D36+E36+F36+G36+H36+I36+J36+K36+L36+M36</f>
        <v>2168172.25</v>
      </c>
    </row>
    <row r="37" spans="1:14" ht="16">
      <c r="A37" s="41" t="s">
        <v>34</v>
      </c>
      <c r="B37" s="53">
        <v>303.89</v>
      </c>
      <c r="C37" s="53">
        <v>45.0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3">
        <f>B37+C37+D37+E37+F37+G37+H37+I37+J37+K37+L37+M37</f>
        <v>348.89</v>
      </c>
    </row>
    <row r="38" spans="1:14" ht="16">
      <c r="A38" s="41" t="s">
        <v>35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3">
        <v>714.0</v>
      </c>
      <c r="M38" s="52"/>
      <c r="N38" s="53">
        <f>B38+C38+D38+E38+F38+G38+H38+I38+J38+K38+L38+M38</f>
        <v>714.0</v>
      </c>
    </row>
    <row r="39" spans="1:14" ht="16">
      <c r="A39" s="41" t="s">
        <v>36</v>
      </c>
      <c r="B39" s="53">
        <v>20.0</v>
      </c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3">
        <f>B39+C39+D39+E39+F39+G39+H39+I39+J39+K39+L39+M39</f>
        <v>20.0</v>
      </c>
    </row>
    <row r="40" spans="1:14" ht="16">
      <c r="A40" s="48" t="s">
        <v>37</v>
      </c>
      <c r="B40" s="54">
        <f>B6+B36+B37+B38+B39</f>
        <v>208429.09</v>
      </c>
      <c r="C40" s="54">
        <f>C6+C36+C37+C38+C39</f>
        <v>129890.71999999999</v>
      </c>
      <c r="D40" s="54">
        <f>D6+D36+D37+D38+D39</f>
        <v>128347.95999999999</v>
      </c>
      <c r="E40" s="54">
        <f>E6+E36+E37+E38+E39</f>
        <v>143332.22999999998</v>
      </c>
      <c r="F40" s="54">
        <f>F6+F36+F37+F38+F39</f>
        <v>166342.37</v>
      </c>
      <c r="G40" s="54">
        <f>G6+G36+G37+G38+G39</f>
        <v>200186.38999999998</v>
      </c>
      <c r="H40" s="54">
        <f>H6+H36+H37+H38+H39</f>
        <v>185756.33000000002</v>
      </c>
      <c r="I40" s="54">
        <f>I6+I36+I37+I38+I39</f>
        <v>205507.84</v>
      </c>
      <c r="J40" s="54">
        <f>J6+J36+J37+J38+J39</f>
        <v>151609.16</v>
      </c>
      <c r="K40" s="54">
        <f>K6+K36+K37+K38+K39</f>
        <v>245825.15000000005</v>
      </c>
      <c r="L40" s="54">
        <f>L6+L36+L37+L38+L39</f>
        <v>158373.96000000002</v>
      </c>
      <c r="M40" s="54">
        <f>M6+M36+M37+M38+M39</f>
        <v>245653.94</v>
      </c>
      <c r="N40" s="55">
        <f>B40+C40+D40+E40+F40+G40+H40+I40+J40+K40+L40+M40</f>
        <v>2169255.14</v>
      </c>
    </row>
    <row r="41" spans="1:13" ht="16">
      <c r="A41" s="40" t="s">
        <v>38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</row>
    <row r="42" spans="1:14" ht="16">
      <c r="A42" s="41" t="s">
        <v>39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</row>
    <row r="43" spans="1:14" ht="16">
      <c r="A43" s="42" t="s">
        <v>40</v>
      </c>
      <c r="B43" s="53">
        <v>8937.39</v>
      </c>
      <c r="C43" s="53">
        <v>14025.2</v>
      </c>
      <c r="D43" s="53">
        <v>6057.69</v>
      </c>
      <c r="E43" s="53">
        <v>22255.39</v>
      </c>
      <c r="F43" s="53">
        <v>19307.42</v>
      </c>
      <c r="G43" s="53">
        <v>17975.08</v>
      </c>
      <c r="H43" s="53">
        <v>10696.55</v>
      </c>
      <c r="I43" s="53">
        <v>11514.09</v>
      </c>
      <c r="J43" s="53">
        <v>11013.39</v>
      </c>
      <c r="K43" s="53">
        <v>15864.96</v>
      </c>
      <c r="L43" s="53">
        <v>17412.38</v>
      </c>
      <c r="M43" s="53">
        <v>43219.13</v>
      </c>
      <c r="N43" s="53">
        <f>B43+C43+D43+E43+F43+G43+H43+I43+J43+K43+L43+M43</f>
        <v>198278.67</v>
      </c>
    </row>
    <row r="44" spans="1:14" ht="16">
      <c r="A44" s="42" t="s">
        <v>41</v>
      </c>
      <c r="B44" s="53">
        <v>19756.78</v>
      </c>
      <c r="C44" s="53">
        <v>21714.48</v>
      </c>
      <c r="D44" s="53">
        <v>18226.75</v>
      </c>
      <c r="E44" s="53">
        <v>5819.32</v>
      </c>
      <c r="F44" s="53">
        <v>5994.06</v>
      </c>
      <c r="G44" s="53">
        <v>26674.4</v>
      </c>
      <c r="H44" s="53">
        <v>31147.02</v>
      </c>
      <c r="I44" s="53">
        <v>4597.94</v>
      </c>
      <c r="J44" s="53">
        <v>10417.83</v>
      </c>
      <c r="K44" s="53">
        <v>35595.55</v>
      </c>
      <c r="L44" s="53">
        <v>15695.23</v>
      </c>
      <c r="M44" s="53">
        <v>27227.84</v>
      </c>
      <c r="N44" s="53">
        <f>B44+C44+D44+E44+F44+G44+H44+I44+J44+K44+L44+M44</f>
        <v>222867.2</v>
      </c>
    </row>
    <row r="45" spans="1:14" ht="16">
      <c r="A45" s="42" t="s">
        <v>42</v>
      </c>
      <c r="B45" s="53">
        <v>32609.19</v>
      </c>
      <c r="C45" s="53">
        <v>27456.62</v>
      </c>
      <c r="D45" s="53">
        <v>35753.54</v>
      </c>
      <c r="E45" s="53">
        <v>20355.82</v>
      </c>
      <c r="F45" s="53">
        <v>33329.11</v>
      </c>
      <c r="G45" s="53">
        <v>46434.06</v>
      </c>
      <c r="H45" s="53">
        <v>47570.34</v>
      </c>
      <c r="I45" s="53">
        <v>37219.78</v>
      </c>
      <c r="J45" s="53">
        <v>48835.76</v>
      </c>
      <c r="K45" s="53">
        <v>62886.5</v>
      </c>
      <c r="L45" s="53">
        <v>3740.21</v>
      </c>
      <c r="M45" s="53">
        <v>48951.74</v>
      </c>
      <c r="N45" s="53">
        <f>B45+C45+D45+E45+F45+G45+H45+I45+J45+K45+L45+M45</f>
        <v>445142.67000000004</v>
      </c>
    </row>
    <row r="46" spans="1:14" ht="16">
      <c r="A46" s="42" t="s">
        <v>43</v>
      </c>
      <c r="B46" s="53">
        <v>603.41</v>
      </c>
      <c r="C46" s="53">
        <v>4730.09</v>
      </c>
      <c r="D46" s="53">
        <v>17098.94</v>
      </c>
      <c r="E46" s="53">
        <v>13792.17</v>
      </c>
      <c r="F46" s="53">
        <v>12587.82</v>
      </c>
      <c r="G46" s="53">
        <v>24207.49</v>
      </c>
      <c r="H46" s="53">
        <v>31336.38</v>
      </c>
      <c r="I46" s="53">
        <v>9368.95</v>
      </c>
      <c r="J46" s="53">
        <v>23947.89</v>
      </c>
      <c r="K46" s="53">
        <v>14651.23</v>
      </c>
      <c r="L46" s="53">
        <v>18358.27</v>
      </c>
      <c r="M46" s="53">
        <v>23730.71</v>
      </c>
      <c r="N46" s="53">
        <f>B46+C46+D46+E46+F46+G46+H46+I46+J46+K46+L46+M46</f>
        <v>194413.35</v>
      </c>
    </row>
    <row r="47" spans="1:14" ht="16">
      <c r="A47" s="42" t="s">
        <v>44</v>
      </c>
      <c r="B47" s="53">
        <v>3954.28</v>
      </c>
      <c r="C47" s="53">
        <v>1687.42</v>
      </c>
      <c r="D47" s="53">
        <v>3600.0</v>
      </c>
      <c r="E47" s="53">
        <v>644.9</v>
      </c>
      <c r="F47" s="53">
        <v>13309.82</v>
      </c>
      <c r="G47" s="53">
        <v>1000.0</v>
      </c>
      <c r="H47" s="53">
        <v>4566.97</v>
      </c>
      <c r="I47" s="53">
        <v>8625.0</v>
      </c>
      <c r="J47" s="53">
        <v>500.0</v>
      </c>
      <c r="K47" s="52"/>
      <c r="L47" s="53">
        <v>44.11</v>
      </c>
      <c r="M47" s="52"/>
      <c r="N47" s="53">
        <f>B47+C47+D47+E47+F47+G47+H47+I47+J47+K47+L47+M47</f>
        <v>37932.5</v>
      </c>
    </row>
    <row r="48" spans="1:14" ht="16">
      <c r="A48" s="42" t="s">
        <v>45</v>
      </c>
      <c r="B48" s="52"/>
      <c r="C48" s="52"/>
      <c r="D48" s="52"/>
      <c r="E48" s="52"/>
      <c r="F48" s="52"/>
      <c r="G48" s="52"/>
      <c r="H48" s="52"/>
      <c r="I48" s="52"/>
      <c r="J48" s="53">
        <v>-4628.72</v>
      </c>
      <c r="K48" s="53">
        <v>27.24</v>
      </c>
      <c r="L48" s="52"/>
      <c r="M48" s="52"/>
      <c r="N48" s="53">
        <f>B48+C48+D48+E48+F48+G48+H48+I48+J48+K48+L48+M48</f>
        <v>-4601.4800000000005</v>
      </c>
    </row>
    <row r="49" spans="1:14" ht="16">
      <c r="A49" s="42" t="s">
        <v>46</v>
      </c>
      <c r="B49" s="53">
        <v>1019.38</v>
      </c>
      <c r="C49" s="53">
        <v>506.09</v>
      </c>
      <c r="D49" s="53">
        <v>1633.27</v>
      </c>
      <c r="E49" s="53">
        <v>1185.04</v>
      </c>
      <c r="F49" s="53">
        <v>2421.54</v>
      </c>
      <c r="G49" s="53">
        <v>-5175.05</v>
      </c>
      <c r="H49" s="53">
        <v>-1308.29</v>
      </c>
      <c r="I49" s="53">
        <v>5588.3</v>
      </c>
      <c r="J49" s="53">
        <v>3921.07</v>
      </c>
      <c r="K49" s="53">
        <v>5538.99</v>
      </c>
      <c r="L49" s="53">
        <v>14032.93</v>
      </c>
      <c r="M49" s="53">
        <v>4993.99</v>
      </c>
      <c r="N49" s="53">
        <f>B49+C49+D49+E49+F49+G49+H49+I49+J49+K49+L49+M49</f>
        <v>34357.26</v>
      </c>
    </row>
    <row r="50" spans="1:14" ht="16">
      <c r="A50" s="42" t="s">
        <v>47</v>
      </c>
      <c r="B50" s="53">
        <v>1398.83</v>
      </c>
      <c r="C50" s="53">
        <v>1098.3</v>
      </c>
      <c r="D50" s="53">
        <v>462.35</v>
      </c>
      <c r="E50" s="53">
        <v>79.89</v>
      </c>
      <c r="F50" s="53">
        <v>591.06</v>
      </c>
      <c r="G50" s="53">
        <v>376.38</v>
      </c>
      <c r="H50" s="53">
        <v>813.05</v>
      </c>
      <c r="I50" s="53">
        <v>355.34</v>
      </c>
      <c r="J50" s="53">
        <v>1190.43</v>
      </c>
      <c r="K50" s="53">
        <v>1050.32</v>
      </c>
      <c r="L50" s="53">
        <v>1531.11</v>
      </c>
      <c r="M50" s="53">
        <v>1384.46</v>
      </c>
      <c r="N50" s="53">
        <f>B50+C50+D50+E50+F50+G50+H50+I50+J50+K50+L50+M50</f>
        <v>10331.52</v>
      </c>
    </row>
    <row r="51" spans="1:14" ht="16">
      <c r="A51" s="42" t="s">
        <v>48</v>
      </c>
      <c r="B51" s="52"/>
      <c r="C51" s="52"/>
      <c r="D51" s="52"/>
      <c r="E51" s="52"/>
      <c r="F51" s="52"/>
      <c r="G51" s="52"/>
      <c r="H51" s="52"/>
      <c r="I51" s="53">
        <v>87.95</v>
      </c>
      <c r="J51" s="53">
        <v>15.27</v>
      </c>
      <c r="K51" s="53">
        <v>63.55</v>
      </c>
      <c r="L51" s="52"/>
      <c r="M51" s="52"/>
      <c r="N51" s="53">
        <f>B51+C51+D51+E51+F51+G51+H51+I51+J51+K51+L51+M51</f>
        <v>166.76999999999998</v>
      </c>
    </row>
    <row r="52" spans="1:14" ht="16">
      <c r="A52" s="42" t="s">
        <v>49</v>
      </c>
      <c r="B52" s="53">
        <v>65.51</v>
      </c>
      <c r="C52" s="53">
        <v>1240.03</v>
      </c>
      <c r="D52" s="53">
        <v>2475.01</v>
      </c>
      <c r="E52" s="53">
        <v>52.99</v>
      </c>
      <c r="F52" s="53">
        <v>1373.09</v>
      </c>
      <c r="G52" s="53">
        <v>2831.67</v>
      </c>
      <c r="H52" s="53">
        <v>4507.53</v>
      </c>
      <c r="I52" s="53">
        <v>1208.44</v>
      </c>
      <c r="J52" s="53">
        <v>604.32</v>
      </c>
      <c r="K52" s="53">
        <v>2201.19</v>
      </c>
      <c r="L52" s="53">
        <v>1245.38</v>
      </c>
      <c r="M52" s="52"/>
      <c r="N52" s="53">
        <f>B52+C52+D52+E52+F52+G52+H52+I52+J52+K52+L52+M52</f>
        <v>17805.16</v>
      </c>
    </row>
    <row r="53" spans="1:14" ht="16">
      <c r="A53" s="47" t="s">
        <v>50</v>
      </c>
      <c r="B53" s="54">
        <f>B42+B43+B44+B45+B46+B47+B48+B49+B50+B51+B52</f>
        <v>68344.77</v>
      </c>
      <c r="C53" s="54">
        <f>C42+C43+C44+C45+C46+C47+C48+C49+C50+C51+C52</f>
        <v>72458.23</v>
      </c>
      <c r="D53" s="54">
        <f>D42+D43+D44+D45+D46+D47+D48+D49+D50+D51+D52</f>
        <v>85307.55</v>
      </c>
      <c r="E53" s="54">
        <f>E42+E43+E44+E45+E46+E47+E48+E49+E50+E51+E52</f>
        <v>64185.52</v>
      </c>
      <c r="F53" s="54">
        <f>F42+F43+F44+F45+F46+F47+F48+F49+F50+F51+F52</f>
        <v>88913.92</v>
      </c>
      <c r="G53" s="54">
        <f>G42+G43+G44+G45+G46+G47+G48+G49+G50+G51+G52</f>
        <v>114324.03000000001</v>
      </c>
      <c r="H53" s="54">
        <f>H42+H43+H44+H45+H46+H47+H48+H49+H50+H51+H52</f>
        <v>129329.55000000002</v>
      </c>
      <c r="I53" s="54">
        <f>I42+I43+I44+I45+I46+I47+I48+I49+I50+I51+I52</f>
        <v>78565.79</v>
      </c>
      <c r="J53" s="54">
        <f>J42+J43+J44+J45+J46+J47+J48+J49+J50+J51+J52</f>
        <v>95817.24000000002</v>
      </c>
      <c r="K53" s="54">
        <f>K42+K43+K44+K45+K46+K47+K48+K49+K50+K51+K52</f>
        <v>137879.53</v>
      </c>
      <c r="L53" s="54">
        <f>L42+L43+L44+L45+L46+L47+L48+L49+L50+L51+L52</f>
        <v>72059.62000000001</v>
      </c>
      <c r="M53" s="54">
        <f>M42+M43+M44+M45+M46+M47+M48+M49+M50+M51+M52</f>
        <v>149507.86999999997</v>
      </c>
      <c r="N53" s="55">
        <f>B53+C53+D53+E53+F53+G53+H53+I53+J53+K53+L53+M53</f>
        <v>1156693.62</v>
      </c>
    </row>
    <row r="54" spans="1:14" ht="16">
      <c r="A54" s="41" t="s">
        <v>38</v>
      </c>
      <c r="B54" s="52"/>
      <c r="C54" s="57">
        <v>0</v>
      </c>
      <c r="D54" s="52"/>
      <c r="E54" s="52"/>
      <c r="F54" s="57">
        <v>0</v>
      </c>
      <c r="G54" s="52"/>
      <c r="H54" s="52"/>
      <c r="I54" s="52"/>
      <c r="J54" s="53">
        <v>-207.34</v>
      </c>
      <c r="K54" s="53">
        <v>7940.16</v>
      </c>
      <c r="L54" s="53">
        <v>50314.97</v>
      </c>
      <c r="M54" s="53">
        <v>-704.34</v>
      </c>
      <c r="N54" s="53">
        <f>B54+C54+D54+E54+F54+G54+H54+I54+J54+K54+L54+M54</f>
        <v>57343.450000000004</v>
      </c>
    </row>
    <row r="55" spans="1:14" ht="16">
      <c r="A55" s="48" t="s">
        <v>51</v>
      </c>
      <c r="B55" s="54">
        <f>B41+B53+B54</f>
        <v>68344.77</v>
      </c>
      <c r="C55" s="54">
        <f>C41+C53+C54</f>
        <v>72458.23</v>
      </c>
      <c r="D55" s="54">
        <f>D41+D53+D54</f>
        <v>85307.55</v>
      </c>
      <c r="E55" s="54">
        <f>E41+E53+E54</f>
        <v>64185.52</v>
      </c>
      <c r="F55" s="54">
        <f>F41+F53+F54</f>
        <v>88913.92</v>
      </c>
      <c r="G55" s="54">
        <f>G41+G53+G54</f>
        <v>114324.03000000001</v>
      </c>
      <c r="H55" s="54">
        <f>H41+H53+H54</f>
        <v>129329.55000000002</v>
      </c>
      <c r="I55" s="54">
        <f>I41+I53+I54</f>
        <v>78565.79</v>
      </c>
      <c r="J55" s="54">
        <f>J41+J53+J54</f>
        <v>95609.90000000002</v>
      </c>
      <c r="K55" s="54">
        <f>K41+K53+K54</f>
        <v>145819.69</v>
      </c>
      <c r="L55" s="54">
        <f>L41+L53+L54</f>
        <v>122374.59000000001</v>
      </c>
      <c r="M55" s="54">
        <f>M41+M53+M54</f>
        <v>148803.52999999997</v>
      </c>
      <c r="N55" s="55">
        <f>B55+C55+D55+E55+F55+G55+H55+I55+J55+K55+L55+M55</f>
        <v>1214037.0700000003</v>
      </c>
    </row>
    <row r="56" spans="1:14" ht="16">
      <c r="A56" s="48" t="s">
        <v>52</v>
      </c>
      <c r="B56" s="54">
        <f>B40-B55</f>
        <v>140084.32</v>
      </c>
      <c r="C56" s="54">
        <f>C40-C55</f>
        <v>57432.48999999999</v>
      </c>
      <c r="D56" s="54">
        <f>D40-D55</f>
        <v>43040.40999999999</v>
      </c>
      <c r="E56" s="54">
        <f>E40-E55</f>
        <v>79146.70999999999</v>
      </c>
      <c r="F56" s="54">
        <f>F40-F55</f>
        <v>77428.45</v>
      </c>
      <c r="G56" s="54">
        <f>G40-G55</f>
        <v>85862.35999999997</v>
      </c>
      <c r="H56" s="54">
        <f>H40-H55</f>
        <v>56426.78</v>
      </c>
      <c r="I56" s="54">
        <f>I40-I55</f>
        <v>126942.05</v>
      </c>
      <c r="J56" s="54">
        <f>J40-J55</f>
        <v>55999.25999999998</v>
      </c>
      <c r="K56" s="54">
        <f>K40-K55</f>
        <v>100005.46000000005</v>
      </c>
      <c r="L56" s="54">
        <f>L40-L55</f>
        <v>35999.37000000001</v>
      </c>
      <c r="M56" s="54">
        <f>M40-M55</f>
        <v>96850.41000000003</v>
      </c>
      <c r="N56" s="55">
        <f>B56+C56+D56+E56+F56+G56+H56+I56+J56+K56+L56+M56</f>
        <v>955218.0700000001</v>
      </c>
    </row>
    <row r="57" spans="1:13" ht="16">
      <c r="A57" s="40" t="s">
        <v>53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</row>
    <row r="58" spans="1:14" ht="16">
      <c r="A58" s="41" t="s">
        <v>54</v>
      </c>
      <c r="B58" s="53">
        <v>1750.0</v>
      </c>
      <c r="C58" s="53">
        <v>1750.0</v>
      </c>
      <c r="D58" s="53">
        <v>3250.0</v>
      </c>
      <c r="E58" s="53">
        <v>7816.02</v>
      </c>
      <c r="F58" s="53">
        <v>13502.01</v>
      </c>
      <c r="G58" s="53">
        <v>5055.4</v>
      </c>
      <c r="H58" s="53">
        <v>3150.66</v>
      </c>
      <c r="I58" s="53">
        <v>2882.04</v>
      </c>
      <c r="J58" s="53">
        <v>1884.71</v>
      </c>
      <c r="K58" s="53">
        <v>2441.3</v>
      </c>
      <c r="L58" s="53">
        <v>4015.95</v>
      </c>
      <c r="M58" s="53">
        <v>2556.72</v>
      </c>
      <c r="N58" s="53">
        <f>B58+C58+D58+E58+F58+G58+H58+I58+J58+K58+L58+M58</f>
        <v>50054.81</v>
      </c>
    </row>
    <row r="59" spans="1:14" ht="16">
      <c r="A59" s="42" t="s">
        <v>55</v>
      </c>
      <c r="B59" s="53">
        <v>927.05</v>
      </c>
      <c r="C59" s="53">
        <v>601.74</v>
      </c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3">
        <f>B59+C59+D59+E59+F59+G59+H59+I59+J59+K59+L59+M59</f>
        <v>1528.79</v>
      </c>
    </row>
    <row r="60" spans="1:14" ht="16">
      <c r="A60" s="42" t="s">
        <v>56</v>
      </c>
      <c r="B60" s="52"/>
      <c r="C60" s="53">
        <v>1066.98</v>
      </c>
      <c r="D60" s="53">
        <v>954.11</v>
      </c>
      <c r="E60" s="53">
        <v>1496.2</v>
      </c>
      <c r="F60" s="53">
        <v>634.76</v>
      </c>
      <c r="G60" s="53">
        <v>1464.5</v>
      </c>
      <c r="H60" s="53">
        <v>368.86</v>
      </c>
      <c r="I60" s="53">
        <v>1373.04</v>
      </c>
      <c r="J60" s="53">
        <v>593.48</v>
      </c>
      <c r="K60" s="53">
        <v>2227.61</v>
      </c>
      <c r="L60" s="53">
        <v>3571.55</v>
      </c>
      <c r="M60" s="53">
        <v>1002.14</v>
      </c>
      <c r="N60" s="53">
        <f>B60+C60+D60+E60+F60+G60+H60+I60+J60+K60+L60+M60</f>
        <v>14753.23</v>
      </c>
    </row>
    <row r="61" spans="1:14" ht="16">
      <c r="A61" s="42" t="s">
        <v>57</v>
      </c>
      <c r="B61" s="53">
        <v>2610.0</v>
      </c>
      <c r="C61" s="52"/>
      <c r="D61" s="53">
        <v>210.28</v>
      </c>
      <c r="E61" s="52"/>
      <c r="F61" s="52"/>
      <c r="G61" s="52"/>
      <c r="H61" s="52"/>
      <c r="I61" s="53">
        <v>256.34</v>
      </c>
      <c r="J61" s="52"/>
      <c r="K61" s="52"/>
      <c r="L61" s="53">
        <v>825.58</v>
      </c>
      <c r="M61" s="53">
        <v>1045.54</v>
      </c>
      <c r="N61" s="53">
        <f>B61+C61+D61+E61+F61+G61+H61+I61+J61+K61+L61+M61</f>
        <v>4947.74</v>
      </c>
    </row>
    <row r="62" spans="1:14" ht="16">
      <c r="A62" s="42" t="s">
        <v>58</v>
      </c>
      <c r="B62" s="53">
        <v>1160.03</v>
      </c>
      <c r="C62" s="53">
        <v>572.63</v>
      </c>
      <c r="D62" s="53">
        <v>60.14</v>
      </c>
      <c r="E62" s="53">
        <v>412.68</v>
      </c>
      <c r="F62" s="53">
        <v>508.04</v>
      </c>
      <c r="G62" s="52"/>
      <c r="H62" s="52"/>
      <c r="I62" s="52"/>
      <c r="J62" s="52"/>
      <c r="K62" s="52"/>
      <c r="L62" s="52"/>
      <c r="M62" s="52"/>
      <c r="N62" s="53">
        <f>B62+C62+D62+E62+F62+G62+H62+I62+J62+K62+L62+M62</f>
        <v>2713.52</v>
      </c>
    </row>
    <row r="63" spans="1:14" ht="16">
      <c r="A63" s="42" t="s">
        <v>59</v>
      </c>
      <c r="B63" s="53">
        <v>2251.69</v>
      </c>
      <c r="C63" s="53">
        <v>9704.08</v>
      </c>
      <c r="D63" s="53">
        <v>-645.44</v>
      </c>
      <c r="E63" s="53">
        <v>-5906.48</v>
      </c>
      <c r="F63" s="53">
        <v>1240.09</v>
      </c>
      <c r="G63" s="53">
        <v>1810.32</v>
      </c>
      <c r="H63" s="53">
        <v>-338.45</v>
      </c>
      <c r="I63" s="53">
        <v>463.44</v>
      </c>
      <c r="J63" s="53">
        <v>566.33</v>
      </c>
      <c r="K63" s="53">
        <v>-1106.0</v>
      </c>
      <c r="L63" s="53">
        <v>374.13</v>
      </c>
      <c r="M63" s="53">
        <v>85.54</v>
      </c>
      <c r="N63" s="53">
        <f>B63+C63+D63+E63+F63+G63+H63+I63+J63+K63+L63+M63</f>
        <v>8499.25</v>
      </c>
    </row>
    <row r="64" spans="1:14" ht="16">
      <c r="A64" s="42" t="s">
        <v>60</v>
      </c>
      <c r="B64" s="53">
        <v>1035.27</v>
      </c>
      <c r="C64" s="53">
        <v>1342.48</v>
      </c>
      <c r="D64" s="53">
        <v>769.25</v>
      </c>
      <c r="E64" s="53">
        <v>376.6</v>
      </c>
      <c r="F64" s="53">
        <v>348.26</v>
      </c>
      <c r="G64" s="53">
        <v>732.71</v>
      </c>
      <c r="H64" s="53">
        <v>829.4</v>
      </c>
      <c r="I64" s="53">
        <v>409.9</v>
      </c>
      <c r="J64" s="53">
        <v>450.45</v>
      </c>
      <c r="K64" s="53">
        <v>366.15</v>
      </c>
      <c r="L64" s="53">
        <v>879.46</v>
      </c>
      <c r="M64" s="53">
        <v>897.08</v>
      </c>
      <c r="N64" s="53">
        <f>B64+C64+D64+E64+F64+G64+H64+I64+J64+K64+L64+M64</f>
        <v>8437.009999999998</v>
      </c>
    </row>
    <row r="65" spans="1:14" ht="16">
      <c r="A65" s="43" t="s">
        <v>61</v>
      </c>
      <c r="B65" s="53">
        <v>598.33</v>
      </c>
      <c r="C65" s="53">
        <v>554.06</v>
      </c>
      <c r="D65" s="53">
        <v>329.9</v>
      </c>
      <c r="E65" s="53">
        <v>430.04</v>
      </c>
      <c r="F65" s="53">
        <v>48.97</v>
      </c>
      <c r="G65" s="53">
        <v>1147.17</v>
      </c>
      <c r="H65" s="53">
        <v>8570.34</v>
      </c>
      <c r="I65" s="53">
        <v>3015.82</v>
      </c>
      <c r="J65" s="53">
        <v>6962.05</v>
      </c>
      <c r="K65" s="53">
        <v>996.39</v>
      </c>
      <c r="L65" s="53">
        <v>856.75</v>
      </c>
      <c r="M65" s="53">
        <v>1211.25</v>
      </c>
      <c r="N65" s="53">
        <f>B65+C65+D65+E65+F65+G65+H65+I65+J65+K65+L65+M65</f>
        <v>24721.07</v>
      </c>
    </row>
    <row r="66" spans="1:14" ht="16">
      <c r="A66" s="44" t="s">
        <v>62</v>
      </c>
      <c r="B66" s="54">
        <f>B64+B65</f>
        <v>1633.6</v>
      </c>
      <c r="C66" s="54">
        <f>C64+C65</f>
        <v>1896.54</v>
      </c>
      <c r="D66" s="54">
        <f>D64+D65</f>
        <v>1099.15</v>
      </c>
      <c r="E66" s="54">
        <f>E64+E65</f>
        <v>806.6400000000001</v>
      </c>
      <c r="F66" s="54">
        <f>F64+F65</f>
        <v>397.23</v>
      </c>
      <c r="G66" s="54">
        <f>G64+G65</f>
        <v>1879.88</v>
      </c>
      <c r="H66" s="54">
        <f>H64+H65</f>
        <v>9399.74</v>
      </c>
      <c r="I66" s="54">
        <f>I64+I65</f>
        <v>3425.7200000000003</v>
      </c>
      <c r="J66" s="54">
        <f>J64+J65</f>
        <v>7412.5</v>
      </c>
      <c r="K66" s="54">
        <f>K64+K65</f>
        <v>1362.54</v>
      </c>
      <c r="L66" s="54">
        <f>L64+L65</f>
        <v>1736.21</v>
      </c>
      <c r="M66" s="54">
        <f>M64+M65</f>
        <v>2108.33</v>
      </c>
      <c r="N66" s="55">
        <f>B66+C66+D66+E66+F66+G66+H66+I66+J66+K66+L66+M66</f>
        <v>33158.08</v>
      </c>
    </row>
    <row r="67" spans="1:14" ht="16">
      <c r="A67" s="42" t="s">
        <v>63</v>
      </c>
      <c r="B67" s="53">
        <v>1069.76</v>
      </c>
      <c r="C67" s="53">
        <v>1252.33</v>
      </c>
      <c r="D67" s="53">
        <v>1533.55</v>
      </c>
      <c r="E67" s="53">
        <v>1590.19</v>
      </c>
      <c r="F67" s="53">
        <v>117.99</v>
      </c>
      <c r="G67" s="53">
        <v>666.14</v>
      </c>
      <c r="H67" s="53">
        <v>884.17</v>
      </c>
      <c r="I67" s="53">
        <v>756.44</v>
      </c>
      <c r="J67" s="53">
        <v>804.06</v>
      </c>
      <c r="K67" s="53">
        <v>1292.83</v>
      </c>
      <c r="L67" s="53">
        <v>299.85</v>
      </c>
      <c r="M67" s="53">
        <v>243.81</v>
      </c>
      <c r="N67" s="53">
        <f>B67+C67+D67+E67+F67+G67+H67+I67+J67+K67+L67+M67</f>
        <v>10511.119999999999</v>
      </c>
    </row>
    <row r="68" spans="1:14" ht="16">
      <c r="A68" s="47" t="s">
        <v>64</v>
      </c>
      <c r="B68" s="54">
        <f>B58+B59+B60+B61+B62+B63+B66+B67</f>
        <v>11402.130000000001</v>
      </c>
      <c r="C68" s="54">
        <f>C58+C59+C60+C61+C62+C63+C66+C67</f>
        <v>16844.300000000003</v>
      </c>
      <c r="D68" s="54">
        <f>D58+D59+D60+D61+D62+D63+D66+D67</f>
        <v>6461.79</v>
      </c>
      <c r="E68" s="54">
        <f>E58+E59+E60+E61+E62+E63+E66+E67</f>
        <v>6215.250000000002</v>
      </c>
      <c r="F68" s="54">
        <f>F58+F59+F60+F61+F62+F63+F66+F67</f>
        <v>16400.120000000003</v>
      </c>
      <c r="G68" s="54">
        <f>G58+G59+G60+G61+G62+G63+G66+G67</f>
        <v>10876.239999999998</v>
      </c>
      <c r="H68" s="54">
        <f>H58+H59+H60+H61+H62+H63+H66+H67</f>
        <v>13464.98</v>
      </c>
      <c r="I68" s="54">
        <f>I58+I59+I60+I61+I62+I63+I66+I67</f>
        <v>9157.02</v>
      </c>
      <c r="J68" s="54">
        <f>J58+J59+J60+J61+J62+J63+J66+J67</f>
        <v>11261.08</v>
      </c>
      <c r="K68" s="54">
        <f>K58+K59+K60+K61+K62+K63+K66+K67</f>
        <v>6218.28</v>
      </c>
      <c r="L68" s="54">
        <f>L58+L59+L60+L61+L62+L63+L66+L67</f>
        <v>10823.269999999999</v>
      </c>
      <c r="M68" s="54">
        <f>M58+M59+M60+M61+M62+M63+M66+M67</f>
        <v>7042.08</v>
      </c>
      <c r="N68" s="55">
        <f>B68+C68+D68+E68+F68+G68+H68+I68+J68+K68+L68+M68</f>
        <v>126166.54000000001</v>
      </c>
    </row>
    <row r="69" spans="1:14" ht="16">
      <c r="A69" s="41" t="s">
        <v>65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</row>
    <row r="70" spans="1:14" ht="16">
      <c r="A70" s="42" t="s">
        <v>66</v>
      </c>
      <c r="B70" s="52"/>
      <c r="C70" s="53">
        <v>2560.0</v>
      </c>
      <c r="D70" s="53">
        <v>5120.0</v>
      </c>
      <c r="E70" s="53">
        <v>2560.0</v>
      </c>
      <c r="F70" s="52"/>
      <c r="G70" s="53">
        <v>2692.0</v>
      </c>
      <c r="H70" s="53">
        <v>5912.0</v>
      </c>
      <c r="I70" s="52"/>
      <c r="J70" s="53">
        <v>5479.2</v>
      </c>
      <c r="K70" s="53">
        <v>95.2</v>
      </c>
      <c r="L70" s="53">
        <v>7666.08</v>
      </c>
      <c r="M70" s="52"/>
      <c r="N70" s="53">
        <f>B70+C70+D70+E70+F70+G70+H70+I70+J70+K70+L70+M70</f>
        <v>32084.480000000003</v>
      </c>
    </row>
    <row r="71" spans="1:14" ht="16">
      <c r="A71" s="42" t="s">
        <v>67</v>
      </c>
      <c r="B71" s="53">
        <v>737.86</v>
      </c>
      <c r="C71" s="53">
        <v>101.79</v>
      </c>
      <c r="D71" s="53">
        <v>324.7</v>
      </c>
      <c r="E71" s="53">
        <v>1244.73</v>
      </c>
      <c r="F71" s="53">
        <v>1237.28</v>
      </c>
      <c r="G71" s="53">
        <v>1661.53</v>
      </c>
      <c r="H71" s="53">
        <v>664.54</v>
      </c>
      <c r="I71" s="53">
        <v>1215.89</v>
      </c>
      <c r="J71" s="53">
        <v>433.57</v>
      </c>
      <c r="K71" s="53">
        <v>2728.64</v>
      </c>
      <c r="L71" s="53">
        <v>1642.41</v>
      </c>
      <c r="M71" s="53">
        <v>5266.28</v>
      </c>
      <c r="N71" s="53">
        <f>B71+C71+D71+E71+F71+G71+H71+I71+J71+K71+L71+M71</f>
        <v>17259.219999999998</v>
      </c>
    </row>
    <row r="72" spans="1:14" ht="16">
      <c r="A72" s="43" t="s">
        <v>68</v>
      </c>
      <c r="B72" s="53">
        <v>887.35</v>
      </c>
      <c r="C72" s="53">
        <v>983.85</v>
      </c>
      <c r="D72" s="53">
        <v>462.44</v>
      </c>
      <c r="E72" s="53">
        <v>304.32</v>
      </c>
      <c r="F72" s="53">
        <v>614.6</v>
      </c>
      <c r="G72" s="53">
        <v>594.84</v>
      </c>
      <c r="H72" s="53">
        <v>483.11</v>
      </c>
      <c r="I72" s="53">
        <v>122.69</v>
      </c>
      <c r="J72" s="52"/>
      <c r="K72" s="52"/>
      <c r="L72" s="52"/>
      <c r="M72" s="52"/>
      <c r="N72" s="53">
        <f>B72+C72+D72+E72+F72+G72+H72+I72+J72+K72+L72+M72</f>
        <v>4453.2</v>
      </c>
    </row>
    <row r="73" spans="1:14" ht="16">
      <c r="A73" s="43" t="s">
        <v>69</v>
      </c>
      <c r="B73" s="53">
        <v>183.64</v>
      </c>
      <c r="C73" s="53">
        <v>957.91</v>
      </c>
      <c r="D73" s="53">
        <v>163.59</v>
      </c>
      <c r="E73" s="53">
        <v>58.35</v>
      </c>
      <c r="F73" s="53">
        <v>259.25</v>
      </c>
      <c r="G73" s="53">
        <v>421.57</v>
      </c>
      <c r="H73" s="53">
        <v>346.35</v>
      </c>
      <c r="I73" s="53">
        <v>700.18</v>
      </c>
      <c r="J73" s="53">
        <v>1342.61</v>
      </c>
      <c r="K73" s="53">
        <v>396.32</v>
      </c>
      <c r="L73" s="53">
        <v>1083.33</v>
      </c>
      <c r="M73" s="53">
        <v>1256.27</v>
      </c>
      <c r="N73" s="53">
        <f>B73+C73+D73+E73+F73+G73+H73+I73+J73+K73+L73+M73</f>
        <v>7169.369999999999</v>
      </c>
    </row>
    <row r="74" spans="1:14" ht="16">
      <c r="A74" s="44" t="s">
        <v>70</v>
      </c>
      <c r="B74" s="54">
        <f>B71+B72+B73</f>
        <v>1808.85</v>
      </c>
      <c r="C74" s="54">
        <f>C71+C72+C73</f>
        <v>2043.5500000000002</v>
      </c>
      <c r="D74" s="54">
        <f>D71+D72+D73</f>
        <v>950.73</v>
      </c>
      <c r="E74" s="54">
        <f>E71+E72+E73</f>
        <v>1607.3999999999999</v>
      </c>
      <c r="F74" s="54">
        <f>F71+F72+F73</f>
        <v>2111.13</v>
      </c>
      <c r="G74" s="54">
        <f>G71+G72+G73</f>
        <v>2677.94</v>
      </c>
      <c r="H74" s="54">
        <f>H71+H72+H73</f>
        <v>1494.0</v>
      </c>
      <c r="I74" s="54">
        <f>I71+I72+I73</f>
        <v>2038.7600000000002</v>
      </c>
      <c r="J74" s="54">
        <f>J71+J72+J73</f>
        <v>1776.1799999999998</v>
      </c>
      <c r="K74" s="54">
        <f>K71+K72+K73</f>
        <v>3124.96</v>
      </c>
      <c r="L74" s="54">
        <f>L71+L72+L73</f>
        <v>2725.74</v>
      </c>
      <c r="M74" s="54">
        <f>M71+M72+M73</f>
        <v>6522.549999999999</v>
      </c>
      <c r="N74" s="55">
        <f>B74+C74+D74+E74+F74+G74+H74+I74+J74+K74+L74+M74</f>
        <v>28881.789999999997</v>
      </c>
    </row>
    <row r="75" spans="1:14" ht="16">
      <c r="A75" s="42" t="s">
        <v>71</v>
      </c>
      <c r="B75" s="53">
        <v>326.04</v>
      </c>
      <c r="C75" s="53">
        <v>284.81</v>
      </c>
      <c r="D75" s="53">
        <v>566.22</v>
      </c>
      <c r="E75" s="53">
        <v>284.67</v>
      </c>
      <c r="F75" s="53">
        <v>284.67</v>
      </c>
      <c r="G75" s="53">
        <v>244.61</v>
      </c>
      <c r="H75" s="53">
        <v>284.61</v>
      </c>
      <c r="I75" s="53">
        <v>267.05</v>
      </c>
      <c r="J75" s="53">
        <v>267.38</v>
      </c>
      <c r="K75" s="53">
        <v>267.39</v>
      </c>
      <c r="L75" s="53">
        <v>636.61</v>
      </c>
      <c r="M75" s="53">
        <v>1052.05</v>
      </c>
      <c r="N75" s="53">
        <f>B75+C75+D75+E75+F75+G75+H75+I75+J75+K75+L75+M75</f>
        <v>4766.110000000001</v>
      </c>
    </row>
    <row r="76" spans="1:14" ht="16">
      <c r="A76" s="42" t="s">
        <v>72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</row>
    <row r="77" spans="1:14" ht="16">
      <c r="A77" s="43" t="s">
        <v>73</v>
      </c>
      <c r="B77" s="53">
        <v>388.35</v>
      </c>
      <c r="C77" s="53">
        <v>9.95</v>
      </c>
      <c r="D77" s="53">
        <v>9.95</v>
      </c>
      <c r="E77" s="53">
        <v>9.95</v>
      </c>
      <c r="F77" s="53">
        <v>32.95</v>
      </c>
      <c r="G77" s="53">
        <v>94.95</v>
      </c>
      <c r="H77" s="53">
        <v>248.37</v>
      </c>
      <c r="I77" s="53">
        <v>258.32</v>
      </c>
      <c r="J77" s="53">
        <v>140.86</v>
      </c>
      <c r="K77" s="53">
        <v>270.06</v>
      </c>
      <c r="L77" s="53">
        <v>153.86</v>
      </c>
      <c r="M77" s="53">
        <v>153.86</v>
      </c>
      <c r="N77" s="53">
        <f>B77+C77+D77+E77+F77+G77+H77+I77+J77+K77+L77+M77</f>
        <v>1771.4300000000003</v>
      </c>
    </row>
    <row r="78" spans="1:14" ht="16">
      <c r="A78" s="43" t="s">
        <v>74</v>
      </c>
      <c r="B78" s="53">
        <v>12.0</v>
      </c>
      <c r="C78" s="53">
        <v>15.0</v>
      </c>
      <c r="D78" s="53">
        <v>15.0</v>
      </c>
      <c r="E78" s="53">
        <v>9.0</v>
      </c>
      <c r="F78" s="53">
        <v>22.63</v>
      </c>
      <c r="G78" s="53">
        <v>12.0</v>
      </c>
      <c r="H78" s="53">
        <v>9.0</v>
      </c>
      <c r="I78" s="53">
        <v>9.0</v>
      </c>
      <c r="J78" s="53">
        <v>9.0</v>
      </c>
      <c r="K78" s="53">
        <v>12.0</v>
      </c>
      <c r="L78" s="52"/>
      <c r="M78" s="53">
        <v>9.0</v>
      </c>
      <c r="N78" s="53">
        <f>B78+C78+D78+E78+F78+G78+H78+I78+J78+K78+L78+M78</f>
        <v>133.63</v>
      </c>
    </row>
    <row r="79" spans="1:14" ht="16">
      <c r="A79" s="43" t="s">
        <v>75</v>
      </c>
      <c r="B79" s="52"/>
      <c r="C79" s="53">
        <v>20.98</v>
      </c>
      <c r="D79" s="52"/>
      <c r="E79" s="53">
        <v>154.49</v>
      </c>
      <c r="F79" s="53">
        <v>-1.75</v>
      </c>
      <c r="G79" s="53">
        <v>372.12</v>
      </c>
      <c r="H79" s="53">
        <v>30.75</v>
      </c>
      <c r="I79" s="52"/>
      <c r="J79" s="52"/>
      <c r="K79" s="52"/>
      <c r="L79" s="52"/>
      <c r="M79" s="52"/>
      <c r="N79" s="53">
        <f>B79+C79+D79+E79+F79+G79+H79+I79+J79+K79+L79+M79</f>
        <v>576.59</v>
      </c>
    </row>
    <row r="80" spans="1:14" ht="16">
      <c r="A80" s="43" t="s">
        <v>76</v>
      </c>
      <c r="B80" s="52"/>
      <c r="C80" s="52"/>
      <c r="D80" s="52"/>
      <c r="E80" s="52"/>
      <c r="F80" s="52"/>
      <c r="G80" s="52"/>
      <c r="H80" s="52"/>
      <c r="I80" s="57">
        <v>0</v>
      </c>
      <c r="J80" s="52"/>
      <c r="K80" s="52"/>
      <c r="L80" s="52"/>
      <c r="M80" s="52"/>
      <c r="N80" s="57">
        <f>B80+C80+D80+E80+F80+G80+H80+I80+J80+K80+L80+M80</f>
        <v>0.0</v>
      </c>
    </row>
    <row r="81" spans="1:14" ht="16">
      <c r="A81" s="44" t="s">
        <v>77</v>
      </c>
      <c r="B81" s="54">
        <f>B76+B77+B78+B79+B80</f>
        <v>400.35</v>
      </c>
      <c r="C81" s="54">
        <f>C76+C77+C78+C79+C80</f>
        <v>45.93</v>
      </c>
      <c r="D81" s="54">
        <f>D76+D77+D78+D79+D80</f>
        <v>24.95</v>
      </c>
      <c r="E81" s="54">
        <f>E76+E77+E78+E79+E80</f>
        <v>173.44</v>
      </c>
      <c r="F81" s="54">
        <f>F76+F77+F78+F79+F80</f>
        <v>53.83</v>
      </c>
      <c r="G81" s="54">
        <f>G76+G77+G78+G79+G80</f>
        <v>479.07</v>
      </c>
      <c r="H81" s="54">
        <f>H76+H77+H78+H79+H80</f>
        <v>288.12</v>
      </c>
      <c r="I81" s="54">
        <f>I76+I77+I78+I79+I80</f>
        <v>267.32</v>
      </c>
      <c r="J81" s="54">
        <f>J76+J77+J78+J79+J80</f>
        <v>149.86</v>
      </c>
      <c r="K81" s="54">
        <f>K76+K77+K78+K79+K80</f>
        <v>282.06</v>
      </c>
      <c r="L81" s="54">
        <f>L76+L77+L78+L79+L80</f>
        <v>153.86</v>
      </c>
      <c r="M81" s="54">
        <f>M76+M77+M78+M79+M80</f>
        <v>162.86</v>
      </c>
      <c r="N81" s="55">
        <f>B81+C81+D81+E81+F81+G81+H81+I81+J81+K81+L81+M81</f>
        <v>2481.65</v>
      </c>
    </row>
    <row r="82" spans="1:14" ht="16">
      <c r="A82" s="42" t="s">
        <v>78</v>
      </c>
      <c r="B82" s="53">
        <v>562.71</v>
      </c>
      <c r="C82" s="53">
        <v>2805.42</v>
      </c>
      <c r="D82" s="53">
        <v>274.8</v>
      </c>
      <c r="E82" s="53">
        <v>259.57</v>
      </c>
      <c r="F82" s="53">
        <v>1749.98</v>
      </c>
      <c r="G82" s="53">
        <v>254.5</v>
      </c>
      <c r="H82" s="53">
        <v>2231.84</v>
      </c>
      <c r="I82" s="53">
        <v>337.41</v>
      </c>
      <c r="J82" s="53">
        <v>654.07</v>
      </c>
      <c r="K82" s="53">
        <v>108.99</v>
      </c>
      <c r="L82" s="53">
        <v>293.87</v>
      </c>
      <c r="M82" s="53">
        <v>299.73</v>
      </c>
      <c r="N82" s="53">
        <f>B82+C82+D82+E82+F82+G82+H82+I82+J82+K82+L82+M82</f>
        <v>9832.890000000001</v>
      </c>
    </row>
    <row r="83" spans="1:14" ht="16">
      <c r="A83" s="42" t="s">
        <v>79</v>
      </c>
      <c r="B83" s="52"/>
      <c r="C83" s="52"/>
      <c r="D83" s="52"/>
      <c r="E83" s="52"/>
      <c r="F83" s="52"/>
      <c r="G83" s="52"/>
      <c r="H83" s="52"/>
      <c r="I83" s="52"/>
      <c r="J83" s="53">
        <v>87.65</v>
      </c>
      <c r="K83" s="53">
        <v>460.57</v>
      </c>
      <c r="L83" s="53">
        <v>421.04</v>
      </c>
      <c r="M83" s="53">
        <v>421.04</v>
      </c>
      <c r="N83" s="53">
        <f>B83+C83+D83+E83+F83+G83+H83+I83+J83+K83+L83+M83</f>
        <v>1390.3</v>
      </c>
    </row>
    <row r="84" spans="1:14" ht="16">
      <c r="A84" s="43" t="s">
        <v>80</v>
      </c>
      <c r="B84" s="53">
        <v>599.36</v>
      </c>
      <c r="C84" s="53">
        <v>1261.01</v>
      </c>
      <c r="D84" s="53">
        <v>701.03</v>
      </c>
      <c r="E84" s="53">
        <v>701.03</v>
      </c>
      <c r="F84" s="53">
        <v>701.03</v>
      </c>
      <c r="G84" s="53">
        <v>766.03</v>
      </c>
      <c r="H84" s="53">
        <v>701.03</v>
      </c>
      <c r="I84" s="52"/>
      <c r="J84" s="53">
        <v>652.8</v>
      </c>
      <c r="K84" s="53">
        <v>652.12</v>
      </c>
      <c r="L84" s="53">
        <v>649.12</v>
      </c>
      <c r="M84" s="53">
        <v>642.03</v>
      </c>
      <c r="N84" s="53">
        <f>B84+C84+D84+E84+F84+G84+H84+I84+J84+K84+L84+M84</f>
        <v>8026.589999999998</v>
      </c>
    </row>
    <row r="85" spans="1:14" ht="16">
      <c r="A85" s="43" t="s">
        <v>81</v>
      </c>
      <c r="B85" s="52"/>
      <c r="C85" s="52"/>
      <c r="D85" s="52"/>
      <c r="E85" s="53">
        <v>92.53</v>
      </c>
      <c r="F85" s="52"/>
      <c r="G85" s="53">
        <v>108.78</v>
      </c>
      <c r="H85" s="52"/>
      <c r="I85" s="52"/>
      <c r="J85" s="52"/>
      <c r="K85" s="52"/>
      <c r="L85" s="52"/>
      <c r="M85" s="52"/>
      <c r="N85" s="53">
        <f>B85+C85+D85+E85+F85+G85+H85+I85+J85+K85+L85+M85</f>
        <v>201.31</v>
      </c>
    </row>
    <row r="86" spans="1:14" ht="16">
      <c r="A86" s="43" t="s">
        <v>82</v>
      </c>
      <c r="B86" s="53">
        <v>601.84</v>
      </c>
      <c r="C86" s="53">
        <v>601.84</v>
      </c>
      <c r="D86" s="53">
        <v>902.76</v>
      </c>
      <c r="E86" s="53">
        <v>902.76</v>
      </c>
      <c r="F86" s="53">
        <v>902.76</v>
      </c>
      <c r="G86" s="53">
        <v>902.76</v>
      </c>
      <c r="H86" s="53">
        <v>902.76</v>
      </c>
      <c r="I86" s="53">
        <v>902.76</v>
      </c>
      <c r="J86" s="53">
        <v>902.76</v>
      </c>
      <c r="K86" s="53">
        <v>767.35</v>
      </c>
      <c r="L86" s="53">
        <v>902.76</v>
      </c>
      <c r="M86" s="53">
        <v>982.47</v>
      </c>
      <c r="N86" s="53">
        <f>B86+C86+D86+E86+F86+G86+H86+I86+J86+K86+L86+M86</f>
        <v>10175.58</v>
      </c>
    </row>
    <row r="87" spans="1:14" ht="16">
      <c r="A87" s="44" t="s">
        <v>83</v>
      </c>
      <c r="B87" s="54">
        <f>B83+B84+B85+B86</f>
        <v>1201.2</v>
      </c>
      <c r="C87" s="54">
        <f>C83+C84+C85+C86</f>
        <v>1862.85</v>
      </c>
      <c r="D87" s="54">
        <f>D83+D84+D85+D86</f>
        <v>1603.79</v>
      </c>
      <c r="E87" s="54">
        <f>E83+E84+E85+E86</f>
        <v>1696.32</v>
      </c>
      <c r="F87" s="54">
        <f>F83+F84+F85+F86</f>
        <v>1603.79</v>
      </c>
      <c r="G87" s="54">
        <f>G83+G84+G85+G86</f>
        <v>1777.57</v>
      </c>
      <c r="H87" s="54">
        <f>H83+H84+H85+H86</f>
        <v>1603.79</v>
      </c>
      <c r="I87" s="54">
        <f>I83+I84+I85+I86</f>
        <v>902.76</v>
      </c>
      <c r="J87" s="54">
        <f>J83+J84+J85+J86</f>
        <v>1643.21</v>
      </c>
      <c r="K87" s="54">
        <f>K83+K84+K85+K86</f>
        <v>1880.04</v>
      </c>
      <c r="L87" s="54">
        <f>L83+L84+L85+L86</f>
        <v>1972.92</v>
      </c>
      <c r="M87" s="54">
        <f>M83+M84+M85+M86</f>
        <v>2045.54</v>
      </c>
      <c r="N87" s="55">
        <f>B87+C87+D87+E87+F87+G87+H87+I87+J87+K87+L87+M87</f>
        <v>19793.780000000006</v>
      </c>
    </row>
    <row r="88" spans="1:14" ht="16">
      <c r="A88" s="42" t="s">
        <v>84</v>
      </c>
      <c r="B88" s="52"/>
      <c r="C88" s="52"/>
      <c r="D88" s="52"/>
      <c r="E88" s="53">
        <v>2700.0</v>
      </c>
      <c r="F88" s="53">
        <v>333.33</v>
      </c>
      <c r="G88" s="53">
        <v>2268.53</v>
      </c>
      <c r="H88" s="52"/>
      <c r="I88" s="53">
        <v>10272.5</v>
      </c>
      <c r="J88" s="53">
        <v>650.0</v>
      </c>
      <c r="K88" s="53">
        <v>-1707.45</v>
      </c>
      <c r="L88" s="53">
        <v>50.0</v>
      </c>
      <c r="M88" s="53">
        <v>75.0</v>
      </c>
      <c r="N88" s="53">
        <f>B88+C88+D88+E88+F88+G88+H88+I88+J88+K88+L88+M88</f>
        <v>14641.91</v>
      </c>
    </row>
    <row r="89" spans="1:14" ht="16">
      <c r="A89" s="42" t="s">
        <v>85</v>
      </c>
      <c r="B89" s="52"/>
      <c r="C89" s="52"/>
      <c r="D89" s="52"/>
      <c r="E89" s="52"/>
      <c r="F89" s="53">
        <v>24.2</v>
      </c>
      <c r="G89" s="53">
        <v>52.0</v>
      </c>
      <c r="H89" s="53">
        <v>2.05</v>
      </c>
      <c r="I89" s="52"/>
      <c r="J89" s="52"/>
      <c r="K89" s="53">
        <v>1154.0</v>
      </c>
      <c r="L89" s="52"/>
      <c r="M89" s="53">
        <v>1810.13</v>
      </c>
      <c r="N89" s="53">
        <f>B89+C89+D89+E89+F89+G89+H89+I89+J89+K89+L89+M89</f>
        <v>3042.38</v>
      </c>
    </row>
    <row r="90" spans="1:14" ht="16">
      <c r="A90" s="42" t="s">
        <v>86</v>
      </c>
      <c r="B90" s="53">
        <v>20260.26</v>
      </c>
      <c r="C90" s="53">
        <v>17510.0</v>
      </c>
      <c r="D90" s="53">
        <v>16039.0</v>
      </c>
      <c r="E90" s="52"/>
      <c r="F90" s="52"/>
      <c r="G90" s="52"/>
      <c r="H90" s="53">
        <v>1068.5</v>
      </c>
      <c r="I90" s="53">
        <v>846.66</v>
      </c>
      <c r="J90" s="52"/>
      <c r="K90" s="53">
        <v>119.68</v>
      </c>
      <c r="L90" s="53">
        <v>600.0</v>
      </c>
      <c r="M90" s="53">
        <v>1084.76</v>
      </c>
      <c r="N90" s="53">
        <f>B90+C90+D90+E90+F90+G90+H90+I90+J90+K90+L90+M90</f>
        <v>57528.86</v>
      </c>
    </row>
    <row r="91" spans="1:14" ht="16">
      <c r="A91" s="42" t="s">
        <v>87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</row>
    <row r="92" spans="1:14" ht="16">
      <c r="A92" s="43" t="s">
        <v>88</v>
      </c>
      <c r="B92" s="52"/>
      <c r="C92" s="52"/>
      <c r="D92" s="52"/>
      <c r="E92" s="53">
        <v>1457.86</v>
      </c>
      <c r="F92" s="53">
        <v>1457.84</v>
      </c>
      <c r="G92" s="53">
        <v>1507.17</v>
      </c>
      <c r="H92" s="53">
        <v>1729.56</v>
      </c>
      <c r="I92" s="53">
        <v>1081.42</v>
      </c>
      <c r="J92" s="53">
        <v>2319.88</v>
      </c>
      <c r="K92" s="53">
        <v>2184.8</v>
      </c>
      <c r="L92" s="53">
        <v>1967.34</v>
      </c>
      <c r="M92" s="53">
        <v>4810.59</v>
      </c>
      <c r="N92" s="53">
        <f>B92+C92+D92+E92+F92+G92+H92+I92+J92+K92+L92+M92</f>
        <v>18516.46</v>
      </c>
    </row>
    <row r="93" spans="1:14" ht="16">
      <c r="A93" s="43" t="s">
        <v>89</v>
      </c>
      <c r="B93" s="52"/>
      <c r="C93" s="52"/>
      <c r="D93" s="52"/>
      <c r="E93" s="53">
        <v>13540.0</v>
      </c>
      <c r="F93" s="53">
        <v>13540.0</v>
      </c>
      <c r="G93" s="53">
        <v>14290.0</v>
      </c>
      <c r="H93" s="53">
        <v>13444.86</v>
      </c>
      <c r="I93" s="53">
        <v>14437.33</v>
      </c>
      <c r="J93" s="53">
        <v>26017.98</v>
      </c>
      <c r="K93" s="53">
        <v>27913.77</v>
      </c>
      <c r="L93" s="53">
        <v>26892.98</v>
      </c>
      <c r="M93" s="53">
        <v>66687.32</v>
      </c>
      <c r="N93" s="53">
        <f>B93+C93+D93+E93+F93+G93+H93+I93+J93+K93+L93+M93</f>
        <v>216764.24000000002</v>
      </c>
    </row>
    <row r="94" spans="1:14" ht="16">
      <c r="A94" s="44" t="s">
        <v>90</v>
      </c>
      <c r="B94" s="55">
        <f>B91+B92+B93</f>
        <v>0.0</v>
      </c>
      <c r="C94" s="55">
        <f>C91+C92+C93</f>
        <v>0.0</v>
      </c>
      <c r="D94" s="55">
        <f>D91+D92+D93</f>
        <v>0.0</v>
      </c>
      <c r="E94" s="54">
        <f>E91+E92+E93</f>
        <v>14997.86</v>
      </c>
      <c r="F94" s="54">
        <f>F91+F92+F93</f>
        <v>14997.84</v>
      </c>
      <c r="G94" s="54">
        <f>G91+G92+G93</f>
        <v>15797.17</v>
      </c>
      <c r="H94" s="54">
        <f>H91+H92+H93</f>
        <v>15174.42</v>
      </c>
      <c r="I94" s="54">
        <f>I91+I92+I93</f>
        <v>15518.75</v>
      </c>
      <c r="J94" s="54">
        <f>J91+J92+J93</f>
        <v>28337.86</v>
      </c>
      <c r="K94" s="54">
        <f>K91+K92+K93</f>
        <v>30098.57</v>
      </c>
      <c r="L94" s="54">
        <f>L91+L92+L93</f>
        <v>28860.32</v>
      </c>
      <c r="M94" s="54">
        <f>M91+M92+M93</f>
        <v>71497.91</v>
      </c>
      <c r="N94" s="55">
        <f>B94+C94+D94+E94+F94+G94+H94+I94+J94+K94+L94+M94</f>
        <v>235280.7</v>
      </c>
    </row>
    <row r="95" spans="1:14" ht="16">
      <c r="A95" s="47" t="s">
        <v>91</v>
      </c>
      <c r="B95" s="54">
        <f>B69+B70+B74+B75+B81+B82+B87+B88+B89+B90+B94</f>
        <v>24559.409999999996</v>
      </c>
      <c r="C95" s="54">
        <f>C69+C70+C74+C75+C81+C82+C87+C88+C89+C90+C94</f>
        <v>27112.56</v>
      </c>
      <c r="D95" s="54">
        <f>D69+D70+D74+D75+D81+D82+D87+D88+D89+D90+D94</f>
        <v>24579.489999999998</v>
      </c>
      <c r="E95" s="54">
        <f>E69+E70+E74+E75+E81+E82+E87+E88+E89+E90+E94</f>
        <v>24279.26</v>
      </c>
      <c r="F95" s="54">
        <f>F69+F70+F74+F75+F81+F82+F87+F88+F89+F90+F94</f>
        <v>21158.77</v>
      </c>
      <c r="G95" s="54">
        <f>G69+G70+G74+G75+G81+G82+G87+G88+G89+G90+G94</f>
        <v>26243.39</v>
      </c>
      <c r="H95" s="54">
        <f>H69+H70+H74+H75+H81+H82+H87+H88+H89+H90+H94</f>
        <v>28059.33</v>
      </c>
      <c r="I95" s="54">
        <f>I69+I70+I74+I75+I81+I82+I87+I88+I89+I90+I94</f>
        <v>30451.21</v>
      </c>
      <c r="J95" s="54">
        <f>J69+J70+J74+J75+J81+J82+J87+J88+J89+J90+J94</f>
        <v>38957.759999999995</v>
      </c>
      <c r="K95" s="54">
        <f>K69+K70+K74+K75+K81+K82+K87+K88+K89+K90+K94</f>
        <v>35423.44</v>
      </c>
      <c r="L95" s="54">
        <f>L69+L70+L74+L75+L81+L82+L87+L88+L89+L90+L94</f>
        <v>42959.4</v>
      </c>
      <c r="M95" s="54">
        <f>M69+M70+M74+M75+M81+M82+M87+M88+M89+M90+M94</f>
        <v>84550.53</v>
      </c>
      <c r="N95" s="55">
        <f>B95+C95+D95+E95+F95+G95+H95+I95+J95+K95+L95+M95</f>
        <v>408334.55000000005</v>
      </c>
    </row>
    <row r="96" spans="1:14" ht="16">
      <c r="A96" s="41" t="s">
        <v>92</v>
      </c>
      <c r="B96" s="53">
        <v>232.68</v>
      </c>
      <c r="C96" s="53">
        <v>4896.58</v>
      </c>
      <c r="D96" s="53">
        <v>135.52</v>
      </c>
      <c r="E96" s="52"/>
      <c r="F96" s="57">
        <v>0</v>
      </c>
      <c r="G96" s="53">
        <v>0.2</v>
      </c>
      <c r="H96" s="53">
        <v>1472.85</v>
      </c>
      <c r="I96" s="52"/>
      <c r="J96" s="52"/>
      <c r="K96" s="52"/>
      <c r="L96" s="52"/>
      <c r="M96" s="52"/>
      <c r="N96" s="53">
        <f>B96+C96+D96+E96+F96+G96+H96+I96+J96+K96+L96+M96</f>
        <v>6737.83</v>
      </c>
    </row>
    <row r="97" spans="1:14" ht="16">
      <c r="A97" s="41" t="s">
        <v>93</v>
      </c>
      <c r="B97" s="53">
        <v>2322.82</v>
      </c>
      <c r="C97" s="53">
        <v>920.03</v>
      </c>
      <c r="D97" s="53">
        <v>822.95</v>
      </c>
      <c r="E97" s="53">
        <v>219.06</v>
      </c>
      <c r="F97" s="53">
        <v>214.48</v>
      </c>
      <c r="G97" s="53">
        <v>157.04</v>
      </c>
      <c r="H97" s="53">
        <v>263.44</v>
      </c>
      <c r="I97" s="53">
        <v>274.86</v>
      </c>
      <c r="J97" s="53">
        <v>569.57</v>
      </c>
      <c r="K97" s="53">
        <v>428.95</v>
      </c>
      <c r="L97" s="53">
        <v>238.79</v>
      </c>
      <c r="M97" s="53">
        <v>481.84</v>
      </c>
      <c r="N97" s="53">
        <f>B97+C97+D97+E97+F97+G97+H97+I97+J97+K97+L97+M97</f>
        <v>6913.829999999999</v>
      </c>
    </row>
    <row r="98" spans="1:14" ht="16">
      <c r="A98" s="41" t="s">
        <v>94</v>
      </c>
      <c r="B98" s="52"/>
      <c r="C98" s="53">
        <v>73.3</v>
      </c>
      <c r="D98" s="53">
        <v>1.75</v>
      </c>
      <c r="E98" s="53">
        <v>276.32</v>
      </c>
      <c r="F98" s="53">
        <v>495.01</v>
      </c>
      <c r="G98" s="52"/>
      <c r="H98" s="53">
        <v>177.89</v>
      </c>
      <c r="I98" s="53">
        <v>593.84</v>
      </c>
      <c r="J98" s="53">
        <v>350.32</v>
      </c>
      <c r="K98" s="53">
        <v>658.11</v>
      </c>
      <c r="L98" s="53">
        <v>322.36</v>
      </c>
      <c r="M98" s="53">
        <v>251.67</v>
      </c>
      <c r="N98" s="53">
        <f>B98+C98+D98+E98+F98+G98+H98+I98+J98+K98+L98+M98</f>
        <v>3200.57</v>
      </c>
    </row>
    <row r="99" spans="1:14" ht="16">
      <c r="A99" s="41" t="s">
        <v>95</v>
      </c>
      <c r="B99" s="52"/>
      <c r="C99" s="52"/>
      <c r="D99" s="52"/>
      <c r="E99" s="53">
        <v>1427.81</v>
      </c>
      <c r="F99" s="52"/>
      <c r="G99" s="52"/>
      <c r="H99" s="52"/>
      <c r="I99" s="52"/>
      <c r="J99" s="52"/>
      <c r="K99" s="52"/>
      <c r="L99" s="52"/>
      <c r="M99" s="53">
        <v>1195.08</v>
      </c>
      <c r="N99" s="53">
        <f>B99+C99+D99+E99+F99+G99+H99+I99+J99+K99+L99+M99</f>
        <v>2622.89</v>
      </c>
    </row>
    <row r="100" spans="1:14" ht="16">
      <c r="A100" s="41" t="s">
        <v>96</v>
      </c>
      <c r="B100" s="52"/>
      <c r="C100" s="52"/>
      <c r="D100" s="52"/>
      <c r="E100" s="53">
        <v>101.0</v>
      </c>
      <c r="F100" s="52"/>
      <c r="G100" s="53">
        <v>1050.0</v>
      </c>
      <c r="H100" s="52"/>
      <c r="I100" s="53">
        <v>1000.0</v>
      </c>
      <c r="J100" s="52"/>
      <c r="K100" s="52"/>
      <c r="L100" s="52"/>
      <c r="M100" s="52"/>
      <c r="N100" s="53">
        <f>B100+C100+D100+E100+F100+G100+H100+I100+J100+K100+L100+M100</f>
        <v>2151.0</v>
      </c>
    </row>
    <row r="101" spans="1:14" ht="16">
      <c r="A101" s="48" t="s">
        <v>97</v>
      </c>
      <c r="B101" s="54">
        <f>B57+B68+B95+B96+B97+B98+B99+B100</f>
        <v>38517.03999999999</v>
      </c>
      <c r="C101" s="54">
        <f>C57+C68+C95+C96+C97+C98+C99+C100</f>
        <v>49846.770000000004</v>
      </c>
      <c r="D101" s="54">
        <f>D57+D68+D95+D96+D97+D98+D99+D100</f>
        <v>32001.5</v>
      </c>
      <c r="E101" s="54">
        <f>E57+E68+E95+E96+E97+E98+E99+E100</f>
        <v>32518.700000000004</v>
      </c>
      <c r="F101" s="54">
        <f>F57+F68+F95+F96+F97+F98+F99+F100</f>
        <v>38268.380000000005</v>
      </c>
      <c r="G101" s="54">
        <f>G57+G68+G95+G96+G97+G98+G99+G100</f>
        <v>38326.869999999995</v>
      </c>
      <c r="H101" s="54">
        <f>H57+H68+H95+H96+H97+H98+H99+H100</f>
        <v>43438.49</v>
      </c>
      <c r="I101" s="54">
        <f>I57+I68+I95+I96+I97+I98+I99+I100</f>
        <v>41476.92999999999</v>
      </c>
      <c r="J101" s="54">
        <f>J57+J68+J95+J96+J97+J98+J99+J100</f>
        <v>51138.729999999996</v>
      </c>
      <c r="K101" s="54">
        <f>K57+K68+K95+K96+K97+K98+K99+K100</f>
        <v>42728.78</v>
      </c>
      <c r="L101" s="54">
        <f>L57+L68+L95+L96+L97+L98+L99+L100</f>
        <v>54343.82</v>
      </c>
      <c r="M101" s="54">
        <f>M57+M68+M95+M96+M97+M98+M99+M100</f>
        <v>93521.2</v>
      </c>
      <c r="N101" s="55">
        <f>B101+C101+D101+E101+F101+G101+H101+I101+J101+K101+L101+M101</f>
        <v>556127.21</v>
      </c>
    </row>
    <row r="102" spans="1:14" ht="16">
      <c r="A102" s="48" t="s">
        <v>98</v>
      </c>
      <c r="B102" s="54">
        <f>B56-B101</f>
        <v>101567.28000000001</v>
      </c>
      <c r="C102" s="54">
        <f>C56-C101</f>
        <v>7585.719999999987</v>
      </c>
      <c r="D102" s="54">
        <f>D56-D101</f>
        <v>11038.909999999989</v>
      </c>
      <c r="E102" s="54">
        <f>E56-E101</f>
        <v>46628.00999999999</v>
      </c>
      <c r="F102" s="54">
        <f>F56-F101</f>
        <v>39160.06999999999</v>
      </c>
      <c r="G102" s="54">
        <f>G56-G101</f>
        <v>47535.489999999976</v>
      </c>
      <c r="H102" s="54">
        <f>H56-H101</f>
        <v>12988.29</v>
      </c>
      <c r="I102" s="54">
        <f>I56-I101</f>
        <v>85465.12000000001</v>
      </c>
      <c r="J102" s="54">
        <f>J56-J101</f>
        <v>4860.529999999984</v>
      </c>
      <c r="K102" s="54">
        <f>K56-K101</f>
        <v>57276.68000000005</v>
      </c>
      <c r="L102" s="54">
        <f>L56-L101</f>
        <v>-18344.44999999999</v>
      </c>
      <c r="M102" s="54">
        <f>M56-M101</f>
        <v>3329.2100000000355</v>
      </c>
      <c r="N102" s="55">
        <f>B102+C102+D102+E102+F102+G102+H102+I102+J102+K102+L102+M102</f>
        <v>399090.86</v>
      </c>
    </row>
    <row r="103" spans="1:13" ht="16">
      <c r="A103" s="40" t="s">
        <v>99</v>
      </c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</row>
    <row r="104" spans="1:14" ht="16">
      <c r="A104" s="41" t="s">
        <v>100</v>
      </c>
      <c r="B104" s="53">
        <v>0.15</v>
      </c>
      <c r="C104" s="53">
        <v>0.3</v>
      </c>
      <c r="D104" s="53">
        <v>0.35</v>
      </c>
      <c r="E104" s="53">
        <v>0.33</v>
      </c>
      <c r="F104" s="53">
        <v>0.41</v>
      </c>
      <c r="G104" s="53">
        <v>0.47</v>
      </c>
      <c r="H104" s="53">
        <v>0.08</v>
      </c>
      <c r="I104" s="53">
        <v>0.22</v>
      </c>
      <c r="J104" s="53">
        <v>0.23</v>
      </c>
      <c r="K104" s="53">
        <v>0.23</v>
      </c>
      <c r="L104" s="53">
        <v>0.32</v>
      </c>
      <c r="M104" s="53">
        <v>0.42</v>
      </c>
      <c r="N104" s="53">
        <f>B104+C104+D104+E104+F104+G104+H104+I104+J104+K104+L104+M104</f>
        <v>3.51</v>
      </c>
    </row>
    <row r="105" spans="1:14" ht="16">
      <c r="A105" s="48" t="s">
        <v>101</v>
      </c>
      <c r="B105" s="54">
        <f>B103+B104</f>
        <v>0.15</v>
      </c>
      <c r="C105" s="54">
        <f>C103+C104</f>
        <v>0.3</v>
      </c>
      <c r="D105" s="54">
        <f>D103+D104</f>
        <v>0.35</v>
      </c>
      <c r="E105" s="54">
        <f>E103+E104</f>
        <v>0.33</v>
      </c>
      <c r="F105" s="54">
        <f>F103+F104</f>
        <v>0.41</v>
      </c>
      <c r="G105" s="54">
        <f>G103+G104</f>
        <v>0.47</v>
      </c>
      <c r="H105" s="54">
        <f>H103+H104</f>
        <v>0.08</v>
      </c>
      <c r="I105" s="54">
        <f>I103+I104</f>
        <v>0.22</v>
      </c>
      <c r="J105" s="54">
        <f>J103+J104</f>
        <v>0.23</v>
      </c>
      <c r="K105" s="54">
        <f>K103+K104</f>
        <v>0.23</v>
      </c>
      <c r="L105" s="54">
        <f>L103+L104</f>
        <v>0.32</v>
      </c>
      <c r="M105" s="54">
        <f>M103+M104</f>
        <v>0.42</v>
      </c>
      <c r="N105" s="55">
        <f>B105+C105+D105+E105+F105+G105+H105+I105+J105+K105+L105+M105</f>
        <v>3.51</v>
      </c>
    </row>
    <row r="106" spans="1:13" ht="16">
      <c r="A106" s="40" t="s">
        <v>102</v>
      </c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</row>
    <row r="107" spans="1:14" ht="16">
      <c r="A107" s="41" t="s">
        <v>103</v>
      </c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3">
        <v>89155.92</v>
      </c>
      <c r="N107" s="53">
        <f>B107+C107+D107+E107+F107+G107+H107+I107+J107+K107+L107+M107</f>
        <v>89155.92</v>
      </c>
    </row>
    <row r="108" spans="1:14" ht="16">
      <c r="A108" s="48" t="s">
        <v>104</v>
      </c>
      <c r="B108" s="55">
        <f>B106+B107</f>
        <v>0.0</v>
      </c>
      <c r="C108" s="55">
        <f>C106+C107</f>
        <v>0.0</v>
      </c>
      <c r="D108" s="55">
        <f>D106+D107</f>
        <v>0.0</v>
      </c>
      <c r="E108" s="55">
        <f>E106+E107</f>
        <v>0.0</v>
      </c>
      <c r="F108" s="55">
        <f>F106+F107</f>
        <v>0.0</v>
      </c>
      <c r="G108" s="55">
        <f>G106+G107</f>
        <v>0.0</v>
      </c>
      <c r="H108" s="55">
        <f>H106+H107</f>
        <v>0.0</v>
      </c>
      <c r="I108" s="55">
        <f>I106+I107</f>
        <v>0.0</v>
      </c>
      <c r="J108" s="55">
        <f>J106+J107</f>
        <v>0.0</v>
      </c>
      <c r="K108" s="55">
        <f>K106+K107</f>
        <v>0.0</v>
      </c>
      <c r="L108" s="55">
        <f>L106+L107</f>
        <v>0.0</v>
      </c>
      <c r="M108" s="54">
        <f>M106+M107</f>
        <v>89155.92</v>
      </c>
      <c r="N108" s="55">
        <f>B108+C108+D108+E108+F108+G108+H108+I108+J108+K108+L108+M108</f>
        <v>89155.92</v>
      </c>
    </row>
    <row r="109" spans="1:14" ht="16">
      <c r="A109" s="48" t="s">
        <v>105</v>
      </c>
      <c r="B109" s="54">
        <f>B105-B108</f>
        <v>0.15</v>
      </c>
      <c r="C109" s="54">
        <f>C105-C108</f>
        <v>0.3</v>
      </c>
      <c r="D109" s="54">
        <f>D105-D108</f>
        <v>0.35</v>
      </c>
      <c r="E109" s="54">
        <f>E105-E108</f>
        <v>0.33</v>
      </c>
      <c r="F109" s="54">
        <f>F105-F108</f>
        <v>0.41</v>
      </c>
      <c r="G109" s="54">
        <f>G105-G108</f>
        <v>0.47</v>
      </c>
      <c r="H109" s="54">
        <f>H105-H108</f>
        <v>0.08</v>
      </c>
      <c r="I109" s="54">
        <f>I105-I108</f>
        <v>0.22</v>
      </c>
      <c r="J109" s="54">
        <f>J105-J108</f>
        <v>0.23</v>
      </c>
      <c r="K109" s="54">
        <f>K105-K108</f>
        <v>0.23</v>
      </c>
      <c r="L109" s="54">
        <f>L105-L108</f>
        <v>0.32</v>
      </c>
      <c r="M109" s="54">
        <f>M105-M108</f>
        <v>-89155.5</v>
      </c>
      <c r="N109" s="55">
        <f>B109+C109+D109+E109+F109+G109+H109+I109+J109+K109+L109+M109</f>
        <v>-89152.41</v>
      </c>
    </row>
    <row r="110" spans="1:14" ht="16">
      <c r="A110" s="48" t="s">
        <v>106</v>
      </c>
      <c r="B110" s="54">
        <f>B102+B109</f>
        <v>101567.43000000001</v>
      </c>
      <c r="C110" s="54">
        <f>C102+C109</f>
        <v>7586.019999999987</v>
      </c>
      <c r="D110" s="54">
        <f>D102+D109</f>
        <v>11039.25999999999</v>
      </c>
      <c r="E110" s="54">
        <f>E102+E109</f>
        <v>46628.33999999999</v>
      </c>
      <c r="F110" s="54">
        <f>F102+F109</f>
        <v>39160.479999999996</v>
      </c>
      <c r="G110" s="54">
        <f>G102+G109</f>
        <v>47535.95999999998</v>
      </c>
      <c r="H110" s="54">
        <f>H102+H109</f>
        <v>12988.37</v>
      </c>
      <c r="I110" s="54">
        <f>I102+I109</f>
        <v>85465.34000000001</v>
      </c>
      <c r="J110" s="54">
        <f>J102+J109</f>
        <v>4860.759999999984</v>
      </c>
      <c r="K110" s="54">
        <f>K102+K109</f>
        <v>57276.910000000054</v>
      </c>
      <c r="L110" s="54">
        <f>L102+L109</f>
        <v>-18344.12999999999</v>
      </c>
      <c r="M110" s="54">
        <f>M102+M109</f>
        <v>-85826.28999999996</v>
      </c>
      <c r="N110" s="55">
        <f>B110+C110+D110+E110+F110+G110+H110+I110+J110+K110+L110+M110</f>
        <v>309938.45</v>
      </c>
    </row>
    <row r="114" spans="1:1" ht="16">
      <c r="A114" s="58" t="s">
        <v>121</v>
      </c>
    </row>
  </sheetData>
  <mergeCells count="4">
    <mergeCell ref="A1:N1"/>
    <mergeCell ref="A2:N2"/>
    <mergeCell ref="A3:N3"/>
    <mergeCell ref="A114:N11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