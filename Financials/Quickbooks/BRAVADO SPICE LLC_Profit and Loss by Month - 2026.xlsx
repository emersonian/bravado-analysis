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3" i="1" l="1"/>
</calcChain>
</file>

<file path=xl/sharedStrings.xml><?xml version="1.0" encoding="utf-8"?>
<sst xmlns="http://schemas.openxmlformats.org/spreadsheetml/2006/main" count="92" uniqueCount="91">
  <si>
    <t>BRAVADO SPICE LLC</t>
  </si>
  <si>
    <t>Profit and Loss by Month</t>
  </si>
  <si>
    <t>January 1-August 24, 2026</t>
  </si>
  <si>
    <t>Income</t>
  </si>
  <si>
    <t>61000 Sales</t>
  </si>
  <si>
    <t>61200 Hot Sauce</t>
  </si>
  <si>
    <t>61210 Pineapple &amp; Habanero Hot Sauce</t>
  </si>
  <si>
    <t>61215 Garlic &amp; Arbol Moruga Scorpion Hot Sauce</t>
  </si>
  <si>
    <t>61216 Arbol Chili &amp; Garlic Hot Sauce</t>
  </si>
  <si>
    <t>61220 Jalapeno &amp; Green Apple Hot Sauce</t>
  </si>
  <si>
    <t>61225 Ancho Masala Ghost-Reaper Hot Sauce</t>
  </si>
  <si>
    <t>61230 Ghost Pepper &amp; Blueberry Hot Sauce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</si>
  <si>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</si>
  <si>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</si>
  <si>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</si>
  <si>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</si>
  <si>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</si>
  <si>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61500 Sets</t>
  </si>
  <si>
    <t>64000 Online Sales</t>
  </si>
  <si>
    <t>65000 Amazon Seller Central Sales</t>
  </si>
  <si>
    <t>65100 Amazon US Market Sales</t>
  </si>
  <si>
    <t>Total for 65000 Amazon Seller Central Sales</t>
  </si>
  <si>
    <t>Total for 61000 Sales</t>
  </si>
  <si>
    <t>66000 Other Income</t>
  </si>
  <si>
    <t>67000 Uncategorized Income</t>
  </si>
  <si>
    <t>Total for Income</t>
  </si>
  <si>
    <t>Cost of Goods Sold</t>
  </si>
  <si>
    <t>71000 Cost of Sales (COS)</t>
  </si>
  <si>
    <t>71100 Shipping &amp; Delivery - COS</t>
  </si>
  <si>
    <t>71200 Other Costs - COS</t>
  </si>
  <si>
    <t>On-Invoice Discounts</t>
  </si>
  <si>
    <t>Pass Thru Deduction</t>
  </si>
  <si>
    <t>Spoilage Allowance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</si>
  <si>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</si>
  <si>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</si>
  <si>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</si>
  <si>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</si>
  <si>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</si>
  <si>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</si>
  <si>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72300 Promotional</t>
  </si>
  <si>
    <t>72400 Travel</t>
  </si>
  <si>
    <t>Gas</t>
  </si>
  <si>
    <t>Total for 72400 Travel</t>
  </si>
  <si>
    <t>72500 Events/Shows</t>
  </si>
  <si>
    <t>72600 In Store Marketing</t>
  </si>
  <si>
    <t>72601 Marketing Scanbacks</t>
  </si>
  <si>
    <t>Total for 72600 In Store Marketing</t>
  </si>
  <si>
    <t>Total for 72000 Marketing/Advertising</t>
  </si>
  <si>
    <t>73000 Overhead Expenses (G&amp;A)</t>
  </si>
  <si>
    <t>73100 Rent or Lease</t>
  </si>
  <si>
    <t>73200 Office Expenses</t>
  </si>
  <si>
    <t>73220 Food Expense</t>
  </si>
  <si>
    <t>Total for 73200 Office Expenses</t>
  </si>
  <si>
    <t>73300 Utilities</t>
  </si>
  <si>
    <t>73400 Financial Fees</t>
  </si>
  <si>
    <t>73410 Bank Fees</t>
  </si>
  <si>
    <t>73450 Interest Expense</t>
  </si>
  <si>
    <t>Faire Fees</t>
  </si>
  <si>
    <t>Late Penalty Fees</t>
  </si>
  <si>
    <t>Merchant Fees</t>
  </si>
  <si>
    <t>Total for 73400 Financial Fees</t>
  </si>
  <si>
    <t>73500 Dues &amp; Subscriptions</t>
  </si>
  <si>
    <t>73600 Insurance</t>
  </si>
  <si>
    <t>73700 Professional Fees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</si>
  <si>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</si>
  <si>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</si>
  <si>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</si>
  <si>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</si>
  <si>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</si>
  <si>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75500 Reimbursements</t>
  </si>
  <si>
    <t>76000 Repair &amp; Maintenance</t>
  </si>
  <si>
    <t>Melio services fee</t>
  </si>
  <si>
    <t>Uncategorized Expense</t>
  </si>
  <si>
    <t>Total for Expenses</t>
  </si>
  <si>
    <t>Net Operating Income</t>
  </si>
  <si>
    <t>Other Income</t>
  </si>
  <si>
    <t>80000 Interest Earned</t>
  </si>
  <si>
    <t>Total for Other Income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</si>
  <si>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</si>
  <si>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</si>
  <si>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</si>
  <si>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</si>
  <si>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</si>
  <si>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</si>
  <si>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</si>
  <si>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</si>
  <si>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2026</t>
  </si>
  <si>
    <t>Jul 2026</t>
  </si>
  <si>
    <t>Aug 1-24 2026</t>
  </si>
  <si>
    <t>Total</t>
  </si>
  <si>
    <t>Accrual Basis Monday, August 24, 2026 09:12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</si>
</sst>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87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7" style="43" customWidth="1"/>
    <col min="3" max="3" width="7.5" style="43" customWidth="1"/>
    <col min="4" max="4" width="15.25" style="43" customWidth="1"/>
    <col min="5" max="8" width="7.5" style="43" customWidth="1"/>
    <col min="9" max="9" width="11.75" style="43" customWidth="1"/>
    <col min="10" max="10" width="17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0" ht="16">
      <c r="A5" s="45" t="s">
        <v>80</v>
      </c>
      <c r="B5" s="50" t="s">
        <v>81</v>
      </c>
      <c r="C5" s="50" t="s">
        <v>82</v>
      </c>
      <c r="D5" s="50" t="s">
        <v>83</v>
      </c>
      <c r="E5" s="50" t="s">
        <v>84</v>
      </c>
      <c r="F5" s="50" t="s">
        <v>85</v>
      </c>
      <c r="G5" s="50" t="s">
        <v>86</v>
      </c>
      <c r="H5" s="50" t="s">
        <v>87</v>
      </c>
      <c r="I5" s="50" t="s">
        <v>88</v>
      </c>
      <c r="J5" s="50" t="s">
        <v>89</v>
      </c>
    </row>
    <row r="6" spans="1:9" ht="16">
      <c r="A6" s="36" t="s">
        <v>3</v>
      </c>
      <c r="B6" s="46"/>
      <c r="C6" s="46"/>
      <c r="D6" s="46"/>
      <c r="E6" s="46"/>
      <c r="F6" s="46"/>
      <c r="G6" s="46"/>
      <c r="H6" s="46"/>
      <c r="I6" s="46"/>
    </row>
    <row r="7" spans="1:10" ht="16">
      <c r="A7" s="37" t="s">
        <v>4</v>
      </c>
      <c r="B7" s="47">
        <v>765.96</v>
      </c>
      <c r="C7" s="46"/>
      <c r="D7" s="47">
        <v>313.68</v>
      </c>
      <c r="E7" s="46"/>
      <c r="F7" s="46"/>
      <c r="G7" s="46"/>
      <c r="H7" s="46"/>
      <c r="I7" s="46"/>
      <c r="J7" s="47">
        <f>B7+C7+D7+E7+F7+G7+H7+I7</f>
        <v>1079.64</v>
      </c>
    </row>
    <row r="8" spans="1:10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</row>
    <row r="9" spans="1:10" ht="16">
      <c r="A9" s="39" t="s">
        <v>6</v>
      </c>
      <c r="B9" s="47">
        <v>483.84</v>
      </c>
      <c r="C9" s="46"/>
      <c r="D9" s="46"/>
      <c r="E9" s="46"/>
      <c r="F9" s="46"/>
      <c r="G9" s="46"/>
      <c r="H9" s="46"/>
      <c r="I9" s="46"/>
      <c r="J9" s="47">
        <f>B9+C9+D9+E9+F9+G9+H9+I9</f>
        <v>483.84</v>
      </c>
    </row>
    <row r="10" spans="1:10" ht="16">
      <c r="A10" s="39" t="s">
        <v>7</v>
      </c>
      <c r="B10" s="47">
        <v>429.0</v>
      </c>
      <c r="C10" s="46"/>
      <c r="D10" s="46"/>
      <c r="E10" s="46"/>
      <c r="F10" s="46"/>
      <c r="G10" s="46"/>
      <c r="H10" s="46"/>
      <c r="I10" s="46"/>
      <c r="J10" s="47">
        <f>B10+C10+D10+E10+F10+G10+H10+I10</f>
        <v>429.0</v>
      </c>
    </row>
    <row r="11" spans="1:10" ht="16">
      <c r="A11" s="39" t="s">
        <v>8</v>
      </c>
      <c r="B11" s="47">
        <v>198.72</v>
      </c>
      <c r="C11" s="46"/>
      <c r="D11" s="47">
        <v>139.86</v>
      </c>
      <c r="E11" s="46"/>
      <c r="F11" s="46"/>
      <c r="G11" s="46"/>
      <c r="H11" s="46"/>
      <c r="I11" s="46"/>
      <c r="J11" s="47">
        <f>B11+C11+D11+E11+F11+G11+H11+I11</f>
        <v>338.58000000000004</v>
      </c>
    </row>
    <row r="12" spans="1:10" ht="16">
      <c r="A12" s="39" t="s">
        <v>9</v>
      </c>
      <c r="B12" s="47">
        <v>63.0</v>
      </c>
      <c r="C12" s="46"/>
      <c r="D12" s="46"/>
      <c r="E12" s="46"/>
      <c r="F12" s="46"/>
      <c r="G12" s="46"/>
      <c r="H12" s="46"/>
      <c r="I12" s="46"/>
      <c r="J12" s="47">
        <f>B12+C12+D12+E12+F12+G12+H12+I12</f>
        <v>63.0</v>
      </c>
    </row>
    <row r="13" spans="1:10" ht="16">
      <c r="A13" s="39" t="s">
        <v>10</v>
      </c>
      <c r="B13" s="47">
        <v>79.44</v>
      </c>
      <c r="C13" s="46"/>
      <c r="D13" s="46"/>
      <c r="E13" s="46"/>
      <c r="F13" s="46"/>
      <c r="G13" s="46"/>
      <c r="H13" s="46"/>
      <c r="I13" s="46"/>
      <c r="J13" s="47">
        <f>B13+C13+D13+E13+F13+G13+H13+I13</f>
        <v>79.44</v>
      </c>
    </row>
    <row r="14" spans="1:10" ht="16">
      <c r="A14" s="39" t="s">
        <v>11</v>
      </c>
      <c r="B14" s="47">
        <v>1133.76</v>
      </c>
      <c r="C14" s="46"/>
      <c r="D14" s="47">
        <v>159.84</v>
      </c>
      <c r="E14" s="46"/>
      <c r="F14" s="46"/>
      <c r="G14" s="46"/>
      <c r="H14" s="46"/>
      <c r="I14" s="46"/>
      <c r="J14" s="47">
        <f>B14+C14+D14+E14+F14+G14+H14+I14</f>
        <v>1293.6</v>
      </c>
    </row>
    <row r="15" spans="1:10" ht="16">
      <c r="A15" s="39" t="s">
        <v>12</v>
      </c>
      <c r="B15" s="47">
        <v>438.54</v>
      </c>
      <c r="C15" s="46"/>
      <c r="D15" s="47">
        <v>99.9</v>
      </c>
      <c r="E15" s="46"/>
      <c r="F15" s="46"/>
      <c r="G15" s="46"/>
      <c r="H15" s="46"/>
      <c r="I15" s="46"/>
      <c r="J15" s="47">
        <f>B15+C15+D15+E15+F15+G15+H15+I15</f>
        <v>538.44</v>
      </c>
    </row>
    <row r="16" spans="1:10" ht="16">
      <c r="A16" s="39" t="s">
        <v>13</v>
      </c>
      <c r="B16" s="47">
        <v>918.36</v>
      </c>
      <c r="C16" s="46"/>
      <c r="D16" s="47">
        <v>271.04</v>
      </c>
      <c r="E16" s="46"/>
      <c r="F16" s="46"/>
      <c r="G16" s="46"/>
      <c r="H16" s="46"/>
      <c r="I16" s="46"/>
      <c r="J16" s="47">
        <f>B16+C16+D16+E16+F16+G16+H16+I16</f>
        <v>1189.4</v>
      </c>
    </row>
    <row r="17" spans="1:10" ht="16">
      <c r="A17" s="39" t="s">
        <v>14</v>
      </c>
      <c r="B17" s="47">
        <v>13151.4</v>
      </c>
      <c r="C17" s="46"/>
      <c r="D17" s="46"/>
      <c r="E17" s="46"/>
      <c r="F17" s="46"/>
      <c r="G17" s="46"/>
      <c r="H17" s="46"/>
      <c r="I17" s="46"/>
      <c r="J17" s="47">
        <f>B17+C17+D17+E17+F17+G17+H17+I17</f>
        <v>13151.4</v>
      </c>
    </row>
    <row r="18" spans="1:10" ht="16">
      <c r="A18" s="39" t="s">
        <v>15</v>
      </c>
      <c r="B18" s="47">
        <v>751.08</v>
      </c>
      <c r="C18" s="46"/>
      <c r="D18" s="46"/>
      <c r="E18" s="46"/>
      <c r="F18" s="46"/>
      <c r="G18" s="46"/>
      <c r="H18" s="46"/>
      <c r="I18" s="46"/>
      <c r="J18" s="47">
        <f>B18+C18+D18+E18+F18+G18+H18+I18</f>
        <v>751.08</v>
      </c>
    </row>
    <row r="19" spans="1:10" ht="16">
      <c r="A19" s="40" t="s">
        <v>16</v>
      </c>
      <c r="B19" s="48">
        <f>B8+B9+B10+B11+B12+B13+B14+B15+B16+B17+B18</f>
        <v>17647.140000000003</v>
      </c>
      <c r="C19" s="51">
        <f>C8+C9+C10+C11+C12+C13+C14+C15+C16+C17+C18</f>
        <v>0.0</v>
      </c>
      <c r="D19" s="48">
        <f>D8+D9+D10+D11+D12+D13+D14+D15+D16+D17+D18</f>
        <v>670.6400000000001</v>
      </c>
      <c r="E19" s="51">
        <f>E8+E9+E10+E11+E12+E13+E14+E15+E16+E17+E18</f>
        <v>0.0</v>
      </c>
      <c r="F19" s="51">
        <f>F8+F9+F10+F11+F12+F13+F14+F15+F16+F17+F18</f>
        <v>0.0</v>
      </c>
      <c r="G19" s="51">
        <f>G8+G9+G10+G11+G12+G13+G14+G15+G16+G17+G18</f>
        <v>0.0</v>
      </c>
      <c r="H19" s="51">
        <f>H8+H9+H10+H11+H12+H13+H14+H15+H16+H17+H18</f>
        <v>0.0</v>
      </c>
      <c r="I19" s="51">
        <f>I8+I9+I10+I11+I12+I13+I14+I15+I16+I17+I18</f>
        <v>0.0</v>
      </c>
      <c r="J19" s="51">
        <f>B19+C19+D19+E19+F19+G19+H19+I19</f>
        <v>18317.780000000002</v>
      </c>
    </row>
    <row r="20" spans="1:10" ht="16">
      <c r="A20" s="38" t="s">
        <v>17</v>
      </c>
      <c r="B20" s="47">
        <v>293.82</v>
      </c>
      <c r="C20" s="46"/>
      <c r="D20" s="46"/>
      <c r="E20" s="46"/>
      <c r="F20" s="46"/>
      <c r="G20" s="46"/>
      <c r="H20" s="46"/>
      <c r="I20" s="46"/>
      <c r="J20" s="47">
        <f>B20+C20+D20+E20+F20+G20+H20+I20</f>
        <v>293.82</v>
      </c>
    </row>
    <row r="21" spans="1:10" ht="16">
      <c r="A21" s="38" t="s">
        <v>18</v>
      </c>
      <c r="B21" s="47">
        <v>5570.1</v>
      </c>
      <c r="C21" s="46"/>
      <c r="D21" s="46"/>
      <c r="E21" s="46"/>
      <c r="F21" s="46"/>
      <c r="G21" s="46"/>
      <c r="H21" s="46"/>
      <c r="I21" s="46"/>
      <c r="J21" s="47">
        <f>B21+C21+D21+E21+F21+G21+H21+I21</f>
        <v>5570.1</v>
      </c>
    </row>
    <row r="22" spans="1:10" ht="16">
      <c r="A22" s="38" t="s">
        <v>19</v>
      </c>
      <c r="B22" s="46"/>
      <c r="C22" s="46"/>
      <c r="D22" s="46"/>
      <c r="E22" s="46"/>
      <c r="F22" s="46"/>
      <c r="G22" s="46"/>
      <c r="H22" s="46"/>
      <c r="I22" s="46"/>
      <c r="J22" s="46"/>
    </row>
    <row r="23" spans="1:10" ht="16">
      <c r="A23" s="39" t="s">
        <v>20</v>
      </c>
      <c r="B23" s="47">
        <v>2968.27</v>
      </c>
      <c r="C23" s="46"/>
      <c r="D23" s="46"/>
      <c r="E23" s="46"/>
      <c r="F23" s="46"/>
      <c r="G23" s="46"/>
      <c r="H23" s="46"/>
      <c r="I23" s="46"/>
      <c r="J23" s="47">
        <f>B23+C23+D23+E23+F23+G23+H23+I23</f>
        <v>2968.27</v>
      </c>
    </row>
    <row r="24" spans="1:10" ht="16">
      <c r="A24" s="40" t="s">
        <v>21</v>
      </c>
      <c r="B24" s="48">
        <f>B22+B23</f>
        <v>2968.27</v>
      </c>
      <c r="C24" s="51">
        <f>C22+C23</f>
        <v>0.0</v>
      </c>
      <c r="D24" s="51">
        <f>D22+D23</f>
        <v>0.0</v>
      </c>
      <c r="E24" s="51">
        <f>E22+E23</f>
        <v>0.0</v>
      </c>
      <c r="F24" s="51">
        <f>F22+F23</f>
        <v>0.0</v>
      </c>
      <c r="G24" s="51">
        <f>G22+G23</f>
        <v>0.0</v>
      </c>
      <c r="H24" s="51">
        <f>H22+H23</f>
        <v>0.0</v>
      </c>
      <c r="I24" s="51">
        <f>I22+I23</f>
        <v>0.0</v>
      </c>
      <c r="J24" s="51">
        <f>B24+C24+D24+E24+F24+G24+H24+I24</f>
        <v>2968.27</v>
      </c>
    </row>
    <row r="25" spans="1:10" ht="16">
      <c r="A25" s="41" t="s">
        <v>22</v>
      </c>
      <c r="B25" s="48">
        <f>B7+B19+B20+B21+B24</f>
        <v>27245.290000000005</v>
      </c>
      <c r="C25" s="51">
        <f>C7+C19+C20+C21+C24</f>
        <v>0.0</v>
      </c>
      <c r="D25" s="48">
        <f>D7+D19+D20+D21+D24</f>
        <v>984.3200000000002</v>
      </c>
      <c r="E25" s="51">
        <f>E7+E19+E20+E21+E24</f>
        <v>0.0</v>
      </c>
      <c r="F25" s="51">
        <f>F7+F19+F20+F21+F24</f>
        <v>0.0</v>
      </c>
      <c r="G25" s="51">
        <f>G7+G19+G20+G21+G24</f>
        <v>0.0</v>
      </c>
      <c r="H25" s="51">
        <f>H7+H19+H20+H21+H24</f>
        <v>0.0</v>
      </c>
      <c r="I25" s="51">
        <f>I7+I19+I20+I21+I24</f>
        <v>0.0</v>
      </c>
      <c r="J25" s="51">
        <f>B25+C25+D25+E25+F25+G25+H25+I25</f>
        <v>28229.610000000004</v>
      </c>
    </row>
    <row r="26" spans="1:10" ht="16">
      <c r="A26" s="37" t="s">
        <v>23</v>
      </c>
      <c r="B26" s="47">
        <v>500.0</v>
      </c>
      <c r="C26" s="46"/>
      <c r="D26" s="46"/>
      <c r="E26" s="46"/>
      <c r="F26" s="46"/>
      <c r="G26" s="46"/>
      <c r="H26" s="46"/>
      <c r="I26" s="46"/>
      <c r="J26" s="47">
        <f>B26+C26+D26+E26+F26+G26+H26+I26</f>
        <v>500.0</v>
      </c>
    </row>
    <row r="27" spans="1:10" ht="16">
      <c r="A27" s="37" t="s">
        <v>24</v>
      </c>
      <c r="B27" s="47">
        <v>7180.2</v>
      </c>
      <c r="C27" s="46"/>
      <c r="D27" s="46"/>
      <c r="E27" s="46"/>
      <c r="F27" s="46"/>
      <c r="G27" s="46"/>
      <c r="H27" s="46"/>
      <c r="I27" s="46"/>
      <c r="J27" s="47">
        <f>B27+C27+D27+E27+F27+G27+H27+I27</f>
        <v>7180.2</v>
      </c>
    </row>
    <row r="28" spans="1:10" ht="16">
      <c r="A28" s="42" t="s">
        <v>25</v>
      </c>
      <c r="B28" s="48">
        <f>B6+B25+B26+B27</f>
        <v>34925.490000000005</v>
      </c>
      <c r="C28" s="51">
        <f>C6+C25+C26+C27</f>
        <v>0.0</v>
      </c>
      <c r="D28" s="48">
        <f>D6+D25+D26+D27</f>
        <v>984.3200000000002</v>
      </c>
      <c r="E28" s="51">
        <f>E6+E25+E26+E27</f>
        <v>0.0</v>
      </c>
      <c r="F28" s="51">
        <f>F6+F25+F26+F27</f>
        <v>0.0</v>
      </c>
      <c r="G28" s="51">
        <f>G6+G25+G26+G27</f>
        <v>0.0</v>
      </c>
      <c r="H28" s="51">
        <f>H6+H25+H26+H27</f>
        <v>0.0</v>
      </c>
      <c r="I28" s="51">
        <f>I6+I25+I26+I27</f>
        <v>0.0</v>
      </c>
      <c r="J28" s="51">
        <f>B28+C28+D28+E28+F28+G28+H28+I28</f>
        <v>35909.810000000005</v>
      </c>
    </row>
    <row r="29" spans="1:9" ht="16">
      <c r="A29" s="36" t="s">
        <v>26</v>
      </c>
      <c r="B29" s="46"/>
      <c r="C29" s="46"/>
      <c r="D29" s="46"/>
      <c r="E29" s="46"/>
      <c r="F29" s="46"/>
      <c r="G29" s="46"/>
      <c r="H29" s="46"/>
      <c r="I29" s="46"/>
    </row>
    <row r="30" spans="1:10" ht="16">
      <c r="A30" s="37" t="s">
        <v>27</v>
      </c>
      <c r="B30" s="46"/>
      <c r="C30" s="46"/>
      <c r="D30" s="46"/>
      <c r="E30" s="46"/>
      <c r="F30" s="46"/>
      <c r="G30" s="46"/>
      <c r="H30" s="46"/>
      <c r="I30" s="46"/>
      <c r="J30" s="46"/>
    </row>
    <row r="31" spans="1:10" ht="16">
      <c r="A31" s="38" t="s">
        <v>28</v>
      </c>
      <c r="B31" s="47">
        <v>2803.56</v>
      </c>
      <c r="C31" s="46"/>
      <c r="D31" s="46"/>
      <c r="E31" s="46"/>
      <c r="F31" s="46"/>
      <c r="G31" s="46"/>
      <c r="H31" s="46"/>
      <c r="I31" s="46"/>
      <c r="J31" s="47">
        <f>B31+C31+D31+E31+F31+G31+H31+I31</f>
        <v>2803.56</v>
      </c>
    </row>
    <row r="32" spans="1:10" ht="16">
      <c r="A32" s="38" t="s">
        <v>29</v>
      </c>
      <c r="B32" s="47">
        <v>493.77</v>
      </c>
      <c r="C32" s="46"/>
      <c r="D32" s="46"/>
      <c r="E32" s="46"/>
      <c r="F32" s="46"/>
      <c r="G32" s="46"/>
      <c r="H32" s="46"/>
      <c r="I32" s="46"/>
      <c r="J32" s="47">
        <f>B32+C32+D32+E32+F32+G32+H32+I32</f>
        <v>493.77</v>
      </c>
    </row>
    <row r="33" spans="1:10" ht="16">
      <c r="A33" s="38" t="s">
        <v>30</v>
      </c>
      <c r="B33" s="46"/>
      <c r="C33" s="46"/>
      <c r="D33" s="47">
        <v>31.36</v>
      </c>
      <c r="E33" s="46"/>
      <c r="F33" s="46"/>
      <c r="G33" s="46"/>
      <c r="H33" s="46"/>
      <c r="I33" s="46"/>
      <c r="J33" s="47">
        <f>B33+C33+D33+E33+F33+G33+H33+I33</f>
        <v>31.36</v>
      </c>
    </row>
    <row r="34" spans="1:10" ht="16">
      <c r="A34" s="38" t="s">
        <v>31</v>
      </c>
      <c r="B34" s="47">
        <v>288.95</v>
      </c>
      <c r="C34" s="46"/>
      <c r="D34" s="46"/>
      <c r="E34" s="46"/>
      <c r="F34" s="46"/>
      <c r="G34" s="46"/>
      <c r="H34" s="46"/>
      <c r="I34" s="46"/>
      <c r="J34" s="47">
        <f>B34+C34+D34+E34+F34+G34+H34+I34</f>
        <v>288.95</v>
      </c>
    </row>
    <row r="35" spans="1:10" ht="16">
      <c r="A35" s="38" t="s">
        <v>32</v>
      </c>
      <c r="B35" s="47">
        <v>23.1</v>
      </c>
      <c r="C35" s="46"/>
      <c r="D35" s="46"/>
      <c r="E35" s="46"/>
      <c r="F35" s="46"/>
      <c r="G35" s="46"/>
      <c r="H35" s="46"/>
      <c r="I35" s="46"/>
      <c r="J35" s="47">
        <f>B35+C35+D35+E35+F35+G35+H35+I35</f>
        <v>23.1</v>
      </c>
    </row>
    <row r="36" spans="1:10" ht="16">
      <c r="A36" s="38" t="s">
        <v>33</v>
      </c>
      <c r="B36" s="47">
        <v>1103.53</v>
      </c>
      <c r="C36" s="46"/>
      <c r="D36" s="46"/>
      <c r="E36" s="46"/>
      <c r="F36" s="46"/>
      <c r="G36" s="46"/>
      <c r="H36" s="46"/>
      <c r="I36" s="46"/>
      <c r="J36" s="47">
        <f>B36+C36+D36+E36+F36+G36+H36+I36</f>
        <v>1103.53</v>
      </c>
    </row>
    <row r="37" spans="1:10" ht="16">
      <c r="A37" s="41" t="s">
        <v>34</v>
      </c>
      <c r="B37" s="48">
        <f>B30+B31+B32+B33+B34+B35+B36</f>
        <v>4712.91</v>
      </c>
      <c r="C37" s="51">
        <f>C30+C31+C32+C33+C34+C35+C36</f>
        <v>0.0</v>
      </c>
      <c r="D37" s="48">
        <f>D30+D31+D32+D33+D34+D35+D36</f>
        <v>31.36</v>
      </c>
      <c r="E37" s="51">
        <f>E30+E31+E32+E33+E34+E35+E36</f>
        <v>0.0</v>
      </c>
      <c r="F37" s="51">
        <f>F30+F31+F32+F33+F34+F35+F36</f>
        <v>0.0</v>
      </c>
      <c r="G37" s="51">
        <f>G30+G31+G32+G33+G34+G35+G36</f>
        <v>0.0</v>
      </c>
      <c r="H37" s="51">
        <f>H30+H31+H32+H33+H34+H35+H36</f>
        <v>0.0</v>
      </c>
      <c r="I37" s="51">
        <f>I30+I31+I32+I33+I34+I35+I36</f>
        <v>0.0</v>
      </c>
      <c r="J37" s="51">
        <f>B37+C37+D37+E37+F37+G37+H37+I37</f>
        <v>4744.2699999999995</v>
      </c>
    </row>
    <row r="38" spans="1:10" ht="16">
      <c r="A38" s="37" t="s">
        <v>26</v>
      </c>
      <c r="B38" s="47">
        <v>12155.99</v>
      </c>
      <c r="C38" s="46"/>
      <c r="D38" s="47">
        <v>296.28</v>
      </c>
      <c r="E38" s="46"/>
      <c r="F38" s="46"/>
      <c r="G38" s="46"/>
      <c r="H38" s="46"/>
      <c r="I38" s="46"/>
      <c r="J38" s="47">
        <f>B38+C38+D38+E38+F38+G38+H38+I38</f>
        <v>12452.27</v>
      </c>
    </row>
    <row r="39" spans="1:10" ht="16">
      <c r="A39" s="42" t="s">
        <v>35</v>
      </c>
      <c r="B39" s="48">
        <f>B29+B37+B38</f>
        <v>16868.9</v>
      </c>
      <c r="C39" s="51">
        <f>C29+C37+C38</f>
        <v>0.0</v>
      </c>
      <c r="D39" s="48">
        <f>D29+D37+D38</f>
        <v>327.64</v>
      </c>
      <c r="E39" s="51">
        <f>E29+E37+E38</f>
        <v>0.0</v>
      </c>
      <c r="F39" s="51">
        <f>F29+F37+F38</f>
        <v>0.0</v>
      </c>
      <c r="G39" s="51">
        <f>G29+G37+G38</f>
        <v>0.0</v>
      </c>
      <c r="H39" s="51">
        <f>H29+H37+H38</f>
        <v>0.0</v>
      </c>
      <c r="I39" s="51">
        <f>I29+I37+I38</f>
        <v>0.0</v>
      </c>
      <c r="J39" s="51">
        <f>B39+C39+D39+E39+F39+G39+H39+I39</f>
        <v>17196.54</v>
      </c>
    </row>
    <row r="40" spans="1:10" ht="16">
      <c r="A40" s="42" t="s">
        <v>36</v>
      </c>
      <c r="B40" s="48">
        <f>B28-B39</f>
        <v>18056.590000000004</v>
      </c>
      <c r="C40" s="51">
        <f>C28-C39</f>
        <v>0.0</v>
      </c>
      <c r="D40" s="48">
        <f>D28-D39</f>
        <v>656.6800000000002</v>
      </c>
      <c r="E40" s="51">
        <f>E28-E39</f>
        <v>0.0</v>
      </c>
      <c r="F40" s="51">
        <f>F28-F39</f>
        <v>0.0</v>
      </c>
      <c r="G40" s="51">
        <f>G28-G39</f>
        <v>0.0</v>
      </c>
      <c r="H40" s="51">
        <f>H28-H39</f>
        <v>0.0</v>
      </c>
      <c r="I40" s="51">
        <f>I28-I39</f>
        <v>0.0</v>
      </c>
      <c r="J40" s="51">
        <f>B40+C40+D40+E40+F40+G40+H40+I40</f>
        <v>18713.270000000004</v>
      </c>
    </row>
    <row r="41" spans="1:9" ht="16">
      <c r="A41" s="36" t="s">
        <v>37</v>
      </c>
      <c r="B41" s="46"/>
      <c r="C41" s="46"/>
      <c r="D41" s="46"/>
      <c r="E41" s="46"/>
      <c r="F41" s="46"/>
      <c r="G41" s="46"/>
      <c r="H41" s="46"/>
      <c r="I41" s="46"/>
    </row>
    <row r="42" spans="1:10" ht="16">
      <c r="A42" s="37" t="s">
        <v>38</v>
      </c>
      <c r="B42" s="47">
        <v>136.43</v>
      </c>
      <c r="C42" s="46"/>
      <c r="D42" s="46"/>
      <c r="E42" s="46"/>
      <c r="F42" s="46"/>
      <c r="G42" s="46"/>
      <c r="H42" s="46"/>
      <c r="I42" s="46"/>
      <c r="J42" s="47">
        <f>B42+C42+D42+E42+F42+G42+H42+I42</f>
        <v>136.43</v>
      </c>
    </row>
    <row r="43" spans="1:10" ht="16">
      <c r="A43" s="38" t="s">
        <v>39</v>
      </c>
      <c r="B43" s="47">
        <v>593.78</v>
      </c>
      <c r="C43" s="46"/>
      <c r="D43" s="46"/>
      <c r="E43" s="46"/>
      <c r="F43" s="46"/>
      <c r="G43" s="46"/>
      <c r="H43" s="46"/>
      <c r="I43" s="46"/>
      <c r="J43" s="47">
        <f>B43+C43+D43+E43+F43+G43+H43+I43</f>
        <v>593.78</v>
      </c>
    </row>
    <row r="44" spans="1:10" ht="16">
      <c r="A44" s="38" t="s">
        <v>40</v>
      </c>
      <c r="B44" s="47">
        <v>154.69</v>
      </c>
      <c r="C44" s="46"/>
      <c r="D44" s="46"/>
      <c r="E44" s="46"/>
      <c r="F44" s="46"/>
      <c r="G44" s="46"/>
      <c r="H44" s="46"/>
      <c r="I44" s="46"/>
      <c r="J44" s="47">
        <f>B44+C44+D44+E44+F44+G44+H44+I44</f>
        <v>154.69</v>
      </c>
    </row>
    <row r="45" spans="1:10" ht="16">
      <c r="A45" s="39" t="s">
        <v>41</v>
      </c>
      <c r="B45" s="47">
        <v>13.41</v>
      </c>
      <c r="C45" s="46"/>
      <c r="D45" s="46"/>
      <c r="E45" s="46"/>
      <c r="F45" s="46"/>
      <c r="G45" s="46"/>
      <c r="H45" s="46"/>
      <c r="I45" s="46"/>
      <c r="J45" s="47">
        <f>B45+C45+D45+E45+F45+G45+H45+I45</f>
        <v>13.41</v>
      </c>
    </row>
    <row r="46" spans="1:10" ht="16">
      <c r="A46" s="40" t="s">
        <v>42</v>
      </c>
      <c r="B46" s="48">
        <f>B44+B45</f>
        <v>168.1</v>
      </c>
      <c r="C46" s="51">
        <f>C44+C45</f>
        <v>0.0</v>
      </c>
      <c r="D46" s="51">
        <f>D44+D45</f>
        <v>0.0</v>
      </c>
      <c r="E46" s="51">
        <f>E44+E45</f>
        <v>0.0</v>
      </c>
      <c r="F46" s="51">
        <f>F44+F45</f>
        <v>0.0</v>
      </c>
      <c r="G46" s="51">
        <f>G44+G45</f>
        <v>0.0</v>
      </c>
      <c r="H46" s="51">
        <f>H44+H45</f>
        <v>0.0</v>
      </c>
      <c r="I46" s="51">
        <f>I44+I45</f>
        <v>0.0</v>
      </c>
      <c r="J46" s="51">
        <f>B46+C46+D46+E46+F46+G46+H46+I46</f>
        <v>168.1</v>
      </c>
    </row>
    <row r="47" spans="1:10" ht="16">
      <c r="A47" s="38" t="s">
        <v>43</v>
      </c>
      <c r="B47" s="47">
        <v>33.99</v>
      </c>
      <c r="C47" s="46"/>
      <c r="D47" s="46"/>
      <c r="E47" s="46"/>
      <c r="F47" s="46"/>
      <c r="G47" s="46"/>
      <c r="H47" s="46"/>
      <c r="I47" s="46"/>
      <c r="J47" s="47">
        <f>B47+C47+D47+E47+F47+G47+H47+I47</f>
        <v>33.99</v>
      </c>
    </row>
    <row r="48" spans="1:10" ht="16">
      <c r="A48" s="38" t="s">
        <v>44</v>
      </c>
      <c r="B48" s="46"/>
      <c r="C48" s="46"/>
      <c r="D48" s="46"/>
      <c r="E48" s="46"/>
      <c r="F48" s="46"/>
      <c r="G48" s="46"/>
      <c r="H48" s="46"/>
      <c r="I48" s="46"/>
      <c r="J48" s="46"/>
    </row>
    <row r="49" spans="1:10" ht="16">
      <c r="A49" s="39" t="s">
        <v>45</v>
      </c>
      <c r="B49" s="47">
        <v>20.73</v>
      </c>
      <c r="C49" s="46"/>
      <c r="D49" s="46"/>
      <c r="E49" s="46"/>
      <c r="F49" s="46"/>
      <c r="G49" s="46"/>
      <c r="H49" s="46"/>
      <c r="I49" s="46"/>
      <c r="J49" s="47">
        <f>B49+C49+D49+E49+F49+G49+H49+I49</f>
        <v>20.73</v>
      </c>
    </row>
    <row r="50" spans="1:10" ht="16">
      <c r="A50" s="40" t="s">
        <v>46</v>
      </c>
      <c r="B50" s="48">
        <f>B48+B49</f>
        <v>20.73</v>
      </c>
      <c r="C50" s="51">
        <f>C48+C49</f>
        <v>0.0</v>
      </c>
      <c r="D50" s="51">
        <f>D48+D49</f>
        <v>0.0</v>
      </c>
      <c r="E50" s="51">
        <f>E48+E49</f>
        <v>0.0</v>
      </c>
      <c r="F50" s="51">
        <f>F48+F49</f>
        <v>0.0</v>
      </c>
      <c r="G50" s="51">
        <f>G48+G49</f>
        <v>0.0</v>
      </c>
      <c r="H50" s="51">
        <f>H48+H49</f>
        <v>0.0</v>
      </c>
      <c r="I50" s="51">
        <f>I48+I49</f>
        <v>0.0</v>
      </c>
      <c r="J50" s="51">
        <f>B50+C50+D50+E50+F50+G50+H50+I50</f>
        <v>20.73</v>
      </c>
    </row>
    <row r="51" spans="1:10" ht="16">
      <c r="A51" s="41" t="s">
        <v>47</v>
      </c>
      <c r="B51" s="48">
        <f>B42+B43+B46+B47+B50</f>
        <v>953.0300000000001</v>
      </c>
      <c r="C51" s="51">
        <f>C42+C43+C46+C47+C50</f>
        <v>0.0</v>
      </c>
      <c r="D51" s="51">
        <f>D42+D43+D46+D47+D50</f>
        <v>0.0</v>
      </c>
      <c r="E51" s="51">
        <f>E42+E43+E46+E47+E50</f>
        <v>0.0</v>
      </c>
      <c r="F51" s="51">
        <f>F42+F43+F46+F47+F50</f>
        <v>0.0</v>
      </c>
      <c r="G51" s="51">
        <f>G42+G43+G46+G47+G50</f>
        <v>0.0</v>
      </c>
      <c r="H51" s="51">
        <f>H42+H43+H46+H47+H50</f>
        <v>0.0</v>
      </c>
      <c r="I51" s="51">
        <f>I42+I43+I46+I47+I50</f>
        <v>0.0</v>
      </c>
      <c r="J51" s="51">
        <f>B51+C51+D51+E51+F51+G51+H51+I51</f>
        <v>953.0300000000001</v>
      </c>
    </row>
    <row r="52" spans="1:10" ht="16">
      <c r="A52" s="37" t="s">
        <v>48</v>
      </c>
      <c r="B52" s="46"/>
      <c r="C52" s="46"/>
      <c r="D52" s="46"/>
      <c r="E52" s="46"/>
      <c r="F52" s="46"/>
      <c r="G52" s="46"/>
      <c r="H52" s="46"/>
      <c r="I52" s="46"/>
      <c r="J52" s="46"/>
    </row>
    <row r="53" spans="1:10" ht="16">
      <c r="A53" s="38" t="s">
        <v>49</v>
      </c>
      <c r="B53" s="47">
        <v>2330.0</v>
      </c>
      <c r="C53" s="46"/>
      <c r="D53" s="46"/>
      <c r="E53" s="46"/>
      <c r="F53" s="46"/>
      <c r="G53" s="46"/>
      <c r="H53" s="46"/>
      <c r="I53" s="46"/>
      <c r="J53" s="47">
        <f>B53+C53+D53+E53+F53+G53+H53+I53</f>
        <v>2330.0</v>
      </c>
    </row>
    <row r="54" spans="1:10" ht="16">
      <c r="A54" s="38" t="s">
        <v>50</v>
      </c>
      <c r="B54" s="47">
        <v>530.53</v>
      </c>
      <c r="C54" s="46"/>
      <c r="D54" s="46"/>
      <c r="E54" s="46"/>
      <c r="F54" s="46"/>
      <c r="G54" s="46"/>
      <c r="H54" s="46"/>
      <c r="I54" s="46"/>
      <c r="J54" s="47">
        <f>B54+C54+D54+E54+F54+G54+H54+I54</f>
        <v>530.53</v>
      </c>
    </row>
    <row r="55" spans="1:10" ht="16">
      <c r="A55" s="39" t="s">
        <v>51</v>
      </c>
      <c r="B55" s="47">
        <v>188.31</v>
      </c>
      <c r="C55" s="46"/>
      <c r="D55" s="46"/>
      <c r="E55" s="46"/>
      <c r="F55" s="46"/>
      <c r="G55" s="46"/>
      <c r="H55" s="46"/>
      <c r="I55" s="46"/>
      <c r="J55" s="47">
        <f>B55+C55+D55+E55+F55+G55+H55+I55</f>
        <v>188.31</v>
      </c>
    </row>
    <row r="56" spans="1:10" ht="16">
      <c r="A56" s="40" t="s">
        <v>52</v>
      </c>
      <c r="B56" s="48">
        <f>B54+B55</f>
        <v>718.8399999999999</v>
      </c>
      <c r="C56" s="51">
        <f>C54+C55</f>
        <v>0.0</v>
      </c>
      <c r="D56" s="51">
        <f>D54+D55</f>
        <v>0.0</v>
      </c>
      <c r="E56" s="51">
        <f>E54+E55</f>
        <v>0.0</v>
      </c>
      <c r="F56" s="51">
        <f>F54+F55</f>
        <v>0.0</v>
      </c>
      <c r="G56" s="51">
        <f>G54+G55</f>
        <v>0.0</v>
      </c>
      <c r="H56" s="51">
        <f>H54+H55</f>
        <v>0.0</v>
      </c>
      <c r="I56" s="51">
        <f>I54+I55</f>
        <v>0.0</v>
      </c>
      <c r="J56" s="51">
        <f>B56+C56+D56+E56+F56+G56+H56+I56</f>
        <v>718.8399999999999</v>
      </c>
    </row>
    <row r="57" spans="1:10" ht="16">
      <c r="A57" s="38" t="s">
        <v>53</v>
      </c>
      <c r="B57" s="47">
        <v>311.88</v>
      </c>
      <c r="C57" s="46"/>
      <c r="D57" s="46"/>
      <c r="E57" s="46"/>
      <c r="F57" s="46"/>
      <c r="G57" s="46"/>
      <c r="H57" s="46"/>
      <c r="I57" s="46"/>
      <c r="J57" s="47">
        <f>B57+C57+D57+E57+F57+G57+H57+I57</f>
        <v>311.88</v>
      </c>
    </row>
    <row r="58" spans="1:10" ht="16">
      <c r="A58" s="38" t="s">
        <v>54</v>
      </c>
      <c r="B58" s="46"/>
      <c r="C58" s="46"/>
      <c r="D58" s="46"/>
      <c r="E58" s="46"/>
      <c r="F58" s="46"/>
      <c r="G58" s="46"/>
      <c r="H58" s="46"/>
      <c r="I58" s="46"/>
      <c r="J58" s="46"/>
    </row>
    <row r="59" spans="1:10" ht="16">
      <c r="A59" s="39" t="s">
        <v>55</v>
      </c>
      <c r="B59" s="47">
        <v>159.0</v>
      </c>
      <c r="C59" s="46"/>
      <c r="D59" s="46"/>
      <c r="E59" s="46"/>
      <c r="F59" s="46"/>
      <c r="G59" s="46"/>
      <c r="H59" s="46"/>
      <c r="I59" s="46"/>
      <c r="J59" s="47">
        <f>B59+C59+D59+E59+F59+G59+H59+I59</f>
        <v>159.0</v>
      </c>
    </row>
    <row r="60" spans="1:10" ht="16">
      <c r="A60" s="39" t="s">
        <v>56</v>
      </c>
      <c r="B60" s="47">
        <v>336.74</v>
      </c>
      <c r="C60" s="46"/>
      <c r="D60" s="46"/>
      <c r="E60" s="46"/>
      <c r="F60" s="46"/>
      <c r="G60" s="46"/>
      <c r="H60" s="46"/>
      <c r="I60" s="46"/>
      <c r="J60" s="47">
        <f>B60+C60+D60+E60+F60+G60+H60+I60</f>
        <v>336.74</v>
      </c>
    </row>
    <row r="61" spans="1:10" ht="16">
      <c r="A61" s="39" t="s">
        <v>57</v>
      </c>
      <c r="B61" s="47">
        <v>110.94</v>
      </c>
      <c r="C61" s="46"/>
      <c r="D61" s="46"/>
      <c r="E61" s="46"/>
      <c r="F61" s="46"/>
      <c r="G61" s="46"/>
      <c r="H61" s="46"/>
      <c r="I61" s="46"/>
      <c r="J61" s="47">
        <f>B61+C61+D61+E61+F61+G61+H61+I61</f>
        <v>110.94</v>
      </c>
    </row>
    <row r="62" spans="1:10" ht="16">
      <c r="A62" s="39" t="s">
        <v>58</v>
      </c>
      <c r="B62" s="49">
        <v>0</v>
      </c>
      <c r="C62" s="46"/>
      <c r="D62" s="46"/>
      <c r="E62" s="46"/>
      <c r="F62" s="46"/>
      <c r="G62" s="46"/>
      <c r="H62" s="46"/>
      <c r="I62" s="46"/>
      <c r="J62" s="49">
        <f>B62+C62+D62+E62+F62+G62+H62+I62</f>
        <v>0.0</v>
      </c>
    </row>
    <row r="63" spans="1:10" ht="16">
      <c r="A63" s="39" t="s">
        <v>59</v>
      </c>
      <c r="B63" s="47">
        <v>24.51</v>
      </c>
      <c r="C63" s="46"/>
      <c r="D63" s="46"/>
      <c r="E63" s="46"/>
      <c r="F63" s="46"/>
      <c r="G63" s="46"/>
      <c r="H63" s="46"/>
      <c r="I63" s="46"/>
      <c r="J63" s="47">
        <f>B63+C63+D63+E63+F63+G63+H63+I63</f>
        <v>24.51</v>
      </c>
    </row>
    <row r="64" spans="1:10" ht="16">
      <c r="A64" s="40" t="s">
        <v>60</v>
      </c>
      <c r="B64" s="48">
        <f>B58+B59+B60+B61+B62+B63</f>
        <v>631.19</v>
      </c>
      <c r="C64" s="51">
        <f>C58+C59+C60+C61+C62+C63</f>
        <v>0.0</v>
      </c>
      <c r="D64" s="51">
        <f>D58+D59+D60+D61+D62+D63</f>
        <v>0.0</v>
      </c>
      <c r="E64" s="51">
        <f>E58+E59+E60+E61+E62+E63</f>
        <v>0.0</v>
      </c>
      <c r="F64" s="51">
        <f>F58+F59+F60+F61+F62+F63</f>
        <v>0.0</v>
      </c>
      <c r="G64" s="51">
        <f>G58+G59+G60+G61+G62+G63</f>
        <v>0.0</v>
      </c>
      <c r="H64" s="51">
        <f>H58+H59+H60+H61+H62+H63</f>
        <v>0.0</v>
      </c>
      <c r="I64" s="51">
        <f>I58+I59+I60+I61+I62+I63</f>
        <v>0.0</v>
      </c>
      <c r="J64" s="51">
        <f>B64+C64+D64+E64+F64+G64+H64+I64</f>
        <v>631.19</v>
      </c>
    </row>
    <row r="65" spans="1:10" ht="16">
      <c r="A65" s="38" t="s">
        <v>61</v>
      </c>
      <c r="B65" s="47">
        <v>4838.65</v>
      </c>
      <c r="C65" s="46"/>
      <c r="D65" s="46"/>
      <c r="E65" s="46"/>
      <c r="F65" s="46"/>
      <c r="G65" s="46"/>
      <c r="H65" s="46"/>
      <c r="I65" s="46"/>
      <c r="J65" s="47">
        <f>B65+C65+D65+E65+F65+G65+H65+I65</f>
        <v>4838.65</v>
      </c>
    </row>
    <row r="66" spans="1:10" ht="16">
      <c r="A66" s="38" t="s">
        <v>62</v>
      </c>
      <c r="B66" s="47">
        <v>746.95</v>
      </c>
      <c r="C66" s="46"/>
      <c r="D66" s="46"/>
      <c r="E66" s="46"/>
      <c r="F66" s="46"/>
      <c r="G66" s="46"/>
      <c r="H66" s="46"/>
      <c r="I66" s="46"/>
      <c r="J66" s="47">
        <f>B66+C66+D66+E66+F66+G66+H66+I66</f>
        <v>746.95</v>
      </c>
    </row>
    <row r="67" spans="1:10" ht="16">
      <c r="A67" s="38" t="s">
        <v>63</v>
      </c>
      <c r="B67" s="47">
        <v>3250.69</v>
      </c>
      <c r="C67" s="46"/>
      <c r="D67" s="46"/>
      <c r="E67" s="46"/>
      <c r="F67" s="46"/>
      <c r="G67" s="46"/>
      <c r="H67" s="46"/>
      <c r="I67" s="46"/>
      <c r="J67" s="47">
        <f>B67+C67+D67+E67+F67+G67+H67+I67</f>
        <v>3250.69</v>
      </c>
    </row>
    <row r="68" spans="1:10" ht="16">
      <c r="A68" s="38" t="s">
        <v>64</v>
      </c>
      <c r="B68" s="46"/>
      <c r="C68" s="46"/>
      <c r="D68" s="46"/>
      <c r="E68" s="46"/>
      <c r="F68" s="46"/>
      <c r="G68" s="46"/>
      <c r="H68" s="46"/>
      <c r="I68" s="46"/>
      <c r="J68" s="46"/>
    </row>
    <row r="69" spans="1:10" ht="16">
      <c r="A69" s="39" t="s">
        <v>65</v>
      </c>
      <c r="B69" s="47">
        <v>1496.95</v>
      </c>
      <c r="C69" s="47">
        <v>741.6</v>
      </c>
      <c r="D69" s="47">
        <v>1216.82</v>
      </c>
      <c r="E69" s="46"/>
      <c r="F69" s="46"/>
      <c r="G69" s="46"/>
      <c r="H69" s="46"/>
      <c r="I69" s="46"/>
      <c r="J69" s="47">
        <f>B69+C69+D69+E69+F69+G69+H69+I69</f>
        <v>3455.37</v>
      </c>
    </row>
    <row r="70" spans="1:10" ht="16">
      <c r="A70" s="39" t="s">
        <v>66</v>
      </c>
      <c r="B70" s="47">
        <v>10298.88</v>
      </c>
      <c r="C70" s="47">
        <v>5149.44</v>
      </c>
      <c r="D70" s="47">
        <v>10452.73</v>
      </c>
      <c r="E70" s="46"/>
      <c r="F70" s="46"/>
      <c r="G70" s="46"/>
      <c r="H70" s="46"/>
      <c r="I70" s="46"/>
      <c r="J70" s="47">
        <f>B70+C70+D70+E70+F70+G70+H70+I70</f>
        <v>25901.05</v>
      </c>
    </row>
    <row r="71" spans="1:10" ht="16">
      <c r="A71" s="40" t="s">
        <v>67</v>
      </c>
      <c r="B71" s="48">
        <f>B68+B69+B70</f>
        <v>11795.83</v>
      </c>
      <c r="C71" s="48">
        <f>C68+C69+C70</f>
        <v>5891.04</v>
      </c>
      <c r="D71" s="48">
        <f>D68+D69+D70</f>
        <v>11669.55</v>
      </c>
      <c r="E71" s="51">
        <f>E68+E69+E70</f>
        <v>0.0</v>
      </c>
      <c r="F71" s="51">
        <f>F68+F69+F70</f>
        <v>0.0</v>
      </c>
      <c r="G71" s="51">
        <f>G68+G69+G70</f>
        <v>0.0</v>
      </c>
      <c r="H71" s="51">
        <f>H68+H69+H70</f>
        <v>0.0</v>
      </c>
      <c r="I71" s="51">
        <f>I68+I69+I70</f>
        <v>0.0</v>
      </c>
      <c r="J71" s="51">
        <f>B71+C71+D71+E71+F71+G71+H71+I71</f>
        <v>29356.42</v>
      </c>
    </row>
    <row r="72" spans="1:10" ht="16">
      <c r="A72" s="41" t="s">
        <v>68</v>
      </c>
      <c r="B72" s="48">
        <f>B52+B53+B56+B57+B64+B65+B66+B67+B71</f>
        <v>24624.03</v>
      </c>
      <c r="C72" s="48">
        <f>C52+C53+C56+C57+C64+C65+C66+C67+C71</f>
        <v>5891.04</v>
      </c>
      <c r="D72" s="48">
        <f>D52+D53+D56+D57+D64+D65+D66+D67+D71</f>
        <v>11669.55</v>
      </c>
      <c r="E72" s="51">
        <f>E52+E53+E56+E57+E64+E65+E66+E67+E71</f>
        <v>0.0</v>
      </c>
      <c r="F72" s="51">
        <f>F52+F53+F56+F57+F64+F65+F66+F67+F71</f>
        <v>0.0</v>
      </c>
      <c r="G72" s="51">
        <f>G52+G53+G56+G57+G64+G65+G66+G67+G71</f>
        <v>0.0</v>
      </c>
      <c r="H72" s="51">
        <f>H52+H53+H56+H57+H64+H65+H66+H67+H71</f>
        <v>0.0</v>
      </c>
      <c r="I72" s="51">
        <f>I52+I53+I56+I57+I64+I65+I66+I67+I71</f>
        <v>0.0</v>
      </c>
      <c r="J72" s="51">
        <f>B72+C72+D72+E72+F72+G72+H72+I72</f>
        <v>42184.619999999995</v>
      </c>
    </row>
    <row r="73" spans="1:10" ht="16">
      <c r="A73" s="37" t="s">
        <v>69</v>
      </c>
      <c r="B73" s="47">
        <v>175.0</v>
      </c>
      <c r="C73" s="47">
        <v>203.51</v>
      </c>
      <c r="D73" s="47">
        <v>267.76</v>
      </c>
      <c r="E73" s="46"/>
      <c r="F73" s="46"/>
      <c r="G73" s="46"/>
      <c r="H73" s="46"/>
      <c r="I73" s="46"/>
      <c r="J73" s="47">
        <f>B73+C73+D73+E73+F73+G73+H73+I73</f>
        <v>646.27</v>
      </c>
    </row>
    <row r="74" spans="1:10" ht="16">
      <c r="A74" s="37" t="s">
        <v>70</v>
      </c>
      <c r="B74" s="47">
        <v>263.27</v>
      </c>
      <c r="C74" s="46"/>
      <c r="D74" s="46"/>
      <c r="E74" s="46"/>
      <c r="F74" s="46"/>
      <c r="G74" s="46"/>
      <c r="H74" s="46"/>
      <c r="I74" s="46"/>
      <c r="J74" s="47">
        <f>B74+C74+D74+E74+F74+G74+H74+I74</f>
        <v>263.27</v>
      </c>
    </row>
    <row r="75" spans="1:10" ht="16">
      <c r="A75" s="37" t="s">
        <v>71</v>
      </c>
      <c r="B75" s="47">
        <v>25.0</v>
      </c>
      <c r="C75" s="46"/>
      <c r="D75" s="46"/>
      <c r="E75" s="46"/>
      <c r="F75" s="46"/>
      <c r="G75" s="46"/>
      <c r="H75" s="46"/>
      <c r="I75" s="46"/>
      <c r="J75" s="47">
        <f>B75+C75+D75+E75+F75+G75+H75+I75</f>
        <v>25.0</v>
      </c>
    </row>
    <row r="76" spans="1:10" ht="16">
      <c r="A76" s="37" t="s">
        <v>72</v>
      </c>
      <c r="B76" s="47">
        <v>5270.65</v>
      </c>
      <c r="C76" s="46"/>
      <c r="D76" s="46"/>
      <c r="E76" s="46"/>
      <c r="F76" s="46"/>
      <c r="G76" s="46"/>
      <c r="H76" s="46"/>
      <c r="I76" s="46"/>
      <c r="J76" s="47">
        <f>B76+C76+D76+E76+F76+G76+H76+I76</f>
        <v>5270.65</v>
      </c>
    </row>
    <row r="77" spans="1:10" ht="16">
      <c r="A77" s="42" t="s">
        <v>73</v>
      </c>
      <c r="B77" s="48">
        <f>B41+B51+B72+B73+B74+B75+B76</f>
        <v>31310.979999999996</v>
      </c>
      <c r="C77" s="48">
        <f>C41+C51+C72+C73+C74+C75+C76</f>
        <v>6094.55</v>
      </c>
      <c r="D77" s="48">
        <f>D41+D51+D72+D73+D74+D75+D76</f>
        <v>11937.31</v>
      </c>
      <c r="E77" s="51">
        <f>E41+E51+E72+E73+E74+E75+E76</f>
        <v>0.0</v>
      </c>
      <c r="F77" s="51">
        <f>F41+F51+F72+F73+F74+F75+F76</f>
        <v>0.0</v>
      </c>
      <c r="G77" s="51">
        <f>G41+G51+G72+G73+G74+G75+G76</f>
        <v>0.0</v>
      </c>
      <c r="H77" s="51">
        <f>H41+H51+H72+H73+H74+H75+H76</f>
        <v>0.0</v>
      </c>
      <c r="I77" s="51">
        <f>I41+I51+I72+I73+I74+I75+I76</f>
        <v>0.0</v>
      </c>
      <c r="J77" s="51">
        <f>B77+C77+D77+E77+F77+G77+H77+I77</f>
        <v>49342.84</v>
      </c>
    </row>
    <row r="78" spans="1:10" ht="16">
      <c r="A78" s="42" t="s">
        <v>74</v>
      </c>
      <c r="B78" s="48">
        <f>B40-B77</f>
        <v>-13254.389999999992</v>
      </c>
      <c r="C78" s="48">
        <f>C40-C77</f>
        <v>-6094.55</v>
      </c>
      <c r="D78" s="48">
        <f>D40-D77</f>
        <v>-11280.63</v>
      </c>
      <c r="E78" s="51">
        <f>E40-E77</f>
        <v>0.0</v>
      </c>
      <c r="F78" s="51">
        <f>F40-F77</f>
        <v>0.0</v>
      </c>
      <c r="G78" s="51">
        <f>G40-G77</f>
        <v>0.0</v>
      </c>
      <c r="H78" s="51">
        <f>H40-H77</f>
        <v>0.0</v>
      </c>
      <c r="I78" s="51">
        <f>I40-I77</f>
        <v>0.0</v>
      </c>
      <c r="J78" s="51">
        <f>B78+C78+D78+E78+F78+G78+H78+I78</f>
        <v>-30629.569999999992</v>
      </c>
    </row>
    <row r="79" spans="1:9" ht="16">
      <c r="A79" s="36" t="s">
        <v>75</v>
      </c>
      <c r="B79" s="46"/>
      <c r="C79" s="46"/>
      <c r="D79" s="46"/>
      <c r="E79" s="46"/>
      <c r="F79" s="46"/>
      <c r="G79" s="46"/>
      <c r="H79" s="46"/>
      <c r="I79" s="46"/>
    </row>
    <row r="80" spans="1:10" ht="16">
      <c r="A80" s="37" t="s">
        <v>76</v>
      </c>
      <c r="B80" s="47">
        <v>0.02</v>
      </c>
      <c r="C80" s="46"/>
      <c r="D80" s="46"/>
      <c r="E80" s="46"/>
      <c r="F80" s="46"/>
      <c r="G80" s="46"/>
      <c r="H80" s="46"/>
      <c r="I80" s="46"/>
      <c r="J80" s="47">
        <f>B80+C80+D80+E80+F80+G80+H80+I80</f>
        <v>0.02</v>
      </c>
    </row>
    <row r="81" spans="1:10" ht="16">
      <c r="A81" s="42" t="s">
        <v>77</v>
      </c>
      <c r="B81" s="48">
        <f>B79+B80</f>
        <v>0.02</v>
      </c>
      <c r="C81" s="51">
        <f>C79+C80</f>
        <v>0.0</v>
      </c>
      <c r="D81" s="51">
        <f>D79+D80</f>
        <v>0.0</v>
      </c>
      <c r="E81" s="51">
        <f>E79+E80</f>
        <v>0.0</v>
      </c>
      <c r="F81" s="51">
        <f>F79+F80</f>
        <v>0.0</v>
      </c>
      <c r="G81" s="51">
        <f>G79+G80</f>
        <v>0.0</v>
      </c>
      <c r="H81" s="51">
        <f>H79+H80</f>
        <v>0.0</v>
      </c>
      <c r="I81" s="51">
        <f>I79+I80</f>
        <v>0.0</v>
      </c>
      <c r="J81" s="51">
        <f>B81+C81+D81+E81+F81+G81+H81+I81</f>
        <v>0.02</v>
      </c>
    </row>
    <row r="82" spans="1:10" ht="16">
      <c r="A82" s="42" t="s">
        <v>78</v>
      </c>
      <c r="B82" s="48">
        <f>B81-0</f>
        <v>0.02</v>
      </c>
      <c r="C82" s="51">
        <f>C81-0</f>
        <v>0.0</v>
      </c>
      <c r="D82" s="51">
        <f>D81-0</f>
        <v>0.0</v>
      </c>
      <c r="E82" s="51">
        <f>E81-0</f>
        <v>0.0</v>
      </c>
      <c r="F82" s="51">
        <f>F81-0</f>
        <v>0.0</v>
      </c>
      <c r="G82" s="51">
        <f>G81-0</f>
        <v>0.0</v>
      </c>
      <c r="H82" s="51">
        <f>H81-0</f>
        <v>0.0</v>
      </c>
      <c r="I82" s="51">
        <f>I81-0</f>
        <v>0.0</v>
      </c>
      <c r="J82" s="51">
        <f>B82+C82+D82+E82+F82+G82+H82+I82</f>
        <v>0.02</v>
      </c>
    </row>
    <row r="83" spans="1:10" ht="16">
      <c r="A83" s="42" t="s">
        <v>79</v>
      </c>
      <c r="B83" s="48">
        <f>B78+B82</f>
        <v>-13254.369999999992</v>
      </c>
      <c r="C83" s="48">
        <f>C78+C82</f>
        <v>-6094.55</v>
      </c>
      <c r="D83" s="48">
        <f>D78+D82</f>
        <v>-11280.63</v>
      </c>
      <c r="E83" s="51">
        <f>E78+E82</f>
        <v>0.0</v>
      </c>
      <c r="F83" s="51">
        <f>F78+F82</f>
        <v>0.0</v>
      </c>
      <c r="G83" s="51">
        <f>G78+G82</f>
        <v>0.0</v>
      </c>
      <c r="H83" s="51">
        <f>H78+H82</f>
        <v>0.0</v>
      </c>
      <c r="I83" s="51">
        <f>I78+I82</f>
        <v>0.0</v>
      </c>
      <c r="J83" s="51">
        <f>B83+C83+D83+E83+F83+G83+H83+I83</f>
        <v>-30629.54999999999</v>
      </c>
    </row>
    <row r="87" spans="1:1" ht="16">
      <c r="A87" s="52" t="s">
        <v>90</v>
      </c>
    </row>
  </sheetData>
  <mergeCells count="4">
    <mergeCell ref="A1:J1"/>
    <mergeCell ref="A2:J2"/>
    <mergeCell ref="A3:J3"/>
    <mergeCell ref="A87:J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