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8" i="1" l="1"/>
</calcChain>
</file>

<file path=xl/sharedStrings.xml><?xml version="1.0" encoding="utf-8"?>
<sst xmlns="http://schemas.openxmlformats.org/spreadsheetml/2006/main" count="91" uniqueCount="91">
  <si>
    <t>BRAVADO SPICE LLC</t>
  </si>
  <si>
    <t>Profit and Loss by Month</t>
  </si>
  <si>
    <t>January 1-December 31, 2015</t>
  </si>
  <si>
    <t>Income</t>
  </si>
  <si>
    <t>61000 Sales</t>
  </si>
  <si>
    <t>61100 Pickles</t>
  </si>
  <si>
    <t>61120 Chili &amp; Garlic Pickles</t>
  </si>
  <si>
    <t>Total for 61100 Pickles</t>
  </si>
  <si>
    <t>61200 Hot Sauce</t>
  </si>
  <si>
    <t>61210 Pineapple &amp; Habanero Hot Sauce</t>
  </si>
  <si>
    <t>61220 Jalapeno &amp; Green Apple Hot Sauce</t>
  </si>
  <si>
    <t>61230 Ghost Pepper &amp; Blueberry Hot Sauce</t>
  </si>
  <si>
    <t>61240 Crimson Hot Sauce</t>
  </si>
  <si>
    <t>Total for 61200 Hot Sauce</t>
  </si>
  <si>
    <t>61500 Sets</t>
  </si>
  <si>
    <t>63000 Events/Shows Sales</t>
  </si>
  <si>
    <t>64000 Online Sales</t>
  </si>
  <si>
    <t>64100 Online Refunds/Allowances</t>
  </si>
  <si>
    <t>Total for 64000 Online Sales</t>
  </si>
  <si>
    <t>Total for 61000 Sales</t>
  </si>
  <si>
    <t>66000 Other Income</t>
  </si>
  <si>
    <t>67000 Uncategorized Income</t>
  </si>
  <si>
    <t>Total for Income</t>
  </si>
  <si>
    <t>Cost of Goods Sold</t>
  </si>
  <si>
    <t>62100 Refunds/Allowances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</si>
  <si>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</si>
  <si>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</si>
  <si>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</si>
  <si>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</si>
  <si>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</si>
  <si>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</si>
  <si>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Inventory Shrinkage</t>
  </si>
  <si>
    <t>QuickBooks Payments Fees</t>
  </si>
  <si>
    <t>Total for 71000 Cost of Sales (COS)</t>
  </si>
  <si>
    <t>Inventory Shrinkage (deleted)</t>
  </si>
  <si>
    <t>Total for Cost of Goods Sold</t>
  </si>
  <si>
    <t>Gross Profit</t>
  </si>
  <si>
    <t>Expenses</t>
  </si>
  <si>
    <t>72000 Marketing/Advertising</t>
  </si>
  <si>
    <t>72300 Promotional</t>
  </si>
  <si>
    <t>72400 Travel</t>
  </si>
  <si>
    <t>72500 Events/Shows</t>
  </si>
  <si>
    <t>72600 In Store Marketing</t>
  </si>
  <si>
    <t>Total for 72000 Marketing/Advertising</t>
  </si>
  <si>
    <t>73000 Overhead Expenses (G&amp;A)</t>
  </si>
  <si>
    <t>73100 Rent or Lease</t>
  </si>
  <si>
    <t>73110 Office Rent</t>
  </si>
  <si>
    <t>73120 James Office</t>
  </si>
  <si>
    <t>73130 Jer Office</t>
  </si>
  <si>
    <t>Total for 73100 Rent or Lease</t>
  </si>
  <si>
    <t>73200 Office Expenses</t>
  </si>
  <si>
    <t>73210 Shipping Supplies</t>
  </si>
  <si>
    <t>Total for 73200 Office Expenses</t>
  </si>
  <si>
    <t>73300 Utilities</t>
  </si>
  <si>
    <t>73400 Financial Fees</t>
  </si>
  <si>
    <t>73410 Bank Fees</t>
  </si>
  <si>
    <t>73420 Credit Card Fees</t>
  </si>
  <si>
    <t>73440 Square Fees</t>
  </si>
  <si>
    <t>73450 Interest Expense</t>
  </si>
  <si>
    <t>Total for 73400 Financial Fees</t>
  </si>
  <si>
    <t>73500 Dues &amp; Subscriptions</t>
  </si>
  <si>
    <t>73600 Insurance</t>
  </si>
  <si>
    <t>73620 Insurance - Liability</t>
  </si>
  <si>
    <t>Total for 73600 Insurance</t>
  </si>
  <si>
    <t>73800 Taxes &amp; Licenses</t>
  </si>
  <si>
    <t>Total for 73000 Overhead Expenses (G&amp;A)</t>
  </si>
  <si>
    <t>75000 Travel</t>
  </si>
  <si>
    <t>76000 Repair &amp; Maintenance</t>
  </si>
  <si>
    <t>Total for Expenses</t>
  </si>
  <si>
    <t>Net Operating Income</t>
  </si>
  <si>
    <t>Other Expenses</t>
  </si>
  <si>
    <t>90000 Other Miscellaneous Expense</t>
  </si>
  <si>
    <t>Reconciliation Discrepancies</t>
  </si>
  <si>
    <t>Total for Other Expenses</t>
  </si>
  <si>
    <t>Net Other Income</t>
  </si>
  <si>
    <t>Net Income</t>
  </si>
  <si>
    <t/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</si>
  <si>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</si>
  <si>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</si>
  <si>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</si>
  <si>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</si>
  <si>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</si>
  <si>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</si>
  <si>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</si>
  <si>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</si>
  <si>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</si>
  <si>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</si>
  <si>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</si>
  <si>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</si>
  <si>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Total</t>
  </si>
  <si>
    <t>Accrual Basis Tuesday, August 25, 2026 03:28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</si>
</sst>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8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82"/>
  <sheetViews>
    <sheetView tabSelected="1" workbookViewId="0" topLeftCell="A1"/>
  </sheetViews>
  <sheetFormatPr defaultColWidth="11.255" defaultRowHeight="16"/>
  <cols>
    <col min="1" max="1" width="35" style="43" customWidth="1"/>
    <col min="2" max="3" width="16.125" style="43" customWidth="1"/>
    <col min="4" max="5" width="17" style="43" customWidth="1"/>
    <col min="6" max="7" width="16.125" style="43" customWidth="1"/>
    <col min="8" max="8" width="17" style="43" customWidth="1"/>
    <col min="9" max="11" width="16.125" style="43" customWidth="1"/>
    <col min="12" max="12" width="17" style="43" customWidth="1"/>
    <col min="13" max="13" width="15.25" style="43" customWidth="1"/>
    <col min="14" max="14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76</v>
      </c>
      <c r="B5" s="50" t="s">
        <v>77</v>
      </c>
      <c r="C5" s="50" t="s">
        <v>78</v>
      </c>
      <c r="D5" s="50" t="s">
        <v>79</v>
      </c>
      <c r="E5" s="50" t="s">
        <v>80</v>
      </c>
      <c r="F5" s="50" t="s">
        <v>81</v>
      </c>
      <c r="G5" s="50" t="s">
        <v>82</v>
      </c>
      <c r="H5" s="50" t="s">
        <v>83</v>
      </c>
      <c r="I5" s="50" t="s">
        <v>84</v>
      </c>
      <c r="J5" s="50" t="s">
        <v>85</v>
      </c>
      <c r="K5" s="50" t="s">
        <v>86</v>
      </c>
      <c r="L5" s="50" t="s">
        <v>87</v>
      </c>
      <c r="M5" s="50" t="s">
        <v>88</v>
      </c>
      <c r="N5" s="50" t="s">
        <v>89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7">
        <v>3518.92</v>
      </c>
      <c r="C7" s="47">
        <v>3105.83</v>
      </c>
      <c r="D7" s="47">
        <v>2047.55</v>
      </c>
      <c r="E7" s="46"/>
      <c r="F7" s="47">
        <v>3108.0</v>
      </c>
      <c r="G7" s="46"/>
      <c r="H7" s="46"/>
      <c r="I7" s="46"/>
      <c r="J7" s="47">
        <v>7961.95</v>
      </c>
      <c r="K7" s="47">
        <v>433.6</v>
      </c>
      <c r="L7" s="46"/>
      <c r="M7" s="47">
        <v>965.05</v>
      </c>
      <c r="N7" s="47">
        <f>B7+C7+D7+E7+F7+G7+H7+I7+J7+K7+L7+M7</f>
        <v>21140.899999999998</v>
      </c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6"/>
      <c r="C9" s="46"/>
      <c r="D9" s="46"/>
      <c r="E9" s="46"/>
      <c r="F9" s="46"/>
      <c r="G9" s="46"/>
      <c r="H9" s="46"/>
      <c r="I9" s="47">
        <v>943.8</v>
      </c>
      <c r="J9" s="47">
        <v>686.4</v>
      </c>
      <c r="K9" s="47">
        <v>42.9</v>
      </c>
      <c r="L9" s="47">
        <v>386.1</v>
      </c>
      <c r="M9" s="46"/>
      <c r="N9" s="47">
        <f>B9+C9+D9+E9+F9+G9+H9+I9+J9+K9+L9+M9</f>
        <v>2059.2</v>
      </c>
    </row>
    <row r="10" spans="1:14" ht="16">
      <c r="A10" s="40" t="s">
        <v>7</v>
      </c>
      <c r="B10" s="48">
        <f>B8+B9</f>
        <v>0.0</v>
      </c>
      <c r="C10" s="48">
        <f>C8+C9</f>
        <v>0.0</v>
      </c>
      <c r="D10" s="48">
        <f>D8+D9</f>
        <v>0.0</v>
      </c>
      <c r="E10" s="48">
        <f>E8+E9</f>
        <v>0.0</v>
      </c>
      <c r="F10" s="48">
        <f>F8+F9</f>
        <v>0.0</v>
      </c>
      <c r="G10" s="48">
        <f>G8+G9</f>
        <v>0.0</v>
      </c>
      <c r="H10" s="48">
        <f>H8+H9</f>
        <v>0.0</v>
      </c>
      <c r="I10" s="49">
        <f>I8+I9</f>
        <v>943.8</v>
      </c>
      <c r="J10" s="49">
        <f>J8+J9</f>
        <v>686.4</v>
      </c>
      <c r="K10" s="49">
        <f>K8+K9</f>
        <v>42.9</v>
      </c>
      <c r="L10" s="49">
        <f>L8+L9</f>
        <v>386.1</v>
      </c>
      <c r="M10" s="48">
        <f>M8+M9</f>
        <v>0.0</v>
      </c>
      <c r="N10" s="48">
        <f>B10+C10+D10+E10+F10+G10+H10+I10+J10+K10+L10+M10</f>
        <v>2059.2</v>
      </c>
    </row>
    <row r="11" spans="1:14" ht="16">
      <c r="A11" s="38" t="s">
        <v>8</v>
      </c>
      <c r="B11" s="46"/>
      <c r="C11" s="47">
        <v>1750.49</v>
      </c>
      <c r="D11" s="46"/>
      <c r="E11" s="47">
        <v>94.8</v>
      </c>
      <c r="F11" s="46"/>
      <c r="G11" s="47">
        <v>179.2</v>
      </c>
      <c r="H11" s="46"/>
      <c r="I11" s="47">
        <v>3245.78</v>
      </c>
      <c r="J11" s="47">
        <v>382.0</v>
      </c>
      <c r="K11" s="47">
        <v>415.2</v>
      </c>
      <c r="L11" s="47">
        <v>119.4</v>
      </c>
      <c r="M11" s="46"/>
      <c r="N11" s="47">
        <f>B11+C11+D11+E11+F11+G11+H11+I11+J11+K11+L11+M11</f>
        <v>6186.87</v>
      </c>
    </row>
    <row r="12" spans="1:14" ht="16">
      <c r="A12" s="39" t="s">
        <v>9</v>
      </c>
      <c r="B12" s="46"/>
      <c r="C12" s="47">
        <v>47.4</v>
      </c>
      <c r="D12" s="47">
        <v>3540.34</v>
      </c>
      <c r="E12" s="47">
        <v>2015.2</v>
      </c>
      <c r="F12" s="47">
        <v>1194.5</v>
      </c>
      <c r="G12" s="47">
        <v>2897.4</v>
      </c>
      <c r="H12" s="47">
        <v>1819.04</v>
      </c>
      <c r="I12" s="47">
        <v>2052.0</v>
      </c>
      <c r="J12" s="47">
        <v>2337.8</v>
      </c>
      <c r="K12" s="47">
        <v>2873.58</v>
      </c>
      <c r="L12" s="47">
        <v>2237.6</v>
      </c>
      <c r="M12" s="47">
        <v>10465.6</v>
      </c>
      <c r="N12" s="47">
        <f>B12+C12+D12+E12+F12+G12+H12+I12+J12+K12+L12+M12</f>
        <v>31480.46</v>
      </c>
    </row>
    <row r="13" spans="1:14" ht="16">
      <c r="A13" s="39" t="s">
        <v>10</v>
      </c>
      <c r="B13" s="46"/>
      <c r="C13" s="47">
        <v>331.8</v>
      </c>
      <c r="D13" s="47">
        <v>1866.94</v>
      </c>
      <c r="E13" s="47">
        <v>1859.2</v>
      </c>
      <c r="F13" s="47">
        <v>886.0</v>
      </c>
      <c r="G13" s="47">
        <v>2591.08</v>
      </c>
      <c r="H13" s="47">
        <v>887.3</v>
      </c>
      <c r="I13" s="47">
        <v>1387.1</v>
      </c>
      <c r="J13" s="47">
        <v>1474.3</v>
      </c>
      <c r="K13" s="47">
        <v>1409.44</v>
      </c>
      <c r="L13" s="47">
        <v>1266.0</v>
      </c>
      <c r="M13" s="47">
        <v>1156.04</v>
      </c>
      <c r="N13" s="47">
        <f>B13+C13+D13+E13+F13+G13+H13+I13+J13+K13+L13+M13</f>
        <v>15115.2</v>
      </c>
    </row>
    <row r="14" spans="1:14" ht="16">
      <c r="A14" s="39" t="s">
        <v>11</v>
      </c>
      <c r="B14" s="46"/>
      <c r="C14" s="47">
        <v>663.6</v>
      </c>
      <c r="D14" s="47">
        <v>1919.32</v>
      </c>
      <c r="E14" s="47">
        <v>1965.0</v>
      </c>
      <c r="F14" s="47">
        <v>1271.3</v>
      </c>
      <c r="G14" s="47">
        <v>2850.48</v>
      </c>
      <c r="H14" s="47">
        <v>1271.01</v>
      </c>
      <c r="I14" s="47">
        <v>2048.2</v>
      </c>
      <c r="J14" s="47">
        <v>1970.54</v>
      </c>
      <c r="K14" s="47">
        <v>2072.16</v>
      </c>
      <c r="L14" s="47">
        <v>1690.2</v>
      </c>
      <c r="M14" s="47">
        <v>1267.02</v>
      </c>
      <c r="N14" s="47">
        <f>B14+C14+D14+E14+F14+G14+H14+I14+J14+K14+L14+M14</f>
        <v>18988.83</v>
      </c>
    </row>
    <row r="15" spans="1:14" ht="16">
      <c r="A15" s="39" t="s">
        <v>12</v>
      </c>
      <c r="B15" s="46"/>
      <c r="C15" s="46"/>
      <c r="D15" s="46"/>
      <c r="E15" s="47">
        <v>47.4</v>
      </c>
      <c r="F15" s="46"/>
      <c r="G15" s="47">
        <v>189.6</v>
      </c>
      <c r="H15" s="47">
        <v>2243.6</v>
      </c>
      <c r="I15" s="47">
        <v>1240.5</v>
      </c>
      <c r="J15" s="47">
        <v>1540.0</v>
      </c>
      <c r="K15" s="47">
        <v>1705.2</v>
      </c>
      <c r="L15" s="47">
        <v>1799.6</v>
      </c>
      <c r="M15" s="47">
        <v>118.5</v>
      </c>
      <c r="N15" s="47">
        <f>B15+C15+D15+E15+F15+G15+H15+I15+J15+K15+L15+M15</f>
        <v>8884.4</v>
      </c>
    </row>
    <row r="16" spans="1:14" ht="16">
      <c r="A16" s="40" t="s">
        <v>13</v>
      </c>
      <c r="B16" s="48">
        <f>B11+B12+B13+B14+B15</f>
        <v>0.0</v>
      </c>
      <c r="C16" s="49">
        <f>C11+C12+C13+C14+C15</f>
        <v>2793.29</v>
      </c>
      <c r="D16" s="49">
        <f>D11+D12+D13+D14+D15</f>
        <v>7326.6</v>
      </c>
      <c r="E16" s="49">
        <f>E11+E12+E13+E14+E15</f>
        <v>5981.599999999999</v>
      </c>
      <c r="F16" s="49">
        <f>F11+F12+F13+F14+F15</f>
        <v>3351.8</v>
      </c>
      <c r="G16" s="49">
        <f>G11+G12+G13+G14+G15</f>
        <v>8707.76</v>
      </c>
      <c r="H16" s="49">
        <f>H11+H12+H13+H14+H15</f>
        <v>6220.950000000001</v>
      </c>
      <c r="I16" s="49">
        <f>I11+I12+I13+I14+I15</f>
        <v>9973.580000000002</v>
      </c>
      <c r="J16" s="49">
        <f>J11+J12+J13+J14+J15</f>
        <v>7704.64</v>
      </c>
      <c r="K16" s="49">
        <f>K11+K12+K13+K14+K15</f>
        <v>8475.58</v>
      </c>
      <c r="L16" s="49">
        <f>L11+L12+L13+L14+L15</f>
        <v>7112.799999999999</v>
      </c>
      <c r="M16" s="49">
        <f>M11+M12+M13+M14+M15</f>
        <v>13007.16</v>
      </c>
      <c r="N16" s="48">
        <f>B16+C16+D16+E16+F16+G16+H16+I16+J16+K16+L16+M16</f>
        <v>80655.76000000001</v>
      </c>
    </row>
    <row r="17" spans="1:14" ht="16">
      <c r="A17" s="38" t="s">
        <v>14</v>
      </c>
      <c r="B17" s="47">
        <v>94.8</v>
      </c>
      <c r="C17" s="47">
        <v>14010.2</v>
      </c>
      <c r="D17" s="47">
        <v>-42.04</v>
      </c>
      <c r="E17" s="47">
        <v>-35.73</v>
      </c>
      <c r="F17" s="46"/>
      <c r="G17" s="46"/>
      <c r="H17" s="47">
        <v>-48.8</v>
      </c>
      <c r="I17" s="47">
        <v>-14.4</v>
      </c>
      <c r="J17" s="47">
        <v>-62.91</v>
      </c>
      <c r="K17" s="47">
        <v>49954.4</v>
      </c>
      <c r="L17" s="47">
        <v>-146.88</v>
      </c>
      <c r="M17" s="47">
        <v>133000.0</v>
      </c>
      <c r="N17" s="47">
        <f>B17+C17+D17+E17+F17+G17+H17+I17+J17+K17+L17+M17</f>
        <v>196708.64</v>
      </c>
    </row>
    <row r="18" spans="1:14" ht="16">
      <c r="A18" s="38" t="s">
        <v>15</v>
      </c>
      <c r="B18" s="47">
        <v>1510.69</v>
      </c>
      <c r="C18" s="47">
        <v>1146.33</v>
      </c>
      <c r="D18" s="47">
        <v>860.51</v>
      </c>
      <c r="E18" s="47">
        <v>282.88</v>
      </c>
      <c r="F18" s="47">
        <v>881.55</v>
      </c>
      <c r="G18" s="47">
        <v>696.12</v>
      </c>
      <c r="H18" s="47">
        <v>1074.51</v>
      </c>
      <c r="I18" s="47">
        <v>779.84</v>
      </c>
      <c r="J18" s="47">
        <v>1651.88</v>
      </c>
      <c r="K18" s="47">
        <v>2325.19</v>
      </c>
      <c r="L18" s="47">
        <v>4922.64</v>
      </c>
      <c r="M18" s="47">
        <v>1343.84</v>
      </c>
      <c r="N18" s="47">
        <f>B18+C18+D18+E18+F18+G18+H18+I18+J18+K18+L18+M18</f>
        <v>17475.980000000003</v>
      </c>
    </row>
    <row r="19" spans="1:14" ht="16">
      <c r="A19" s="38" t="s">
        <v>16</v>
      </c>
      <c r="B19" s="47">
        <v>1046.44</v>
      </c>
      <c r="C19" s="47">
        <v>377.62</v>
      </c>
      <c r="D19" s="47">
        <v>235.09</v>
      </c>
      <c r="E19" s="47">
        <v>177.39</v>
      </c>
      <c r="F19" s="47">
        <v>300.96</v>
      </c>
      <c r="G19" s="47">
        <v>299.61</v>
      </c>
      <c r="H19" s="47">
        <v>198.66</v>
      </c>
      <c r="I19" s="47">
        <v>254.26</v>
      </c>
      <c r="J19" s="47">
        <v>224.38</v>
      </c>
      <c r="K19" s="47">
        <v>172.62</v>
      </c>
      <c r="L19" s="47">
        <v>113.39</v>
      </c>
      <c r="M19" s="47">
        <v>859.76</v>
      </c>
      <c r="N19" s="47">
        <f>B19+C19+D19+E19+F19+G19+H19+I19+J19+K19+L19+M19</f>
        <v>4260.179999999999</v>
      </c>
    </row>
    <row r="20" spans="1:14" ht="16">
      <c r="A20" s="39" t="s">
        <v>17</v>
      </c>
      <c r="B20" s="47">
        <v>-13.57</v>
      </c>
      <c r="C20" s="46"/>
      <c r="D20" s="47">
        <v>-37.53</v>
      </c>
      <c r="E20" s="46"/>
      <c r="F20" s="46"/>
      <c r="G20" s="46"/>
      <c r="H20" s="46"/>
      <c r="I20" s="46"/>
      <c r="J20" s="46"/>
      <c r="K20" s="46"/>
      <c r="L20" s="46"/>
      <c r="M20" s="46"/>
      <c r="N20" s="47">
        <f>B20+C20+D20+E20+F20+G20+H20+I20+J20+K20+L20+M20</f>
        <v>-51.1</v>
      </c>
    </row>
    <row r="21" spans="1:14" ht="16">
      <c r="A21" s="40" t="s">
        <v>18</v>
      </c>
      <c r="B21" s="49">
        <f>B19+B20</f>
        <v>1032.8700000000001</v>
      </c>
      <c r="C21" s="49">
        <f>C19+C20</f>
        <v>377.62</v>
      </c>
      <c r="D21" s="49">
        <f>D19+D20</f>
        <v>197.56</v>
      </c>
      <c r="E21" s="49">
        <f>E19+E20</f>
        <v>177.39</v>
      </c>
      <c r="F21" s="49">
        <f>F19+F20</f>
        <v>300.96</v>
      </c>
      <c r="G21" s="49">
        <f>G19+G20</f>
        <v>299.61</v>
      </c>
      <c r="H21" s="49">
        <f>H19+H20</f>
        <v>198.66</v>
      </c>
      <c r="I21" s="49">
        <f>I19+I20</f>
        <v>254.26</v>
      </c>
      <c r="J21" s="49">
        <f>J19+J20</f>
        <v>224.38</v>
      </c>
      <c r="K21" s="49">
        <f>K19+K20</f>
        <v>172.62</v>
      </c>
      <c r="L21" s="49">
        <f>L19+L20</f>
        <v>113.39</v>
      </c>
      <c r="M21" s="49">
        <f>M19+M20</f>
        <v>859.76</v>
      </c>
      <c r="N21" s="48">
        <f>B21+C21+D21+E21+F21+G21+H21+I21+J21+K21+L21+M21</f>
        <v>4209.08</v>
      </c>
    </row>
    <row r="22" spans="1:14" ht="16">
      <c r="A22" s="41" t="s">
        <v>19</v>
      </c>
      <c r="B22" s="49">
        <f>B7+B10+B16+B17+B18+B21</f>
        <v>6157.28</v>
      </c>
      <c r="C22" s="49">
        <f>C7+C10+C16+C17+C18+C21</f>
        <v>21433.27</v>
      </c>
      <c r="D22" s="49">
        <f>D7+D10+D16+D17+D18+D21</f>
        <v>10390.179999999998</v>
      </c>
      <c r="E22" s="49">
        <f>E7+E10+E16+E17+E18+E21</f>
        <v>6406.14</v>
      </c>
      <c r="F22" s="49">
        <f>F7+F10+F16+F17+F18+F21</f>
        <v>7642.31</v>
      </c>
      <c r="G22" s="49">
        <f>G7+G10+G16+G17+G18+G21</f>
        <v>9703.490000000002</v>
      </c>
      <c r="H22" s="49">
        <f>H7+H10+H16+H17+H18+H21</f>
        <v>7445.320000000001</v>
      </c>
      <c r="I22" s="49">
        <f>I7+I10+I16+I17+I18+I21</f>
        <v>11937.080000000002</v>
      </c>
      <c r="J22" s="49">
        <f>J7+J10+J16+J17+J18+J21</f>
        <v>18166.340000000004</v>
      </c>
      <c r="K22" s="49">
        <f>K7+K10+K16+K17+K18+K21</f>
        <v>61404.29000000001</v>
      </c>
      <c r="L22" s="49">
        <f>L7+L10+L16+L17+L18+L21</f>
        <v>12388.05</v>
      </c>
      <c r="M22" s="49">
        <f>M7+M10+M16+M17+M18+M21</f>
        <v>149175.81</v>
      </c>
      <c r="N22" s="48">
        <f>B22+C22+D22+E22+F22+G22+H22+I22+J22+K22+L22+M22</f>
        <v>322249.56</v>
      </c>
    </row>
    <row r="23" spans="1:14" ht="16">
      <c r="A23" s="37" t="s">
        <v>20</v>
      </c>
      <c r="B23" s="46"/>
      <c r="C23" s="46"/>
      <c r="D23" s="46"/>
      <c r="E23" s="47">
        <v>0.01</v>
      </c>
      <c r="F23" s="47">
        <v>828.68</v>
      </c>
      <c r="G23" s="47">
        <v>23021.7</v>
      </c>
      <c r="H23" s="46"/>
      <c r="I23" s="46"/>
      <c r="J23" s="46"/>
      <c r="K23" s="46"/>
      <c r="L23" s="46"/>
      <c r="M23" s="46"/>
      <c r="N23" s="47">
        <f>B23+C23+D23+E23+F23+G23+H23+I23+J23+K23+L23+M23</f>
        <v>23850.39</v>
      </c>
    </row>
    <row r="24" spans="1:14" ht="16">
      <c r="A24" s="37" t="s">
        <v>21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>
        <v>284.4</v>
      </c>
      <c r="M24" s="47">
        <v>-284.4</v>
      </c>
      <c r="N24" s="51">
        <f>B24+C24+D24+E24+F24+G24+H24+I24+J24+K24+L24+M24</f>
        <v>0.0</v>
      </c>
    </row>
    <row r="25" spans="1:14" ht="16">
      <c r="A25" s="42" t="s">
        <v>22</v>
      </c>
      <c r="B25" s="49">
        <f>B6+B22+B23+B24</f>
        <v>6157.28</v>
      </c>
      <c r="C25" s="49">
        <f>C6+C22+C23+C24</f>
        <v>21433.27</v>
      </c>
      <c r="D25" s="49">
        <f>D6+D22+D23+D24</f>
        <v>10390.179999999998</v>
      </c>
      <c r="E25" s="49">
        <f>E6+E22+E23+E24</f>
        <v>6406.150000000001</v>
      </c>
      <c r="F25" s="49">
        <f>F6+F22+F23+F24</f>
        <v>8470.99</v>
      </c>
      <c r="G25" s="49">
        <f>G6+G22+G23+G24</f>
        <v>32725.190000000002</v>
      </c>
      <c r="H25" s="49">
        <f>H6+H22+H23+H24</f>
        <v>7445.320000000001</v>
      </c>
      <c r="I25" s="49">
        <f>I6+I22+I23+I24</f>
        <v>11937.080000000002</v>
      </c>
      <c r="J25" s="49">
        <f>J6+J22+J23+J24</f>
        <v>18166.340000000004</v>
      </c>
      <c r="K25" s="49">
        <f>K6+K22+K23+K24</f>
        <v>61404.29000000001</v>
      </c>
      <c r="L25" s="49">
        <f>L6+L22+L23+L24</f>
        <v>12672.449999999999</v>
      </c>
      <c r="M25" s="49">
        <f>M6+M22+M23+M24</f>
        <v>148891.41</v>
      </c>
      <c r="N25" s="48">
        <f>B25+C25+D25+E25+F25+G25+H25+I25+J25+K25+L25+M25</f>
        <v>346099.95000000007</v>
      </c>
    </row>
    <row r="26" spans="1:13" ht="16">
      <c r="A26" s="36" t="s">
        <v>23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spans="1:14" ht="16">
      <c r="A27" s="37" t="s">
        <v>24</v>
      </c>
      <c r="B27" s="46"/>
      <c r="C27" s="46"/>
      <c r="D27" s="46"/>
      <c r="E27" s="46"/>
      <c r="F27" s="46"/>
      <c r="G27" s="46"/>
      <c r="H27" s="46"/>
      <c r="I27" s="47">
        <v>72.85</v>
      </c>
      <c r="J27" s="46"/>
      <c r="K27" s="46"/>
      <c r="L27" s="46"/>
      <c r="M27" s="46"/>
      <c r="N27" s="47">
        <f>B27+C27+D27+E27+F27+G27+H27+I27+J27+K27+L27+M27</f>
        <v>72.85</v>
      </c>
    </row>
    <row r="28" spans="1:14" ht="16">
      <c r="A28" s="37" t="s">
        <v>25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spans="1:14" ht="16">
      <c r="A29" s="38" t="s">
        <v>26</v>
      </c>
      <c r="B29" s="47">
        <v>552.05</v>
      </c>
      <c r="C29" s="47">
        <v>889.04</v>
      </c>
      <c r="D29" s="47">
        <v>513.27</v>
      </c>
      <c r="E29" s="47">
        <v>1853.45</v>
      </c>
      <c r="F29" s="47">
        <v>536.12</v>
      </c>
      <c r="G29" s="47">
        <v>329.84</v>
      </c>
      <c r="H29" s="47">
        <v>757.91</v>
      </c>
      <c r="I29" s="47">
        <v>760.78</v>
      </c>
      <c r="J29" s="47">
        <v>1687.21</v>
      </c>
      <c r="K29" s="47">
        <v>2835.32</v>
      </c>
      <c r="L29" s="47">
        <v>1017.61</v>
      </c>
      <c r="M29" s="47">
        <v>797.1</v>
      </c>
      <c r="N29" s="47">
        <f>B29+C29+D29+E29+F29+G29+H29+I29+J29+K29+L29+M29</f>
        <v>12529.7</v>
      </c>
    </row>
    <row r="30" spans="1:14" ht="16">
      <c r="A30" s="38" t="s">
        <v>27</v>
      </c>
      <c r="B30" s="46"/>
      <c r="C30" s="46"/>
      <c r="D30" s="46"/>
      <c r="E30" s="46"/>
      <c r="F30" s="47">
        <v>2853.43</v>
      </c>
      <c r="G30" s="46"/>
      <c r="H30" s="47">
        <v>159.66</v>
      </c>
      <c r="I30" s="46"/>
      <c r="J30" s="46"/>
      <c r="K30" s="46"/>
      <c r="L30" s="46"/>
      <c r="M30" s="46"/>
      <c r="N30" s="47">
        <f>B30+C30+D30+E30+F30+G30+H30+I30+J30+K30+L30+M30</f>
        <v>3013.0899999999997</v>
      </c>
    </row>
    <row r="31" spans="1:14" ht="16">
      <c r="A31" s="38" t="s">
        <v>28</v>
      </c>
      <c r="B31" s="47">
        <v>1050.17</v>
      </c>
      <c r="C31" s="47">
        <v>576.32</v>
      </c>
      <c r="D31" s="47">
        <v>23.38</v>
      </c>
      <c r="E31" s="47">
        <v>776.43</v>
      </c>
      <c r="F31" s="47">
        <v>510.28</v>
      </c>
      <c r="G31" s="47">
        <v>1470.67</v>
      </c>
      <c r="H31" s="47">
        <v>735.79</v>
      </c>
      <c r="I31" s="47">
        <v>141.97</v>
      </c>
      <c r="J31" s="47">
        <v>1980.34</v>
      </c>
      <c r="K31" s="47">
        <v>921.86</v>
      </c>
      <c r="L31" s="47">
        <v>9256.51</v>
      </c>
      <c r="M31" s="47">
        <v>12274.75</v>
      </c>
      <c r="N31" s="47">
        <f>B31+C31+D31+E31+F31+G31+H31+I31+J31+K31+L31+M31</f>
        <v>29718.47</v>
      </c>
    </row>
    <row r="32" spans="1:14" ht="16">
      <c r="A32" s="38" t="s">
        <v>29</v>
      </c>
      <c r="B32" s="47">
        <v>3130.8</v>
      </c>
      <c r="C32" s="47">
        <v>1727.6</v>
      </c>
      <c r="D32" s="47">
        <v>7061.5</v>
      </c>
      <c r="E32" s="47">
        <v>4416.0</v>
      </c>
      <c r="F32" s="47">
        <v>1239.97</v>
      </c>
      <c r="G32" s="47">
        <v>409.09</v>
      </c>
      <c r="H32" s="47">
        <v>7614.16</v>
      </c>
      <c r="I32" s="47">
        <v>7629.22</v>
      </c>
      <c r="J32" s="47">
        <v>2254.7</v>
      </c>
      <c r="K32" s="47">
        <v>12477.88</v>
      </c>
      <c r="L32" s="47">
        <v>994.8</v>
      </c>
      <c r="M32" s="47">
        <v>39457.34</v>
      </c>
      <c r="N32" s="47">
        <f>B32+C32+D32+E32+F32+G32+H32+I32+J32+K32+L32+M32</f>
        <v>88413.06</v>
      </c>
    </row>
    <row r="33" spans="1:14" ht="16">
      <c r="A33" s="38" t="s">
        <v>30</v>
      </c>
      <c r="B33" s="47">
        <v>1390.09</v>
      </c>
      <c r="C33" s="47">
        <v>2682.57</v>
      </c>
      <c r="D33" s="47">
        <v>1437.25</v>
      </c>
      <c r="E33" s="47">
        <v>1014.0</v>
      </c>
      <c r="F33" s="47">
        <v>624.2</v>
      </c>
      <c r="G33" s="47">
        <v>2185.89</v>
      </c>
      <c r="H33" s="47">
        <v>1522.52</v>
      </c>
      <c r="I33" s="47">
        <v>1242.19</v>
      </c>
      <c r="J33" s="47">
        <v>1230.0</v>
      </c>
      <c r="K33" s="47">
        <v>1932.0</v>
      </c>
      <c r="L33" s="47">
        <v>12004.5</v>
      </c>
      <c r="M33" s="47">
        <v>3768.87</v>
      </c>
      <c r="N33" s="47">
        <f>B33+C33+D33+E33+F33+G33+H33+I33+J33+K33+L33+M33</f>
        <v>31034.079999999998</v>
      </c>
    </row>
    <row r="34" spans="1:14" ht="16">
      <c r="A34" s="38" t="s">
        <v>31</v>
      </c>
      <c r="B34" s="46"/>
      <c r="C34" s="46"/>
      <c r="D34" s="46"/>
      <c r="E34" s="46"/>
      <c r="F34" s="46"/>
      <c r="G34" s="46"/>
      <c r="H34" s="47">
        <v>72.1</v>
      </c>
      <c r="I34" s="46"/>
      <c r="J34" s="46"/>
      <c r="K34" s="46"/>
      <c r="L34" s="46"/>
      <c r="M34" s="46"/>
      <c r="N34" s="47">
        <f>B34+C34+D34+E34+F34+G34+H34+I34+J34+K34+L34+M34</f>
        <v>72.1</v>
      </c>
    </row>
    <row r="35" spans="1:14" ht="16">
      <c r="A35" s="38" t="s">
        <v>32</v>
      </c>
      <c r="B35" s="46"/>
      <c r="C35" s="47">
        <v>56.8</v>
      </c>
      <c r="D35" s="47">
        <v>127.77</v>
      </c>
      <c r="E35" s="47">
        <v>50.19</v>
      </c>
      <c r="F35" s="47">
        <v>48.3</v>
      </c>
      <c r="G35" s="47">
        <v>54.4</v>
      </c>
      <c r="H35" s="47">
        <v>51.55</v>
      </c>
      <c r="I35" s="47">
        <v>109.58</v>
      </c>
      <c r="J35" s="47">
        <v>81.16</v>
      </c>
      <c r="K35" s="47">
        <v>76.65</v>
      </c>
      <c r="L35" s="47">
        <v>97.25</v>
      </c>
      <c r="M35" s="47">
        <v>86.25</v>
      </c>
      <c r="N35" s="47">
        <f>B35+C35+D35+E35+F35+G35+H35+I35+J35+K35+L35+M35</f>
        <v>839.9</v>
      </c>
    </row>
    <row r="36" spans="1:14" ht="16">
      <c r="A36" s="41" t="s">
        <v>33</v>
      </c>
      <c r="B36" s="49">
        <f>B28+B29+B30+B31+B32+B33+B34+B35</f>
        <v>6123.110000000001</v>
      </c>
      <c r="C36" s="49">
        <f>C28+C29+C30+C31+C32+C33+C34+C35</f>
        <v>5932.330000000001</v>
      </c>
      <c r="D36" s="49">
        <f>D28+D29+D30+D31+D32+D33+D34+D35</f>
        <v>9163.17</v>
      </c>
      <c r="E36" s="49">
        <f>E28+E29+E30+E31+E32+E33+E34+E35</f>
        <v>8110.07</v>
      </c>
      <c r="F36" s="49">
        <f>F28+F29+F30+F31+F32+F33+F34+F35</f>
        <v>5812.3</v>
      </c>
      <c r="G36" s="49">
        <f>G28+G29+G30+G31+G32+G33+G34+G35</f>
        <v>4449.889999999999</v>
      </c>
      <c r="H36" s="49">
        <f>H28+H29+H30+H31+H32+H33+H34+H35</f>
        <v>10913.69</v>
      </c>
      <c r="I36" s="49">
        <f>I28+I29+I30+I31+I32+I33+I34+I35</f>
        <v>9883.740000000002</v>
      </c>
      <c r="J36" s="49">
        <f>J28+J29+J30+J31+J32+J33+J34+J35</f>
        <v>7233.41</v>
      </c>
      <c r="K36" s="49">
        <f>K28+K29+K30+K31+K32+K33+K34+K35</f>
        <v>18243.71</v>
      </c>
      <c r="L36" s="49">
        <f>L28+L29+L30+L31+L32+L33+L34+L35</f>
        <v>23370.67</v>
      </c>
      <c r="M36" s="49">
        <f>M28+M29+M30+M31+M32+M33+M34+M35</f>
        <v>56384.31</v>
      </c>
      <c r="N36" s="48">
        <f>B36+C36+D36+E36+F36+G36+H36+I36+J36+K36+L36+M36</f>
        <v>165620.40000000002</v>
      </c>
    </row>
    <row r="37" spans="1:14" ht="16">
      <c r="A37" s="37" t="s">
        <v>34</v>
      </c>
      <c r="B37" s="46"/>
      <c r="C37" s="46"/>
      <c r="D37" s="47">
        <v>-72.1</v>
      </c>
      <c r="E37" s="46"/>
      <c r="F37" s="46"/>
      <c r="G37" s="46"/>
      <c r="H37" s="46"/>
      <c r="I37" s="46"/>
      <c r="J37" s="46"/>
      <c r="K37" s="46"/>
      <c r="L37" s="46"/>
      <c r="M37" s="46"/>
      <c r="N37" s="47">
        <f>B37+C37+D37+E37+F37+G37+H37+I37+J37+K37+L37+M37</f>
        <v>-72.1</v>
      </c>
    </row>
    <row r="38" spans="1:14" ht="16">
      <c r="A38" s="42" t="s">
        <v>35</v>
      </c>
      <c r="B38" s="49">
        <f>B26+B27+B36+B37</f>
        <v>6123.110000000001</v>
      </c>
      <c r="C38" s="49">
        <f>C26+C27+C36+C37</f>
        <v>5932.330000000001</v>
      </c>
      <c r="D38" s="49">
        <f>D26+D27+D36+D37</f>
        <v>9091.07</v>
      </c>
      <c r="E38" s="49">
        <f>E26+E27+E36+E37</f>
        <v>8110.07</v>
      </c>
      <c r="F38" s="49">
        <f>F26+F27+F36+F37</f>
        <v>5812.3</v>
      </c>
      <c r="G38" s="49">
        <f>G26+G27+G36+G37</f>
        <v>4449.889999999999</v>
      </c>
      <c r="H38" s="49">
        <f>H26+H27+H36+H37</f>
        <v>10913.69</v>
      </c>
      <c r="I38" s="49">
        <f>I26+I27+I36+I37</f>
        <v>9956.590000000002</v>
      </c>
      <c r="J38" s="49">
        <f>J26+J27+J36+J37</f>
        <v>7233.41</v>
      </c>
      <c r="K38" s="49">
        <f>K26+K27+K36+K37</f>
        <v>18243.71</v>
      </c>
      <c r="L38" s="49">
        <f>L26+L27+L36+L37</f>
        <v>23370.67</v>
      </c>
      <c r="M38" s="49">
        <f>M26+M27+M36+M37</f>
        <v>56384.31</v>
      </c>
      <c r="N38" s="48">
        <f>B38+C38+D38+E38+F38+G38+H38+I38+J38+K38+L38+M38</f>
        <v>165621.15000000002</v>
      </c>
    </row>
    <row r="39" spans="1:14" ht="16">
      <c r="A39" s="42" t="s">
        <v>36</v>
      </c>
      <c r="B39" s="49">
        <f>B25-B38</f>
        <v>34.16999999999916</v>
      </c>
      <c r="C39" s="49">
        <f>C25-C38</f>
        <v>15500.939999999999</v>
      </c>
      <c r="D39" s="49">
        <f>D25-D38</f>
        <v>1299.1099999999988</v>
      </c>
      <c r="E39" s="49">
        <f>E25-E38</f>
        <v>-1703.9199999999992</v>
      </c>
      <c r="F39" s="49">
        <f>F25-F38</f>
        <v>2658.6899999999996</v>
      </c>
      <c r="G39" s="49">
        <f>G25-G38</f>
        <v>28275.300000000003</v>
      </c>
      <c r="H39" s="49">
        <f>H25-H38</f>
        <v>-3468.37</v>
      </c>
      <c r="I39" s="49">
        <f>I25-I38</f>
        <v>1980.4899999999998</v>
      </c>
      <c r="J39" s="49">
        <f>J25-J38</f>
        <v>10932.930000000004</v>
      </c>
      <c r="K39" s="49">
        <f>K25-K38</f>
        <v>43160.58000000001</v>
      </c>
      <c r="L39" s="49">
        <f>L25-L38</f>
        <v>-10698.22</v>
      </c>
      <c r="M39" s="49">
        <f>M25-M38</f>
        <v>92507.1</v>
      </c>
      <c r="N39" s="48">
        <f>B39+C39+D39+E39+F39+G39+H39+I39+J39+K39+L39+M39</f>
        <v>180478.80000000002</v>
      </c>
    </row>
    <row r="40" spans="1:13" ht="16">
      <c r="A40" s="36" t="s">
        <v>37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4" ht="16">
      <c r="A41" s="37" t="s">
        <v>38</v>
      </c>
      <c r="B41" s="47">
        <v>194.45</v>
      </c>
      <c r="C41" s="46"/>
      <c r="D41" s="46"/>
      <c r="E41" s="47">
        <v>63.85</v>
      </c>
      <c r="F41" s="47">
        <v>46.9</v>
      </c>
      <c r="G41" s="47">
        <v>54.55</v>
      </c>
      <c r="H41" s="47">
        <v>1544.0</v>
      </c>
      <c r="I41" s="47">
        <v>3.76</v>
      </c>
      <c r="J41" s="46"/>
      <c r="K41" s="46"/>
      <c r="L41" s="46"/>
      <c r="M41" s="46"/>
      <c r="N41" s="47">
        <f>B41+C41+D41+E41+F41+G41+H41+I41+J41+K41+L41+M41</f>
        <v>1907.51</v>
      </c>
    </row>
    <row r="42" spans="1:14" ht="16">
      <c r="A42" s="38" t="s">
        <v>39</v>
      </c>
      <c r="B42" s="47">
        <v>46.02</v>
      </c>
      <c r="C42" s="47">
        <v>193.17</v>
      </c>
      <c r="D42" s="47">
        <v>90.0</v>
      </c>
      <c r="E42" s="47">
        <v>208.25</v>
      </c>
      <c r="F42" s="47">
        <v>64.05</v>
      </c>
      <c r="G42" s="47">
        <v>735.79</v>
      </c>
      <c r="H42" s="47">
        <v>3951.84</v>
      </c>
      <c r="I42" s="47">
        <v>369.24</v>
      </c>
      <c r="J42" s="47">
        <v>1627.1</v>
      </c>
      <c r="K42" s="47">
        <v>347.46</v>
      </c>
      <c r="L42" s="47">
        <v>82.15</v>
      </c>
      <c r="M42" s="47">
        <v>63.6</v>
      </c>
      <c r="N42" s="47">
        <f>B42+C42+D42+E42+F42+G42+H42+I42+J42+K42+L42+M42</f>
        <v>7778.669999999999</v>
      </c>
    </row>
    <row r="43" spans="1:14" ht="16">
      <c r="A43" s="38" t="s">
        <v>40</v>
      </c>
      <c r="B43" s="47">
        <v>202.25</v>
      </c>
      <c r="C43" s="47">
        <v>81.3</v>
      </c>
      <c r="D43" s="47">
        <v>64.27</v>
      </c>
      <c r="E43" s="47">
        <v>468.82</v>
      </c>
      <c r="F43" s="47">
        <v>63.75</v>
      </c>
      <c r="G43" s="47">
        <v>83.04</v>
      </c>
      <c r="H43" s="47">
        <v>824.51</v>
      </c>
      <c r="I43" s="47">
        <v>81.49</v>
      </c>
      <c r="J43" s="47">
        <v>171.39</v>
      </c>
      <c r="K43" s="47">
        <v>69.35</v>
      </c>
      <c r="L43" s="47">
        <v>510.02</v>
      </c>
      <c r="M43" s="47">
        <v>83.55</v>
      </c>
      <c r="N43" s="47">
        <f>B43+C43+D43+E43+F43+G43+H43+I43+J43+K43+L43+M43</f>
        <v>2703.7400000000002</v>
      </c>
    </row>
    <row r="44" spans="1:14" ht="16">
      <c r="A44" s="38" t="s">
        <v>41</v>
      </c>
      <c r="B44" s="47">
        <v>1175.0</v>
      </c>
      <c r="C44" s="47">
        <v>426.36</v>
      </c>
      <c r="D44" s="47">
        <v>25.0</v>
      </c>
      <c r="E44" s="47">
        <v>45.0</v>
      </c>
      <c r="F44" s="46"/>
      <c r="G44" s="47">
        <v>75.0</v>
      </c>
      <c r="H44" s="47">
        <v>1723.85</v>
      </c>
      <c r="I44" s="46"/>
      <c r="J44" s="47">
        <v>572.79</v>
      </c>
      <c r="K44" s="47">
        <v>1148.87</v>
      </c>
      <c r="L44" s="47">
        <v>1165.47</v>
      </c>
      <c r="M44" s="47">
        <v>47.98</v>
      </c>
      <c r="N44" s="47">
        <f>B44+C44+D44+E44+F44+G44+H44+I44+J44+K44+L44+M44</f>
        <v>6405.32</v>
      </c>
    </row>
    <row r="45" spans="1:14" ht="16">
      <c r="A45" s="38" t="s">
        <v>42</v>
      </c>
      <c r="B45" s="46"/>
      <c r="C45" s="46"/>
      <c r="D45" s="46"/>
      <c r="E45" s="46"/>
      <c r="F45" s="46"/>
      <c r="G45" s="46"/>
      <c r="H45" s="47">
        <v>60.0</v>
      </c>
      <c r="I45" s="46"/>
      <c r="J45" s="46"/>
      <c r="K45" s="46"/>
      <c r="L45" s="46"/>
      <c r="M45" s="46"/>
      <c r="N45" s="47">
        <f>B45+C45+D45+E45+F45+G45+H45+I45+J45+K45+L45+M45</f>
        <v>60.0</v>
      </c>
    </row>
    <row r="46" spans="1:14" ht="16">
      <c r="A46" s="41" t="s">
        <v>43</v>
      </c>
      <c r="B46" s="49">
        <f>B41+B42+B43+B44+B45</f>
        <v>1617.72</v>
      </c>
      <c r="C46" s="49">
        <f>C41+C42+C43+C44+C45</f>
        <v>700.8299999999999</v>
      </c>
      <c r="D46" s="49">
        <f>D41+D42+D43+D44+D45</f>
        <v>179.26999999999998</v>
      </c>
      <c r="E46" s="49">
        <f>E41+E42+E43+E44+E45</f>
        <v>785.9200000000001</v>
      </c>
      <c r="F46" s="49">
        <f>F41+F42+F43+F44+F45</f>
        <v>174.7</v>
      </c>
      <c r="G46" s="49">
        <f>G41+G42+G43+G44+G45</f>
        <v>948.3799999999999</v>
      </c>
      <c r="H46" s="49">
        <f>H41+H42+H43+H44+H45</f>
        <v>8104.200000000001</v>
      </c>
      <c r="I46" s="49">
        <f>I41+I42+I43+I44+I45</f>
        <v>454.49</v>
      </c>
      <c r="J46" s="49">
        <f>J41+J42+J43+J44+J45</f>
        <v>2371.2799999999997</v>
      </c>
      <c r="K46" s="49">
        <f>K41+K42+K43+K44+K45</f>
        <v>1565.6799999999998</v>
      </c>
      <c r="L46" s="49">
        <f>L41+L42+L43+L44+L45</f>
        <v>1757.6399999999999</v>
      </c>
      <c r="M46" s="49">
        <f>M41+M42+M43+M44+M45</f>
        <v>195.13</v>
      </c>
      <c r="N46" s="48">
        <f>B46+C46+D46+E46+F46+G46+H46+I46+J46+K46+L46+M46</f>
        <v>18855.24</v>
      </c>
    </row>
    <row r="47" spans="1:14" ht="16">
      <c r="A47" s="37" t="s">
        <v>44</v>
      </c>
      <c r="B47" s="46"/>
      <c r="C47" s="46"/>
      <c r="D47" s="46"/>
      <c r="E47" s="46"/>
      <c r="F47" s="47">
        <v>621.0</v>
      </c>
      <c r="G47" s="46"/>
      <c r="H47" s="46"/>
      <c r="I47" s="46"/>
      <c r="J47" s="46"/>
      <c r="K47" s="46"/>
      <c r="L47" s="46"/>
      <c r="M47" s="46"/>
      <c r="N47" s="47">
        <f>B47+C47+D47+E47+F47+G47+H47+I47+J47+K47+L47+M47</f>
        <v>621.0</v>
      </c>
    </row>
    <row r="48" spans="1:14" ht="16">
      <c r="A48" s="38" t="s">
        <v>45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</row>
    <row r="49" spans="1:14" ht="16">
      <c r="A49" s="39" t="s">
        <v>46</v>
      </c>
      <c r="B49" s="47">
        <v>450.0</v>
      </c>
      <c r="C49" s="47">
        <v>450.0</v>
      </c>
      <c r="D49" s="47">
        <v>735.0</v>
      </c>
      <c r="E49" s="47">
        <v>450.0</v>
      </c>
      <c r="F49" s="47">
        <v>450.0</v>
      </c>
      <c r="G49" s="47">
        <v>465.0</v>
      </c>
      <c r="H49" s="47">
        <v>650.0</v>
      </c>
      <c r="I49" s="47">
        <v>450.0</v>
      </c>
      <c r="J49" s="47">
        <v>877.0</v>
      </c>
      <c r="K49" s="47">
        <v>655.55</v>
      </c>
      <c r="L49" s="47">
        <v>671.57</v>
      </c>
      <c r="M49" s="47">
        <v>719.76</v>
      </c>
      <c r="N49" s="47">
        <f>B49+C49+D49+E49+F49+G49+H49+I49+J49+K49+L49+M49</f>
        <v>7023.88</v>
      </c>
    </row>
    <row r="50" spans="1:14" ht="16">
      <c r="A50" s="39" t="s">
        <v>47</v>
      </c>
      <c r="B50" s="47">
        <v>640.9</v>
      </c>
      <c r="C50" s="47">
        <v>646.08</v>
      </c>
      <c r="D50" s="47">
        <v>653.13</v>
      </c>
      <c r="E50" s="47">
        <v>641.37</v>
      </c>
      <c r="F50" s="47">
        <v>631.5</v>
      </c>
      <c r="G50" s="47">
        <v>642.2</v>
      </c>
      <c r="H50" s="47">
        <v>659.41</v>
      </c>
      <c r="I50" s="47">
        <v>632.86</v>
      </c>
      <c r="J50" s="47">
        <v>630.28</v>
      </c>
      <c r="K50" s="47">
        <v>656.4</v>
      </c>
      <c r="L50" s="47">
        <v>672.42</v>
      </c>
      <c r="M50" s="47">
        <v>679.0</v>
      </c>
      <c r="N50" s="47">
        <f>B50+C50+D50+E50+F50+G50+H50+I50+J50+K50+L50+M50</f>
        <v>7785.549999999999</v>
      </c>
    </row>
    <row r="51" spans="1:14" ht="16">
      <c r="A51" s="39" t="s">
        <v>48</v>
      </c>
      <c r="B51" s="47">
        <v>625.0</v>
      </c>
      <c r="C51" s="47">
        <v>625.0</v>
      </c>
      <c r="D51" s="47">
        <v>625.0</v>
      </c>
      <c r="E51" s="47">
        <v>625.0</v>
      </c>
      <c r="F51" s="47">
        <v>-390.0</v>
      </c>
      <c r="G51" s="47">
        <v>130.0</v>
      </c>
      <c r="H51" s="47">
        <v>625.0</v>
      </c>
      <c r="I51" s="46"/>
      <c r="J51" s="47">
        <v>625.0</v>
      </c>
      <c r="K51" s="47">
        <v>625.0</v>
      </c>
      <c r="L51" s="47">
        <v>625.0</v>
      </c>
      <c r="M51" s="47">
        <v>625.0</v>
      </c>
      <c r="N51" s="47">
        <f>B51+C51+D51+E51+F51+G51+H51+I51+J51+K51+L51+M51</f>
        <v>5365.0</v>
      </c>
    </row>
    <row r="52" spans="1:14" ht="16">
      <c r="A52" s="40" t="s">
        <v>49</v>
      </c>
      <c r="B52" s="49">
        <f>B48+B49+B50+B51</f>
        <v>1715.9</v>
      </c>
      <c r="C52" s="49">
        <f>C48+C49+C50+C51</f>
        <v>1721.08</v>
      </c>
      <c r="D52" s="49">
        <f>D48+D49+D50+D51</f>
        <v>2013.13</v>
      </c>
      <c r="E52" s="49">
        <f>E48+E49+E50+E51</f>
        <v>1716.37</v>
      </c>
      <c r="F52" s="49">
        <f>F48+F49+F50+F51</f>
        <v>691.5</v>
      </c>
      <c r="G52" s="49">
        <f>G48+G49+G50+G51</f>
        <v>1237.2</v>
      </c>
      <c r="H52" s="49">
        <f>H48+H49+H50+H51</f>
        <v>1934.4099999999999</v>
      </c>
      <c r="I52" s="49">
        <f>I48+I49+I50+I51</f>
        <v>1082.8600000000001</v>
      </c>
      <c r="J52" s="49">
        <f>J48+J49+J50+J51</f>
        <v>2132.2799999999997</v>
      </c>
      <c r="K52" s="49">
        <f>K48+K49+K50+K51</f>
        <v>1936.9499999999998</v>
      </c>
      <c r="L52" s="49">
        <f>L48+L49+L50+L51</f>
        <v>1968.99</v>
      </c>
      <c r="M52" s="49">
        <f>M48+M49+M50+M51</f>
        <v>2023.76</v>
      </c>
      <c r="N52" s="48">
        <f>B52+C52+D52+E52+F52+G52+H52+I52+J52+K52+L52+M52</f>
        <v>20174.43</v>
      </c>
    </row>
    <row r="53" spans="1:14" ht="16">
      <c r="A53" s="38" t="s">
        <v>50</v>
      </c>
      <c r="B53" s="47">
        <v>165.17</v>
      </c>
      <c r="C53" s="46"/>
      <c r="D53" s="47">
        <v>23.8</v>
      </c>
      <c r="E53" s="47">
        <v>24.68</v>
      </c>
      <c r="F53" s="47">
        <v>103.74</v>
      </c>
      <c r="G53" s="47">
        <v>60.98</v>
      </c>
      <c r="H53" s="47">
        <v>322.36</v>
      </c>
      <c r="I53" s="47">
        <v>131.58</v>
      </c>
      <c r="J53" s="47">
        <v>486.07</v>
      </c>
      <c r="K53" s="47">
        <v>57.22</v>
      </c>
      <c r="L53" s="47">
        <v>-67.48</v>
      </c>
      <c r="M53" s="47">
        <v>74.74</v>
      </c>
      <c r="N53" s="47">
        <f>B53+C53+D53+E53+F53+G53+H53+I53+J53+K53+L53+M53</f>
        <v>1382.8600000000001</v>
      </c>
    </row>
    <row r="54" spans="1:14" ht="16">
      <c r="A54" s="39" t="s">
        <v>51</v>
      </c>
      <c r="B54" s="47">
        <v>72.95</v>
      </c>
      <c r="C54" s="47">
        <v>23.77</v>
      </c>
      <c r="D54" s="47">
        <v>100.03</v>
      </c>
      <c r="E54" s="47">
        <v>100.36</v>
      </c>
      <c r="F54" s="46"/>
      <c r="G54" s="46"/>
      <c r="H54" s="47">
        <v>-4.13</v>
      </c>
      <c r="I54" s="47">
        <v>281.41</v>
      </c>
      <c r="J54" s="47">
        <v>129.75</v>
      </c>
      <c r="K54" s="47">
        <v>193.41</v>
      </c>
      <c r="L54" s="47">
        <v>391.66</v>
      </c>
      <c r="M54" s="47">
        <v>272.26</v>
      </c>
      <c r="N54" s="47">
        <f>B54+C54+D54+E54+F54+G54+H54+I54+J54+K54+L54+M54</f>
        <v>1561.47</v>
      </c>
    </row>
    <row r="55" spans="1:14" ht="16">
      <c r="A55" s="40" t="s">
        <v>52</v>
      </c>
      <c r="B55" s="49">
        <f>B53+B54</f>
        <v>238.12</v>
      </c>
      <c r="C55" s="49">
        <f>C53+C54</f>
        <v>23.77</v>
      </c>
      <c r="D55" s="49">
        <f>D53+D54</f>
        <v>123.83</v>
      </c>
      <c r="E55" s="49">
        <f>E53+E54</f>
        <v>125.03999999999999</v>
      </c>
      <c r="F55" s="49">
        <f>F53+F54</f>
        <v>103.74</v>
      </c>
      <c r="G55" s="49">
        <f>G53+G54</f>
        <v>60.98</v>
      </c>
      <c r="H55" s="49">
        <f>H53+H54</f>
        <v>318.23</v>
      </c>
      <c r="I55" s="49">
        <f>I53+I54</f>
        <v>412.99</v>
      </c>
      <c r="J55" s="49">
        <f>J53+J54</f>
        <v>615.8199999999999</v>
      </c>
      <c r="K55" s="49">
        <f>K53+K54</f>
        <v>250.63</v>
      </c>
      <c r="L55" s="49">
        <f>L53+L54</f>
        <v>324.18</v>
      </c>
      <c r="M55" s="49">
        <f>M53+M54</f>
        <v>347.0</v>
      </c>
      <c r="N55" s="48">
        <f>B55+C55+D55+E55+F55+G55+H55+I55+J55+K55+L55+M55</f>
        <v>2944.33</v>
      </c>
    </row>
    <row r="56" spans="1:14" ht="16">
      <c r="A56" s="38" t="s">
        <v>53</v>
      </c>
      <c r="B56" s="46"/>
      <c r="C56" s="47">
        <v>127.55</v>
      </c>
      <c r="D56" s="47">
        <v>74.16</v>
      </c>
      <c r="E56" s="47">
        <v>83.72</v>
      </c>
      <c r="F56" s="47">
        <v>74.15</v>
      </c>
      <c r="G56" s="47">
        <v>159.0</v>
      </c>
      <c r="H56" s="47">
        <v>74.16</v>
      </c>
      <c r="I56" s="46"/>
      <c r="J56" s="47">
        <v>74.16</v>
      </c>
      <c r="K56" s="47">
        <v>83.72</v>
      </c>
      <c r="L56" s="47">
        <v>277.95</v>
      </c>
      <c r="M56" s="47">
        <v>237.52</v>
      </c>
      <c r="N56" s="47">
        <f>B56+C56+D56+E56+F56+G56+H56+I56+J56+K56+L56+M56</f>
        <v>1266.09</v>
      </c>
    </row>
    <row r="57" spans="1:14" ht="16">
      <c r="A57" s="38" t="s">
        <v>54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</row>
    <row r="58" spans="1:14" ht="16">
      <c r="A58" s="39" t="s">
        <v>55</v>
      </c>
      <c r="B58" s="47">
        <v>15.0</v>
      </c>
      <c r="C58" s="47">
        <v>15.0</v>
      </c>
      <c r="D58" s="47">
        <v>0.5</v>
      </c>
      <c r="E58" s="47">
        <v>15.0</v>
      </c>
      <c r="F58" s="47">
        <v>15.0</v>
      </c>
      <c r="G58" s="47">
        <v>15.0</v>
      </c>
      <c r="H58" s="47">
        <v>1.6</v>
      </c>
      <c r="I58" s="47">
        <v>22.2</v>
      </c>
      <c r="J58" s="47">
        <v>38.0</v>
      </c>
      <c r="K58" s="47">
        <v>-30.6</v>
      </c>
      <c r="L58" s="47">
        <v>2.5</v>
      </c>
      <c r="M58" s="46"/>
      <c r="N58" s="47">
        <f>B58+C58+D58+E58+F58+G58+H58+I58+J58+K58+L58+M58</f>
        <v>109.20000000000002</v>
      </c>
    </row>
    <row r="59" spans="1:14" ht="16">
      <c r="A59" s="39" t="s">
        <v>56</v>
      </c>
      <c r="B59" s="47">
        <v>37.0</v>
      </c>
      <c r="C59" s="47">
        <v>83.9</v>
      </c>
      <c r="D59" s="47">
        <v>44.28</v>
      </c>
      <c r="E59" s="46"/>
      <c r="F59" s="47">
        <v>38.0</v>
      </c>
      <c r="G59" s="47">
        <v>38.0</v>
      </c>
      <c r="H59" s="46"/>
      <c r="I59" s="46"/>
      <c r="J59" s="47">
        <v>225.0</v>
      </c>
      <c r="K59" s="46"/>
      <c r="L59" s="46"/>
      <c r="M59" s="46"/>
      <c r="N59" s="47">
        <f>B59+C59+D59+E59+F59+G59+H59+I59+J59+K59+L59+M59</f>
        <v>466.18</v>
      </c>
    </row>
    <row r="60" spans="1:14" ht="16">
      <c r="A60" s="39" t="s">
        <v>57</v>
      </c>
      <c r="B60" s="46"/>
      <c r="C60" s="47">
        <v>266.48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>
        <f>B60+C60+D60+E60+F60+G60+H60+I60+J60+K60+L60+M60</f>
        <v>266.48</v>
      </c>
    </row>
    <row r="61" spans="1:14" ht="16">
      <c r="A61" s="39" t="s">
        <v>58</v>
      </c>
      <c r="B61" s="47">
        <v>57.5</v>
      </c>
      <c r="C61" s="47">
        <v>62.88</v>
      </c>
      <c r="D61" s="47">
        <v>107.75</v>
      </c>
      <c r="E61" s="47">
        <v>70.16</v>
      </c>
      <c r="F61" s="47">
        <v>67.77</v>
      </c>
      <c r="G61" s="47">
        <v>65.61</v>
      </c>
      <c r="H61" s="47">
        <v>64.28</v>
      </c>
      <c r="I61" s="47">
        <v>58.14</v>
      </c>
      <c r="J61" s="47">
        <v>52.16</v>
      </c>
      <c r="K61" s="47">
        <v>49.71</v>
      </c>
      <c r="L61" s="47">
        <v>44.32</v>
      </c>
      <c r="M61" s="47">
        <v>41.24</v>
      </c>
      <c r="N61" s="47">
        <f>B61+C61+D61+E61+F61+G61+H61+I61+J61+K61+L61+M61</f>
        <v>741.52</v>
      </c>
    </row>
    <row r="62" spans="1:14" ht="16">
      <c r="A62" s="40" t="s">
        <v>59</v>
      </c>
      <c r="B62" s="49">
        <f>B57+B58+B59+B60+B61</f>
        <v>109.5</v>
      </c>
      <c r="C62" s="49">
        <f>C57+C58+C59+C60+C61</f>
        <v>428.26</v>
      </c>
      <c r="D62" s="49">
        <f>D57+D58+D59+D60+D61</f>
        <v>152.53</v>
      </c>
      <c r="E62" s="49">
        <f>E57+E58+E59+E60+E61</f>
        <v>85.16</v>
      </c>
      <c r="F62" s="49">
        <f>F57+F58+F59+F60+F61</f>
        <v>120.77</v>
      </c>
      <c r="G62" s="49">
        <f>G57+G58+G59+G60+G61</f>
        <v>118.61</v>
      </c>
      <c r="H62" s="49">
        <f>H57+H58+H59+H60+H61</f>
        <v>65.88</v>
      </c>
      <c r="I62" s="49">
        <f>I57+I58+I59+I60+I61</f>
        <v>80.34</v>
      </c>
      <c r="J62" s="49">
        <f>J57+J58+J59+J60+J61</f>
        <v>315.15999999999997</v>
      </c>
      <c r="K62" s="49">
        <f>K57+K58+K59+K60+K61</f>
        <v>19.11</v>
      </c>
      <c r="L62" s="49">
        <f>L57+L58+L59+L60+L61</f>
        <v>46.82</v>
      </c>
      <c r="M62" s="49">
        <f>M57+M58+M59+M60+M61</f>
        <v>41.24</v>
      </c>
      <c r="N62" s="48">
        <f>B62+C62+D62+E62+F62+G62+H62+I62+J62+K62+L62+M62</f>
        <v>1583.3799999999999</v>
      </c>
    </row>
    <row r="63" spans="1:14" ht="16">
      <c r="A63" s="38" t="s">
        <v>60</v>
      </c>
      <c r="B63" s="47">
        <v>107.44</v>
      </c>
      <c r="C63" s="47">
        <v>139.41</v>
      </c>
      <c r="D63" s="47">
        <v>107.44</v>
      </c>
      <c r="E63" s="47">
        <v>90.99</v>
      </c>
      <c r="F63" s="47">
        <v>77.44</v>
      </c>
      <c r="G63" s="47">
        <v>77.44</v>
      </c>
      <c r="H63" s="47">
        <v>77.44</v>
      </c>
      <c r="I63" s="47">
        <v>204.92</v>
      </c>
      <c r="J63" s="47">
        <v>110.0</v>
      </c>
      <c r="K63" s="47">
        <v>79.98</v>
      </c>
      <c r="L63" s="47">
        <v>69.99</v>
      </c>
      <c r="M63" s="47">
        <v>151.16</v>
      </c>
      <c r="N63" s="47">
        <f>B63+C63+D63+E63+F63+G63+H63+I63+J63+K63+L63+M63</f>
        <v>1293.65</v>
      </c>
    </row>
    <row r="64" spans="1:14" ht="16">
      <c r="A64" s="38" t="s">
        <v>61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</row>
    <row r="65" spans="1:14" ht="16">
      <c r="A65" s="39" t="s">
        <v>62</v>
      </c>
      <c r="B65" s="46"/>
      <c r="C65" s="46"/>
      <c r="D65" s="46"/>
      <c r="E65" s="46"/>
      <c r="F65" s="46"/>
      <c r="G65" s="46"/>
      <c r="H65" s="46"/>
      <c r="I65" s="47">
        <v>425.0</v>
      </c>
      <c r="J65" s="46"/>
      <c r="K65" s="47">
        <v>561.0</v>
      </c>
      <c r="L65" s="46"/>
      <c r="M65" s="46"/>
      <c r="N65" s="47">
        <f>B65+C65+D65+E65+F65+G65+H65+I65+J65+K65+L65+M65</f>
        <v>986.0</v>
      </c>
    </row>
    <row r="66" spans="1:14" ht="16">
      <c r="A66" s="40" t="s">
        <v>63</v>
      </c>
      <c r="B66" s="48">
        <f>B64+B65</f>
        <v>0.0</v>
      </c>
      <c r="C66" s="48">
        <f>C64+C65</f>
        <v>0.0</v>
      </c>
      <c r="D66" s="48">
        <f>D64+D65</f>
        <v>0.0</v>
      </c>
      <c r="E66" s="48">
        <f>E64+E65</f>
        <v>0.0</v>
      </c>
      <c r="F66" s="48">
        <f>F64+F65</f>
        <v>0.0</v>
      </c>
      <c r="G66" s="48">
        <f>G64+G65</f>
        <v>0.0</v>
      </c>
      <c r="H66" s="48">
        <f>H64+H65</f>
        <v>0.0</v>
      </c>
      <c r="I66" s="49">
        <f>I64+I65</f>
        <v>425.0</v>
      </c>
      <c r="J66" s="48">
        <f>J64+J65</f>
        <v>0.0</v>
      </c>
      <c r="K66" s="49">
        <f>K64+K65</f>
        <v>561.0</v>
      </c>
      <c r="L66" s="48">
        <f>L64+L65</f>
        <v>0.0</v>
      </c>
      <c r="M66" s="48">
        <f>M64+M65</f>
        <v>0.0</v>
      </c>
      <c r="N66" s="48">
        <f>B66+C66+D66+E66+F66+G66+H66+I66+J66+K66+L66+M66</f>
        <v>986.0</v>
      </c>
    </row>
    <row r="67" spans="1:14" ht="16">
      <c r="A67" s="38" t="s">
        <v>64</v>
      </c>
      <c r="B67" s="47">
        <v>9.71</v>
      </c>
      <c r="C67" s="46"/>
      <c r="D67" s="46"/>
      <c r="E67" s="46"/>
      <c r="F67" s="46"/>
      <c r="G67" s="46"/>
      <c r="H67" s="46"/>
      <c r="I67" s="46"/>
      <c r="J67" s="47">
        <v>52.02</v>
      </c>
      <c r="K67" s="46"/>
      <c r="L67" s="46"/>
      <c r="M67" s="46"/>
      <c r="N67" s="47">
        <f>B67+C67+D67+E67+F67+G67+H67+I67+J67+K67+L67+M67</f>
        <v>61.730000000000004</v>
      </c>
    </row>
    <row r="68" spans="1:14" ht="16">
      <c r="A68" s="41" t="s">
        <v>65</v>
      </c>
      <c r="B68" s="49">
        <f>B47+B52+B55+B56+B62+B63+B66+B67</f>
        <v>2180.67</v>
      </c>
      <c r="C68" s="49">
        <f>C47+C52+C55+C56+C62+C63+C66+C67</f>
        <v>2440.0699999999997</v>
      </c>
      <c r="D68" s="49">
        <f>D47+D52+D55+D56+D62+D63+D66+D67</f>
        <v>2471.09</v>
      </c>
      <c r="E68" s="49">
        <f>E47+E52+E55+E56+E62+E63+E66+E67</f>
        <v>2101.2799999999997</v>
      </c>
      <c r="F68" s="49">
        <f>F47+F52+F55+F56+F62+F63+F66+F67</f>
        <v>1688.6000000000001</v>
      </c>
      <c r="G68" s="49">
        <f>G47+G52+G55+G56+G62+G63+G66+G67</f>
        <v>1653.23</v>
      </c>
      <c r="H68" s="49">
        <f>H47+H52+H55+H56+H62+H63+H66+H67</f>
        <v>2470.12</v>
      </c>
      <c r="I68" s="49">
        <f>I47+I52+I55+I56+I62+I63+I66+I67</f>
        <v>2206.11</v>
      </c>
      <c r="J68" s="49">
        <f>J47+J52+J55+J56+J62+J63+J66+J67</f>
        <v>3299.439999999999</v>
      </c>
      <c r="K68" s="49">
        <f>K47+K52+K55+K56+K62+K63+K66+K67</f>
        <v>2931.39</v>
      </c>
      <c r="L68" s="49">
        <f>L47+L52+L55+L56+L62+L63+L66+L67</f>
        <v>2687.93</v>
      </c>
      <c r="M68" s="49">
        <f>M47+M52+M55+M56+M62+M63+M66+M67</f>
        <v>2800.68</v>
      </c>
      <c r="N68" s="48">
        <f>B68+C68+D68+E68+F68+G68+H68+I68+J68+K68+L68+M68</f>
        <v>28930.61</v>
      </c>
    </row>
    <row r="69" spans="1:14" ht="16">
      <c r="A69" s="37" t="s">
        <v>66</v>
      </c>
      <c r="B69" s="47">
        <v>305.88</v>
      </c>
      <c r="C69" s="47">
        <v>229.89</v>
      </c>
      <c r="D69" s="47">
        <v>189.74</v>
      </c>
      <c r="E69" s="47">
        <v>179.88</v>
      </c>
      <c r="F69" s="47">
        <v>65.04</v>
      </c>
      <c r="G69" s="47">
        <v>42.15</v>
      </c>
      <c r="H69" s="47">
        <v>351.07</v>
      </c>
      <c r="I69" s="47">
        <v>140.82</v>
      </c>
      <c r="J69" s="47">
        <v>325.06</v>
      </c>
      <c r="K69" s="47">
        <v>328.26</v>
      </c>
      <c r="L69" s="47">
        <v>327.01</v>
      </c>
      <c r="M69" s="47">
        <v>303.62</v>
      </c>
      <c r="N69" s="47">
        <f>B69+C69+D69+E69+F69+G69+H69+I69+J69+K69+L69+M69</f>
        <v>2788.42</v>
      </c>
    </row>
    <row r="70" spans="1:14" ht="16">
      <c r="A70" s="37" t="s">
        <v>67</v>
      </c>
      <c r="B70" s="47">
        <v>590.33</v>
      </c>
      <c r="C70" s="46"/>
      <c r="D70" s="46"/>
      <c r="E70" s="46"/>
      <c r="F70" s="47">
        <v>20.01</v>
      </c>
      <c r="G70" s="47">
        <v>1520.0</v>
      </c>
      <c r="H70" s="47">
        <v>1250.18</v>
      </c>
      <c r="I70" s="47">
        <v>40.0</v>
      </c>
      <c r="J70" s="47">
        <v>430.11</v>
      </c>
      <c r="K70" s="47">
        <v>1749.12</v>
      </c>
      <c r="L70" s="46"/>
      <c r="M70" s="46"/>
      <c r="N70" s="47">
        <f>B70+C70+D70+E70+F70+G70+H70+I70+J70+K70+L70+M70</f>
        <v>5599.75</v>
      </c>
    </row>
    <row r="71" spans="1:14" ht="16">
      <c r="A71" s="42" t="s">
        <v>68</v>
      </c>
      <c r="B71" s="49">
        <f>B40+B46+B68+B69+B70</f>
        <v>4694.6</v>
      </c>
      <c r="C71" s="49">
        <f>C40+C46+C68+C69+C70</f>
        <v>3370.7899999999995</v>
      </c>
      <c r="D71" s="49">
        <f>D40+D46+D68+D69+D70</f>
        <v>2840.1000000000004</v>
      </c>
      <c r="E71" s="49">
        <f>E40+E46+E68+E69+E70</f>
        <v>3067.08</v>
      </c>
      <c r="F71" s="49">
        <f>F40+F46+F68+F69+F70</f>
        <v>1948.3500000000001</v>
      </c>
      <c r="G71" s="49">
        <f>G40+G46+G68+G69+G70</f>
        <v>4163.76</v>
      </c>
      <c r="H71" s="49">
        <f>H40+H46+H68+H69+H70</f>
        <v>12175.57</v>
      </c>
      <c r="I71" s="49">
        <f>I40+I46+I68+I69+I70</f>
        <v>2841.4200000000005</v>
      </c>
      <c r="J71" s="49">
        <f>J40+J46+J68+J69+J70</f>
        <v>6425.889999999999</v>
      </c>
      <c r="K71" s="49">
        <f>K40+K46+K68+K69+K70</f>
        <v>6574.45</v>
      </c>
      <c r="L71" s="49">
        <f>L40+L46+L68+L69+L70</f>
        <v>4772.58</v>
      </c>
      <c r="M71" s="49">
        <f>M40+M46+M68+M69+M70</f>
        <v>3299.43</v>
      </c>
      <c r="N71" s="48">
        <f>B71+C71+D71+E71+F71+G71+H71+I71+J71+K71+L71+M71</f>
        <v>56174.02</v>
      </c>
    </row>
    <row r="72" spans="1:14" ht="16">
      <c r="A72" s="42" t="s">
        <v>69</v>
      </c>
      <c r="B72" s="49">
        <f>B39-B71</f>
        <v>-4660.430000000001</v>
      </c>
      <c r="C72" s="49">
        <f>C39-C71</f>
        <v>12130.15</v>
      </c>
      <c r="D72" s="49">
        <f>D39-D71</f>
        <v>-1540.9900000000016</v>
      </c>
      <c r="E72" s="49">
        <f>E39-E71</f>
        <v>-4770.999999999999</v>
      </c>
      <c r="F72" s="49">
        <f>F39-F71</f>
        <v>710.3399999999995</v>
      </c>
      <c r="G72" s="49">
        <f>G39-G71</f>
        <v>24111.54</v>
      </c>
      <c r="H72" s="49">
        <f>H39-H71</f>
        <v>-15643.939999999999</v>
      </c>
      <c r="I72" s="49">
        <f>I39-I71</f>
        <v>-860.9300000000007</v>
      </c>
      <c r="J72" s="49">
        <f>J39-J71</f>
        <v>4507.0400000000045</v>
      </c>
      <c r="K72" s="49">
        <f>K39-K71</f>
        <v>36586.13000000001</v>
      </c>
      <c r="L72" s="49">
        <f>L39-L71</f>
        <v>-15470.8</v>
      </c>
      <c r="M72" s="49">
        <f>M39-M71</f>
        <v>89207.67000000001</v>
      </c>
      <c r="N72" s="48">
        <f>B72+C72+D72+E72+F72+G72+H72+I72+J72+K72+L72+M72</f>
        <v>124304.78000000003</v>
      </c>
    </row>
    <row r="73" spans="1:13" ht="16">
      <c r="A73" s="36" t="s">
        <v>70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</row>
    <row r="74" spans="1:14" ht="16">
      <c r="A74" s="37" t="s">
        <v>71</v>
      </c>
      <c r="B74" s="47">
        <v>86.47</v>
      </c>
      <c r="C74" s="47">
        <v>36.49</v>
      </c>
      <c r="D74" s="46"/>
      <c r="E74" s="47">
        <v>42.37</v>
      </c>
      <c r="F74" s="47">
        <v>51.53</v>
      </c>
      <c r="G74" s="46"/>
      <c r="H74" s="47">
        <v>64.83</v>
      </c>
      <c r="I74" s="47">
        <v>80.63</v>
      </c>
      <c r="J74" s="47">
        <v>11.77</v>
      </c>
      <c r="K74" s="47">
        <v>1594.93</v>
      </c>
      <c r="L74" s="47">
        <v>67.89</v>
      </c>
      <c r="M74" s="47">
        <v>561.7</v>
      </c>
      <c r="N74" s="47">
        <f>B74+C74+D74+E74+F74+G74+H74+I74+J74+K74+L74+M74</f>
        <v>2598.61</v>
      </c>
    </row>
    <row r="75" spans="1:14" ht="16">
      <c r="A75" s="37" t="s">
        <v>72</v>
      </c>
      <c r="B75" s="46"/>
      <c r="C75" s="46"/>
      <c r="D75" s="46"/>
      <c r="E75" s="46"/>
      <c r="F75" s="46"/>
      <c r="G75" s="46"/>
      <c r="H75" s="47">
        <v>-93.8</v>
      </c>
      <c r="I75" s="46"/>
      <c r="J75" s="46"/>
      <c r="K75" s="46"/>
      <c r="L75" s="46"/>
      <c r="M75" s="46"/>
      <c r="N75" s="47">
        <f>B75+C75+D75+E75+F75+G75+H75+I75+J75+K75+L75+M75</f>
        <v>-93.8</v>
      </c>
    </row>
    <row r="76" spans="1:14" ht="16">
      <c r="A76" s="42" t="s">
        <v>73</v>
      </c>
      <c r="B76" s="49">
        <f>B73+B74+B75</f>
        <v>86.47</v>
      </c>
      <c r="C76" s="49">
        <f>C73+C74+C75</f>
        <v>36.49</v>
      </c>
      <c r="D76" s="48">
        <f>D73+D74+D75</f>
        <v>0.0</v>
      </c>
      <c r="E76" s="49">
        <f>E73+E74+E75</f>
        <v>42.37</v>
      </c>
      <c r="F76" s="49">
        <f>F73+F74+F75</f>
        <v>51.53</v>
      </c>
      <c r="G76" s="48">
        <f>G73+G74+G75</f>
        <v>0.0</v>
      </c>
      <c r="H76" s="49">
        <f>H73+H74+H75</f>
        <v>-28.97</v>
      </c>
      <c r="I76" s="49">
        <f>I73+I74+I75</f>
        <v>80.63</v>
      </c>
      <c r="J76" s="49">
        <f>J73+J74+J75</f>
        <v>11.77</v>
      </c>
      <c r="K76" s="49">
        <f>K73+K74+K75</f>
        <v>1594.93</v>
      </c>
      <c r="L76" s="49">
        <f>L73+L74+L75</f>
        <v>67.89</v>
      </c>
      <c r="M76" s="49">
        <f>M73+M74+M75</f>
        <v>561.7</v>
      </c>
      <c r="N76" s="48">
        <f>B76+C76+D76+E76+F76+G76+H76+I76+J76+K76+L76+M76</f>
        <v>2504.8100000000004</v>
      </c>
    </row>
    <row r="77" spans="1:14" ht="16">
      <c r="A77" s="42" t="s">
        <v>74</v>
      </c>
      <c r="B77" s="49">
        <f>0-B76</f>
        <v>-86.47</v>
      </c>
      <c r="C77" s="49">
        <f>0-C76</f>
        <v>-36.49</v>
      </c>
      <c r="D77" s="48">
        <f>0-D76</f>
        <v>0.0</v>
      </c>
      <c r="E77" s="49">
        <f>0-E76</f>
        <v>-42.37</v>
      </c>
      <c r="F77" s="49">
        <f>0-F76</f>
        <v>-51.53</v>
      </c>
      <c r="G77" s="48">
        <f>0-G76</f>
        <v>0.0</v>
      </c>
      <c r="H77" s="49">
        <f>0-H76</f>
        <v>28.97</v>
      </c>
      <c r="I77" s="49">
        <f>0-I76</f>
        <v>-80.63</v>
      </c>
      <c r="J77" s="49">
        <f>0-J76</f>
        <v>-11.77</v>
      </c>
      <c r="K77" s="49">
        <f>0-K76</f>
        <v>-1594.93</v>
      </c>
      <c r="L77" s="49">
        <f>0-L76</f>
        <v>-67.89</v>
      </c>
      <c r="M77" s="49">
        <f>0-M76</f>
        <v>-561.7</v>
      </c>
      <c r="N77" s="48">
        <f>B77+C77+D77+E77+F77+G77+H77+I77+J77+K77+L77+M77</f>
        <v>-2504.8100000000004</v>
      </c>
    </row>
    <row r="78" spans="1:14" ht="16">
      <c r="A78" s="42" t="s">
        <v>75</v>
      </c>
      <c r="B78" s="49">
        <f>B72+B77</f>
        <v>-4746.9000000000015</v>
      </c>
      <c r="C78" s="49">
        <f>C72+C77</f>
        <v>12093.66</v>
      </c>
      <c r="D78" s="49">
        <f>D72+D77</f>
        <v>-1540.9900000000016</v>
      </c>
      <c r="E78" s="49">
        <f>E72+E77</f>
        <v>-4813.369999999999</v>
      </c>
      <c r="F78" s="49">
        <f>F72+F77</f>
        <v>658.8099999999995</v>
      </c>
      <c r="G78" s="49">
        <f>G72+G77</f>
        <v>24111.54</v>
      </c>
      <c r="H78" s="49">
        <f>H72+H77</f>
        <v>-15614.97</v>
      </c>
      <c r="I78" s="49">
        <f>I72+I77</f>
        <v>-941.5600000000007</v>
      </c>
      <c r="J78" s="49">
        <f>J72+J77</f>
        <v>4495.270000000004</v>
      </c>
      <c r="K78" s="49">
        <f>K72+K77</f>
        <v>34991.20000000001</v>
      </c>
      <c r="L78" s="49">
        <f>L72+L77</f>
        <v>-15538.689999999999</v>
      </c>
      <c r="M78" s="49">
        <f>M72+M77</f>
        <v>88645.97000000002</v>
      </c>
      <c r="N78" s="48">
        <f>B78+C78+D78+E78+F78+G78+H78+I78+J78+K78+L78+M78</f>
        <v>121799.97000000003</v>
      </c>
    </row>
    <row r="82" spans="1:1" ht="16">
      <c r="A82" s="52" t="s">
        <v>90</v>
      </c>
    </row>
  </sheetData>
  <mergeCells count="4">
    <mergeCell ref="A1:N1"/>
    <mergeCell ref="A2:N2"/>
    <mergeCell ref="A3:N3"/>
    <mergeCell ref="A82:N8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