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0" i="1" l="1"/>
</calcChain>
</file>

<file path=xl/sharedStrings.xml><?xml version="1.0" encoding="utf-8"?>
<sst xmlns="http://schemas.openxmlformats.org/spreadsheetml/2006/main" count="123" uniqueCount="122">
  <si>
    <t>BRAVADO SPICE LLC</t>
  </si>
  <si>
    <t>Profit and Loss by Month</t>
  </si>
  <si>
    <t>January 1-December 31, 2022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</si>
  <si>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</si>
  <si>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</si>
  <si>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</si>
  <si>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</si>
  <si>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</si>
  <si>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61216 Arbol Chili &amp; Garlic Hot Sauce</t>
  </si>
  <si>
    <t>61217 Manuka Honey Passion Fruit Hot Sauce</t>
  </si>
  <si>
    <t>61220 Jalapeno &amp; Green Apple Hot Sauce</t>
  </si>
  <si>
    <t>61225 Ancho Masala Ghost-Reaper Hot Sauce</t>
  </si>
  <si>
    <t>61230 Ghost Pepper &amp; Blueberry Hot Sauce</t>
  </si>
  <si>
    <t>61240 Crimson Hot Sauce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</si>
  <si>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</si>
  <si>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</si>
  <si>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</si>
  <si>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</si>
  <si>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</si>
  <si>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</si>
  <si>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</si>
  <si>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</si>
  <si>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</si>
  <si>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</si>
  <si>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</si>
  <si>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61420 Ruby Red Grapefruit Margarita Mix</t>
  </si>
  <si>
    <t>61430 Lime &amp; Yuzu Margarita Mix</t>
  </si>
  <si>
    <t>Total for 61400 Mixers</t>
  </si>
  <si>
    <t>61500 Sets</t>
  </si>
  <si>
    <t>63000 Events/Shows Sales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</si>
  <si>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</si>
  <si>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</si>
  <si>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</si>
  <si>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</si>
  <si>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</si>
  <si>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</si>
  <si>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Discounts given</t>
  </si>
  <si>
    <t>Total for Income</t>
  </si>
  <si>
    <t>Cost of Goods Sold</t>
  </si>
  <si>
    <t>71000 Cost of Sales (COS)</t>
  </si>
  <si>
    <t>71100 Shipping &amp; Delivery - COS</t>
  </si>
  <si>
    <t>71300 Ingredients - COS</t>
  </si>
  <si>
    <t>71400 Co-Packer - COGS</t>
  </si>
  <si>
    <t>Expiration Allowance</t>
  </si>
  <si>
    <t>Inventory Shrinkage</t>
  </si>
  <si>
    <t>Marketing Allowance</t>
  </si>
  <si>
    <t>On-Invoice Discounts</t>
  </si>
  <si>
    <t>Pass Thru Deduction</t>
  </si>
  <si>
    <t>QuickBooks Payments Fees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</si>
  <si>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</si>
  <si>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</si>
  <si>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</si>
  <si>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</si>
  <si>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</si>
  <si>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</si>
  <si>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</si>
  <si>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</si>
  <si>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</si>
  <si>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</si>
  <si>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</si>
  <si>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</si>
  <si>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</si>
  <si>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</si>
  <si>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</si>
  <si>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</si>
  <si>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</si>
  <si>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</si>
  <si>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</si>
  <si>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</si>
  <si>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</si>
  <si>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</si>
  <si>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</si>
  <si>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</si>
  <si>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73400 Financial Fees</t>
  </si>
  <si>
    <t>73410 Bank Fees</t>
  </si>
  <si>
    <t>73450 Interest Expense</t>
  </si>
  <si>
    <t>Total for 73400 Financial Fees</t>
  </si>
  <si>
    <t>73500 Dues &amp; Subscriptions</t>
  </si>
  <si>
    <t>73600 Insurance</t>
  </si>
  <si>
    <t>73620 Insurance - Liability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</si>
  <si>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</si>
  <si>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</si>
  <si>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</si>
  <si>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</si>
  <si>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</si>
  <si>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</si>
  <si>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</si>
  <si>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</si>
  <si>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</si>
  <si>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</si>
  <si>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74000 Bad Debts</t>
  </si>
  <si>
    <t>75000 Travel</t>
  </si>
  <si>
    <t>75500 Reimbursements</t>
  </si>
  <si>
    <t>76000 Repair &amp; Maintenance</t>
  </si>
  <si>
    <t>Charitable Contributions</t>
  </si>
  <si>
    <t>Melio Credit card fee</t>
  </si>
  <si>
    <t>Remittance Discrepancy</t>
  </si>
  <si>
    <t>Returned Check</t>
  </si>
  <si>
    <t>Sales Tax Expense</t>
  </si>
  <si>
    <t>Total for Expenses</t>
  </si>
  <si>
    <t>Net Operating Income</t>
  </si>
  <si>
    <t>Other Income</t>
  </si>
  <si>
    <t>80000 Interest Earned</t>
  </si>
  <si>
    <t>Insurance Proceeds - Loss</t>
  </si>
  <si>
    <t>Total for Other Income</t>
  </si>
  <si>
    <t>Net Other Income</t>
  </si>
  <si>
    <t>Net Income</t>
  </si>
  <si>
    <t/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</si>
  <si>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</si>
  <si>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</si>
  <si>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</si>
  <si>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</si>
  <si>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</si>
  <si>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</si>
  <si>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</si>
  <si>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</si>
  <si>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</si>
  <si>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</si>
  <si>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</si>
  <si>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</si>
  <si>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Total</t>
  </si>
  <si>
    <t>Accrual Basis Tuesday, August 25, 2026 03:25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</si>
</sst>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4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6.125" style="43" customWidth="1"/>
    <col min="3" max="4" width="17" style="43" customWidth="1"/>
    <col min="5" max="5" width="16.125" style="43" customWidth="1"/>
    <col min="6" max="7" width="17" style="43" customWidth="1"/>
    <col min="8" max="8" width="16.125" style="43" customWidth="1"/>
    <col min="9" max="9" width="17" style="43" customWidth="1"/>
    <col min="10" max="13" width="16.125" style="43" customWidth="1"/>
    <col min="14" max="14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107</v>
      </c>
      <c r="B5" s="50" t="s">
        <v>108</v>
      </c>
      <c r="C5" s="50" t="s">
        <v>109</v>
      </c>
      <c r="D5" s="50" t="s">
        <v>110</v>
      </c>
      <c r="E5" s="50" t="s">
        <v>111</v>
      </c>
      <c r="F5" s="50" t="s">
        <v>112</v>
      </c>
      <c r="G5" s="50" t="s">
        <v>113</v>
      </c>
      <c r="H5" s="50" t="s">
        <v>114</v>
      </c>
      <c r="I5" s="50" t="s">
        <v>115</v>
      </c>
      <c r="J5" s="50" t="s">
        <v>116</v>
      </c>
      <c r="K5" s="50" t="s">
        <v>117</v>
      </c>
      <c r="L5" s="50" t="s">
        <v>118</v>
      </c>
      <c r="M5" s="50" t="s">
        <v>119</v>
      </c>
      <c r="N5" s="50" t="s">
        <v>120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7">
        <v>-19800.0</v>
      </c>
      <c r="D7" s="47">
        <v>-23400.0</v>
      </c>
      <c r="E7" s="46"/>
      <c r="F7" s="47">
        <v>0</v>
      </c>
      <c r="G7" s="47">
        <v>0</v>
      </c>
      <c r="H7" s="47">
        <v>0</v>
      </c>
      <c r="I7" s="47">
        <v>0</v>
      </c>
      <c r="J7" s="46"/>
      <c r="K7" s="46"/>
      <c r="L7" s="46"/>
      <c r="M7" s="46"/>
      <c r="N7" s="47">
        <f>B7+C7+D7+E7+F7+G7+H7+I7+J7+K7+L7+M7</f>
        <v>-43200.0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7">
        <v>46347.42</v>
      </c>
      <c r="C9" s="47">
        <v>15369.72</v>
      </c>
      <c r="D9" s="47">
        <v>18619.74</v>
      </c>
      <c r="E9" s="47">
        <v>25844.58</v>
      </c>
      <c r="F9" s="47">
        <v>18132.84</v>
      </c>
      <c r="G9" s="47">
        <v>23096.1</v>
      </c>
      <c r="H9" s="47">
        <v>16902.04</v>
      </c>
      <c r="I9" s="47">
        <v>12454.14</v>
      </c>
      <c r="J9" s="47">
        <v>31709.64</v>
      </c>
      <c r="K9" s="47">
        <v>14292.3</v>
      </c>
      <c r="L9" s="47">
        <v>42377.7</v>
      </c>
      <c r="M9" s="47">
        <v>15355.56</v>
      </c>
      <c r="N9" s="47">
        <f>B9+C9+D9+E9+F9+G9+H9+I9+J9+K9+L9+M9</f>
        <v>280501.78</v>
      </c>
    </row>
    <row r="10" spans="1:14" ht="16">
      <c r="A10" s="39" t="s">
        <v>7</v>
      </c>
      <c r="B10" s="47">
        <v>24793.44</v>
      </c>
      <c r="C10" s="47">
        <v>9796.64</v>
      </c>
      <c r="D10" s="47">
        <v>6513.28</v>
      </c>
      <c r="E10" s="47">
        <v>4456.76</v>
      </c>
      <c r="F10" s="47">
        <v>4666.0</v>
      </c>
      <c r="G10" s="47">
        <v>3929.38</v>
      </c>
      <c r="H10" s="47">
        <v>3342.48</v>
      </c>
      <c r="I10" s="47">
        <v>10068.96</v>
      </c>
      <c r="J10" s="47">
        <v>1844.8</v>
      </c>
      <c r="K10" s="47">
        <v>9280.28</v>
      </c>
      <c r="L10" s="47">
        <v>1448.76</v>
      </c>
      <c r="M10" s="47">
        <v>3192.76</v>
      </c>
      <c r="N10" s="47">
        <f>B10+C10+D10+E10+F10+G10+H10+I10+J10+K10+L10+M10</f>
        <v>83333.54</v>
      </c>
    </row>
    <row r="11" spans="1:14" ht="16">
      <c r="A11" s="39" t="s">
        <v>8</v>
      </c>
      <c r="B11" s="46"/>
      <c r="C11" s="46"/>
      <c r="D11" s="46"/>
      <c r="E11" s="46"/>
      <c r="F11" s="46"/>
      <c r="G11" s="46"/>
      <c r="H11" s="46"/>
      <c r="I11" s="46"/>
      <c r="J11" s="46"/>
      <c r="K11" s="47">
        <v>1638.36</v>
      </c>
      <c r="L11" s="47">
        <v>10357.08</v>
      </c>
      <c r="M11" s="47">
        <v>4205.34</v>
      </c>
      <c r="N11" s="47">
        <f>B11+C11+D11+E11+F11+G11+H11+I11+J11+K11+L11+M11</f>
        <v>16200.78</v>
      </c>
    </row>
    <row r="12" spans="1:14" ht="16">
      <c r="A12" s="39" t="s">
        <v>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>
        <v>403.2</v>
      </c>
      <c r="M12" s="47">
        <v>489.6</v>
      </c>
      <c r="N12" s="47">
        <f>B12+C12+D12+E12+F12+G12+H12+I12+J12+K12+L12+M12</f>
        <v>892.8</v>
      </c>
    </row>
    <row r="13" spans="1:14" ht="16">
      <c r="A13" s="39" t="s">
        <v>10</v>
      </c>
      <c r="B13" s="46"/>
      <c r="C13" s="46"/>
      <c r="D13" s="46"/>
      <c r="E13" s="46"/>
      <c r="F13" s="46"/>
      <c r="G13" s="46"/>
      <c r="H13" s="46"/>
      <c r="I13" s="46"/>
      <c r="J13" s="47">
        <v>47.4</v>
      </c>
      <c r="K13" s="46"/>
      <c r="L13" s="46"/>
      <c r="M13" s="46"/>
      <c r="N13" s="47">
        <f>B13+C13+D13+E13+F13+G13+H13+I13+J13+K13+L13+M13</f>
        <v>47.4</v>
      </c>
    </row>
    <row r="14" spans="1:14" ht="16">
      <c r="A14" s="39" t="s">
        <v>11</v>
      </c>
      <c r="B14" s="47">
        <v>24507.6</v>
      </c>
      <c r="C14" s="47">
        <v>7343.6</v>
      </c>
      <c r="D14" s="47">
        <v>3600.16</v>
      </c>
      <c r="E14" s="47">
        <v>5143.74</v>
      </c>
      <c r="F14" s="47">
        <v>3176.48</v>
      </c>
      <c r="G14" s="47">
        <v>3186.4</v>
      </c>
      <c r="H14" s="47">
        <v>5034.84</v>
      </c>
      <c r="I14" s="47">
        <v>9334.08</v>
      </c>
      <c r="J14" s="47">
        <v>3397.2</v>
      </c>
      <c r="K14" s="47">
        <v>7618.62</v>
      </c>
      <c r="L14" s="47">
        <v>2226.28</v>
      </c>
      <c r="M14" s="47">
        <v>4475.08</v>
      </c>
      <c r="N14" s="47">
        <f>B14+C14+D14+E14+F14+G14+H14+I14+J14+K14+L14+M14</f>
        <v>79044.08</v>
      </c>
    </row>
    <row r="15" spans="1:14" ht="16">
      <c r="A15" s="39" t="s">
        <v>12</v>
      </c>
      <c r="B15" s="47">
        <v>36012.18</v>
      </c>
      <c r="C15" s="47">
        <v>13379.76</v>
      </c>
      <c r="D15" s="47">
        <v>10690.16</v>
      </c>
      <c r="E15" s="47">
        <v>20813.34</v>
      </c>
      <c r="F15" s="47">
        <v>10552.98</v>
      </c>
      <c r="G15" s="47">
        <v>16013.94</v>
      </c>
      <c r="H15" s="47">
        <v>10774.98</v>
      </c>
      <c r="I15" s="47">
        <v>12605.44</v>
      </c>
      <c r="J15" s="47">
        <v>21171.0</v>
      </c>
      <c r="K15" s="47">
        <v>10478.58</v>
      </c>
      <c r="L15" s="47">
        <v>19855.5</v>
      </c>
      <c r="M15" s="47">
        <v>9836.64</v>
      </c>
      <c r="N15" s="47">
        <f>B15+C15+D15+E15+F15+G15+H15+I15+J15+K15+L15+M15</f>
        <v>192184.5</v>
      </c>
    </row>
    <row r="16" spans="1:14" ht="16">
      <c r="A16" s="39" t="s">
        <v>13</v>
      </c>
      <c r="B16" s="47">
        <v>18295.74</v>
      </c>
      <c r="C16" s="47">
        <v>1247.58</v>
      </c>
      <c r="D16" s="47">
        <v>5717.92</v>
      </c>
      <c r="E16" s="47">
        <v>6527.82</v>
      </c>
      <c r="F16" s="47">
        <v>6310.82</v>
      </c>
      <c r="G16" s="47">
        <v>3696.72</v>
      </c>
      <c r="H16" s="47">
        <v>4046.8</v>
      </c>
      <c r="I16" s="47">
        <v>6959.96</v>
      </c>
      <c r="J16" s="47">
        <v>9998.28</v>
      </c>
      <c r="K16" s="47">
        <v>4039.08</v>
      </c>
      <c r="L16" s="47">
        <v>715.44</v>
      </c>
      <c r="M16" s="47">
        <v>844.56</v>
      </c>
      <c r="N16" s="47">
        <f>B16+C16+D16+E16+F16+G16+H16+I16+J16+K16+L16+M16</f>
        <v>68400.72</v>
      </c>
    </row>
    <row r="17" spans="1:14" ht="16">
      <c r="A17" s="39" t="s">
        <v>14</v>
      </c>
      <c r="B17" s="47">
        <v>27259.63</v>
      </c>
      <c r="C17" s="47">
        <v>5957.64</v>
      </c>
      <c r="D17" s="47">
        <v>7994.33</v>
      </c>
      <c r="E17" s="47">
        <v>9592.8</v>
      </c>
      <c r="F17" s="47">
        <v>9256.43</v>
      </c>
      <c r="G17" s="47">
        <v>8662.62</v>
      </c>
      <c r="H17" s="47">
        <v>9112.68</v>
      </c>
      <c r="I17" s="47">
        <v>8846.52</v>
      </c>
      <c r="J17" s="47">
        <v>11777.28</v>
      </c>
      <c r="K17" s="47">
        <v>5081.1</v>
      </c>
      <c r="L17" s="47">
        <v>11150.4</v>
      </c>
      <c r="M17" s="47">
        <v>7765.68</v>
      </c>
      <c r="N17" s="47">
        <f>B17+C17+D17+E17+F17+G17+H17+I17+J17+K17+L17+M17</f>
        <v>122457.11000000002</v>
      </c>
    </row>
    <row r="18" spans="1:14" ht="16">
      <c r="A18" s="39" t="s">
        <v>15</v>
      </c>
      <c r="B18" s="47">
        <v>40827.22</v>
      </c>
      <c r="C18" s="47">
        <v>7399.0</v>
      </c>
      <c r="D18" s="47">
        <v>20291.62</v>
      </c>
      <c r="E18" s="47">
        <v>20664.52</v>
      </c>
      <c r="F18" s="47">
        <v>15003.76</v>
      </c>
      <c r="G18" s="47">
        <v>22196.38</v>
      </c>
      <c r="H18" s="47">
        <v>25802.48</v>
      </c>
      <c r="I18" s="47">
        <v>22006.34</v>
      </c>
      <c r="J18" s="47">
        <v>19820.78</v>
      </c>
      <c r="K18" s="47">
        <v>19267.56</v>
      </c>
      <c r="L18" s="47">
        <v>37554.12</v>
      </c>
      <c r="M18" s="47">
        <v>23658.8</v>
      </c>
      <c r="N18" s="47">
        <f>B18+C18+D18+E18+F18+G18+H18+I18+J18+K18+L18+M18</f>
        <v>274492.58</v>
      </c>
    </row>
    <row r="19" spans="1:14" ht="16">
      <c r="A19" s="39" t="s">
        <v>16</v>
      </c>
      <c r="B19" s="47">
        <v>24836.7</v>
      </c>
      <c r="C19" s="47">
        <v>1798.08</v>
      </c>
      <c r="D19" s="47">
        <v>3260.94</v>
      </c>
      <c r="E19" s="47">
        <v>8820.78</v>
      </c>
      <c r="F19" s="47">
        <v>5230.56</v>
      </c>
      <c r="G19" s="47">
        <v>285.78</v>
      </c>
      <c r="H19" s="47">
        <v>2522.16</v>
      </c>
      <c r="I19" s="47">
        <v>1215.34</v>
      </c>
      <c r="J19" s="47">
        <v>7993.5</v>
      </c>
      <c r="K19" s="47">
        <v>6308.76</v>
      </c>
      <c r="L19" s="47">
        <v>2415.66</v>
      </c>
      <c r="M19" s="47">
        <v>2745.48</v>
      </c>
      <c r="N19" s="47">
        <f>B19+C19+D19+E19+F19+G19+H19+I19+J19+K19+L19+M19</f>
        <v>67433.73999999999</v>
      </c>
    </row>
    <row r="20" spans="1:14" ht="16">
      <c r="A20" s="39" t="s">
        <v>17</v>
      </c>
      <c r="B20" s="47">
        <v>28424.68</v>
      </c>
      <c r="C20" s="47">
        <v>3567.72</v>
      </c>
      <c r="D20" s="47">
        <v>5148.6</v>
      </c>
      <c r="E20" s="47">
        <v>9333.72</v>
      </c>
      <c r="F20" s="47">
        <v>6740.96</v>
      </c>
      <c r="G20" s="47">
        <v>4119.72</v>
      </c>
      <c r="H20" s="47">
        <v>11266.24</v>
      </c>
      <c r="I20" s="47">
        <v>10099.16</v>
      </c>
      <c r="J20" s="47">
        <v>4103.38</v>
      </c>
      <c r="K20" s="47">
        <v>10994.72</v>
      </c>
      <c r="L20" s="47">
        <v>7725.2</v>
      </c>
      <c r="M20" s="47">
        <v>6576.44</v>
      </c>
      <c r="N20" s="47">
        <f>B20+C20+D20+E20+F20+G20+H20+I20+J20+K20+L20+M20</f>
        <v>108100.54000000001</v>
      </c>
    </row>
    <row r="21" spans="1:14" ht="16">
      <c r="A21" s="40" t="s">
        <v>18</v>
      </c>
      <c r="B21" s="48">
        <f>B8+B9+B10+B11+B12+B13+B14+B15+B16+B17+B18+B19+B20</f>
        <v>271304.61</v>
      </c>
      <c r="C21" s="48">
        <f>C8+C9+C10+C11+C12+C13+C14+C15+C16+C17+C18+C19+C20</f>
        <v>65859.74</v>
      </c>
      <c r="D21" s="48">
        <f>D8+D9+D10+D11+D12+D13+D14+D15+D16+D17+D18+D19+D20</f>
        <v>81836.75</v>
      </c>
      <c r="E21" s="48">
        <f>E8+E9+E10+E11+E12+E13+E14+E15+E16+E17+E18+E19+E20</f>
        <v>111198.06</v>
      </c>
      <c r="F21" s="48">
        <f>F8+F9+F10+F11+F12+F13+F14+F15+F16+F17+F18+F19+F20</f>
        <v>79070.83</v>
      </c>
      <c r="G21" s="48">
        <f>G8+G9+G10+G11+G12+G13+G14+G15+G16+G17+G18+G19+G20</f>
        <v>85187.04000000001</v>
      </c>
      <c r="H21" s="48">
        <f>H8+H9+H10+H11+H12+H13+H14+H15+H16+H17+H18+H19+H20</f>
        <v>88804.70000000001</v>
      </c>
      <c r="I21" s="48">
        <f>I8+I9+I10+I11+I12+I13+I14+I15+I16+I17+I18+I19+I20</f>
        <v>93589.94</v>
      </c>
      <c r="J21" s="48">
        <f>J8+J9+J10+J11+J12+J13+J14+J15+J16+J17+J18+J19+J20</f>
        <v>111863.26000000001</v>
      </c>
      <c r="K21" s="48">
        <f>K8+K9+K10+K11+K12+K13+K14+K15+K16+K17+K18+K19+K20</f>
        <v>88999.36</v>
      </c>
      <c r="L21" s="48">
        <f>L8+L9+L10+L11+L12+L13+L14+L15+L16+L17+L18+L19+L20</f>
        <v>136229.34</v>
      </c>
      <c r="M21" s="48">
        <f>M8+M9+M10+M11+M12+M13+M14+M15+M16+M17+M18+M19+M20</f>
        <v>79145.93999999999</v>
      </c>
      <c r="N21" s="51">
        <f>B21+C21+D21+E21+F21+G21+H21+I21+J21+K21+L21+M21</f>
        <v>1293089.57</v>
      </c>
    </row>
    <row r="22" spans="1:14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16">
      <c r="A23" s="39" t="s">
        <v>20</v>
      </c>
      <c r="B23" s="47">
        <v>221.04</v>
      </c>
      <c r="C23" s="47">
        <v>1309.44</v>
      </c>
      <c r="D23" s="47">
        <v>237.0</v>
      </c>
      <c r="E23" s="47">
        <v>769.44</v>
      </c>
      <c r="F23" s="47">
        <v>415.8</v>
      </c>
      <c r="G23" s="47">
        <v>527.52</v>
      </c>
      <c r="H23" s="47">
        <v>468.6</v>
      </c>
      <c r="I23" s="47">
        <v>505.2</v>
      </c>
      <c r="J23" s="47">
        <v>96.0</v>
      </c>
      <c r="K23" s="47">
        <v>84.48</v>
      </c>
      <c r="L23" s="47">
        <v>1133.76</v>
      </c>
      <c r="M23" s="47">
        <v>619.32</v>
      </c>
      <c r="N23" s="47">
        <f>B23+C23+D23+E23+F23+G23+H23+I23+J23+K23+L23+M23</f>
        <v>6387.599999999999</v>
      </c>
    </row>
    <row r="24" spans="1:14" ht="16">
      <c r="A24" s="39" t="s">
        <v>21</v>
      </c>
      <c r="B24" s="47">
        <v>273.84</v>
      </c>
      <c r="C24" s="47">
        <v>84.48</v>
      </c>
      <c r="D24" s="47">
        <v>273.6</v>
      </c>
      <c r="E24" s="47">
        <v>590.4</v>
      </c>
      <c r="F24" s="47">
        <v>226.2</v>
      </c>
      <c r="G24" s="47">
        <v>311.16</v>
      </c>
      <c r="H24" s="47">
        <v>474.0</v>
      </c>
      <c r="I24" s="47">
        <v>273.6</v>
      </c>
      <c r="J24" s="47">
        <v>2335.8</v>
      </c>
      <c r="K24" s="47">
        <v>84.48</v>
      </c>
      <c r="L24" s="47">
        <v>324.0</v>
      </c>
      <c r="M24" s="46"/>
      <c r="N24" s="47">
        <f>B24+C24+D24+E24+F24+G24+H24+I24+J24+K24+L24+M24</f>
        <v>5251.5599999999995</v>
      </c>
    </row>
    <row r="25" spans="1:14" ht="16">
      <c r="A25" s="40" t="s">
        <v>22</v>
      </c>
      <c r="B25" s="48">
        <f>B22+B23+B24</f>
        <v>494.88</v>
      </c>
      <c r="C25" s="48">
        <f>C22+C23+C24</f>
        <v>1393.92</v>
      </c>
      <c r="D25" s="48">
        <f>D22+D23+D24</f>
        <v>510.6</v>
      </c>
      <c r="E25" s="48">
        <f>E22+E23+E24</f>
        <v>1359.8400000000001</v>
      </c>
      <c r="F25" s="48">
        <f>F22+F23+F24</f>
        <v>642.0</v>
      </c>
      <c r="G25" s="48">
        <f>G22+G23+G24</f>
        <v>838.6800000000001</v>
      </c>
      <c r="H25" s="48">
        <f>H22+H23+H24</f>
        <v>942.6</v>
      </c>
      <c r="I25" s="48">
        <f>I22+I23+I24</f>
        <v>778.8</v>
      </c>
      <c r="J25" s="48">
        <f>J22+J23+J24</f>
        <v>2431.8</v>
      </c>
      <c r="K25" s="48">
        <f>K22+K23+K24</f>
        <v>168.96</v>
      </c>
      <c r="L25" s="48">
        <f>L22+L23+L24</f>
        <v>1457.76</v>
      </c>
      <c r="M25" s="48">
        <f>M22+M23+M24</f>
        <v>619.32</v>
      </c>
      <c r="N25" s="51">
        <f>B25+C25+D25+E25+F25+G25+H25+I25+J25+K25+L25+M25</f>
        <v>11639.16</v>
      </c>
    </row>
    <row r="26" spans="1:14" ht="16">
      <c r="A26" s="38" t="s">
        <v>23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ht="16">
      <c r="A27" s="39" t="s">
        <v>24</v>
      </c>
      <c r="B27" s="47">
        <v>8195.94</v>
      </c>
      <c r="C27" s="47">
        <v>2361.34</v>
      </c>
      <c r="D27" s="47">
        <v>8077.44</v>
      </c>
      <c r="E27" s="47">
        <v>7014.6</v>
      </c>
      <c r="F27" s="47">
        <v>10902.06</v>
      </c>
      <c r="G27" s="47">
        <v>22276.8</v>
      </c>
      <c r="H27" s="47">
        <v>9930.24</v>
      </c>
      <c r="I27" s="47">
        <v>8132.65</v>
      </c>
      <c r="J27" s="47">
        <v>4180.8</v>
      </c>
      <c r="K27" s="47">
        <v>5586.3</v>
      </c>
      <c r="L27" s="47">
        <v>4233.0</v>
      </c>
      <c r="M27" s="47">
        <v>12635.4</v>
      </c>
      <c r="N27" s="47">
        <f>B27+C27+D27+E27+F27+G27+H27+I27+J27+K27+L27+M27</f>
        <v>103526.56999999999</v>
      </c>
    </row>
    <row r="28" spans="1:14" ht="16">
      <c r="A28" s="39" t="s">
        <v>25</v>
      </c>
      <c r="B28" s="47">
        <v>397.8</v>
      </c>
      <c r="C28" s="47">
        <v>280.8</v>
      </c>
      <c r="D28" s="47">
        <v>557.7</v>
      </c>
      <c r="E28" s="47">
        <v>432.9</v>
      </c>
      <c r="F28" s="47">
        <v>1544.4</v>
      </c>
      <c r="G28" s="47">
        <v>1132.8</v>
      </c>
      <c r="H28" s="47">
        <v>1390.5</v>
      </c>
      <c r="I28" s="47">
        <v>1520.1</v>
      </c>
      <c r="J28" s="47">
        <v>423.0</v>
      </c>
      <c r="K28" s="47">
        <v>1053.0</v>
      </c>
      <c r="L28" s="47">
        <v>1198.5</v>
      </c>
      <c r="M28" s="47">
        <v>72.0</v>
      </c>
      <c r="N28" s="47">
        <f>B28+C28+D28+E28+F28+G28+H28+I28+J28+K28+L28+M28</f>
        <v>10003.5</v>
      </c>
    </row>
    <row r="29" spans="1:14" ht="16">
      <c r="A29" s="39" t="s">
        <v>26</v>
      </c>
      <c r="B29" s="47">
        <v>674.1</v>
      </c>
      <c r="C29" s="47">
        <v>409.08</v>
      </c>
      <c r="D29" s="47">
        <v>690.3</v>
      </c>
      <c r="E29" s="47">
        <v>658.98</v>
      </c>
      <c r="F29" s="47">
        <v>1493.46</v>
      </c>
      <c r="G29" s="47">
        <v>813.6</v>
      </c>
      <c r="H29" s="47">
        <v>1498.5</v>
      </c>
      <c r="I29" s="47">
        <v>1325.7</v>
      </c>
      <c r="J29" s="47">
        <v>785.58</v>
      </c>
      <c r="K29" s="47">
        <v>351.0</v>
      </c>
      <c r="L29" s="47">
        <v>6948.0</v>
      </c>
      <c r="M29" s="47">
        <v>54.0</v>
      </c>
      <c r="N29" s="47">
        <f>B29+C29+D29+E29+F29+G29+H29+I29+J29+K29+L29+M29</f>
        <v>15702.300000000001</v>
      </c>
    </row>
    <row r="30" spans="1:14" ht="16">
      <c r="A30" s="40" t="s">
        <v>27</v>
      </c>
      <c r="B30" s="48">
        <f>B26+B27+B28+B29</f>
        <v>9267.84</v>
      </c>
      <c r="C30" s="48">
        <f>C26+C27+C28+C29</f>
        <v>3051.2200000000003</v>
      </c>
      <c r="D30" s="48">
        <f>D26+D27+D28+D29</f>
        <v>9325.439999999999</v>
      </c>
      <c r="E30" s="48">
        <f>E26+E27+E28+E29</f>
        <v>8106.48</v>
      </c>
      <c r="F30" s="48">
        <f>F26+F27+F28+F29</f>
        <v>13939.919999999998</v>
      </c>
      <c r="G30" s="48">
        <f>G26+G27+G28+G29</f>
        <v>24223.199999999997</v>
      </c>
      <c r="H30" s="48">
        <f>H26+H27+H28+H29</f>
        <v>12819.24</v>
      </c>
      <c r="I30" s="48">
        <f>I26+I27+I28+I29</f>
        <v>10978.45</v>
      </c>
      <c r="J30" s="48">
        <f>J26+J27+J28+J29</f>
        <v>5389.38</v>
      </c>
      <c r="K30" s="48">
        <f>K26+K27+K28+K29</f>
        <v>6990.3</v>
      </c>
      <c r="L30" s="48">
        <f>L26+L27+L28+L29</f>
        <v>12379.5</v>
      </c>
      <c r="M30" s="48">
        <f>M26+M27+M28+M29</f>
        <v>12761.4</v>
      </c>
      <c r="N30" s="51">
        <f>B30+C30+D30+E30+F30+G30+H30+I30+J30+K30+L30+M30</f>
        <v>129232.37</v>
      </c>
    </row>
    <row r="31" spans="1:14" ht="16">
      <c r="A31" s="38" t="s">
        <v>28</v>
      </c>
      <c r="B31" s="46"/>
      <c r="C31" s="47">
        <v>39600.0</v>
      </c>
      <c r="D31" s="47">
        <v>46964.76</v>
      </c>
      <c r="E31" s="46"/>
      <c r="F31" s="47">
        <v>5319.28</v>
      </c>
      <c r="G31" s="47">
        <v>545.96</v>
      </c>
      <c r="H31" s="47">
        <v>45955.72</v>
      </c>
      <c r="I31" s="47">
        <v>328.25</v>
      </c>
      <c r="J31" s="47">
        <v>59220.0</v>
      </c>
      <c r="K31" s="47">
        <v>122870.36</v>
      </c>
      <c r="L31" s="47">
        <v>101701.2</v>
      </c>
      <c r="M31" s="47">
        <v>62586.12</v>
      </c>
      <c r="N31" s="47">
        <f>B31+C31+D31+E31+F31+G31+H31+I31+J31+K31+L31+M31</f>
        <v>485091.65</v>
      </c>
    </row>
    <row r="32" spans="1:14" ht="16">
      <c r="A32" s="38" t="s">
        <v>29</v>
      </c>
      <c r="B32" s="46"/>
      <c r="C32" s="46"/>
      <c r="D32" s="47">
        <v>3165.0</v>
      </c>
      <c r="E32" s="46"/>
      <c r="F32" s="47">
        <v>1003.55</v>
      </c>
      <c r="G32" s="46"/>
      <c r="H32" s="46"/>
      <c r="I32" s="47">
        <v>1385.0</v>
      </c>
      <c r="J32" s="47">
        <v>2019.6</v>
      </c>
      <c r="K32" s="46"/>
      <c r="L32" s="47">
        <v>-2019.6</v>
      </c>
      <c r="M32" s="46"/>
      <c r="N32" s="47">
        <f>B32+C32+D32+E32+F32+G32+H32+I32+J32+K32+L32+M32</f>
        <v>5553.549999999999</v>
      </c>
    </row>
    <row r="33" spans="1:14" ht="16">
      <c r="A33" s="38" t="s">
        <v>30</v>
      </c>
      <c r="B33" s="47">
        <v>13686.58</v>
      </c>
      <c r="C33" s="47">
        <v>13944.71</v>
      </c>
      <c r="D33" s="47">
        <v>16882.94</v>
      </c>
      <c r="E33" s="47">
        <v>17851.88</v>
      </c>
      <c r="F33" s="47">
        <v>20469.7</v>
      </c>
      <c r="G33" s="47">
        <v>20260.14</v>
      </c>
      <c r="H33" s="47">
        <v>13318.46</v>
      </c>
      <c r="I33" s="47">
        <v>20188.15</v>
      </c>
      <c r="J33" s="47">
        <v>21353.8</v>
      </c>
      <c r="K33" s="47">
        <v>13064.78</v>
      </c>
      <c r="L33" s="47">
        <v>42321.22</v>
      </c>
      <c r="M33" s="47">
        <v>20882.79</v>
      </c>
      <c r="N33" s="47">
        <f>B33+C33+D33+E33+F33+G33+H33+I33+J33+K33+L33+M33</f>
        <v>234225.15</v>
      </c>
    </row>
    <row r="34" spans="1:14" ht="16">
      <c r="A34" s="38" t="s">
        <v>31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 ht="16">
      <c r="A35" s="39" t="s">
        <v>32</v>
      </c>
      <c r="B35" s="47">
        <v>27295.01</v>
      </c>
      <c r="C35" s="47">
        <v>23645.62</v>
      </c>
      <c r="D35" s="47">
        <v>13415.55</v>
      </c>
      <c r="E35" s="47">
        <v>10929.78</v>
      </c>
      <c r="F35" s="47">
        <v>12897.35</v>
      </c>
      <c r="G35" s="47">
        <v>12465.7</v>
      </c>
      <c r="H35" s="47">
        <v>13730.66</v>
      </c>
      <c r="I35" s="47">
        <v>18077.46</v>
      </c>
      <c r="J35" s="47">
        <v>14226.7</v>
      </c>
      <c r="K35" s="47">
        <v>13996.1</v>
      </c>
      <c r="L35" s="47">
        <v>11887.63</v>
      </c>
      <c r="M35" s="47">
        <v>30377.53</v>
      </c>
      <c r="N35" s="47">
        <f>B35+C35+D35+E35+F35+G35+H35+I35+J35+K35+L35+M35</f>
        <v>202945.09000000003</v>
      </c>
    </row>
    <row r="36" spans="1:14" ht="16">
      <c r="A36" s="40" t="s">
        <v>33</v>
      </c>
      <c r="B36" s="48">
        <f>B34+B35</f>
        <v>27295.01</v>
      </c>
      <c r="C36" s="48">
        <f>C34+C35</f>
        <v>23645.62</v>
      </c>
      <c r="D36" s="48">
        <f>D34+D35</f>
        <v>13415.55</v>
      </c>
      <c r="E36" s="48">
        <f>E34+E35</f>
        <v>10929.78</v>
      </c>
      <c r="F36" s="48">
        <f>F34+F35</f>
        <v>12897.35</v>
      </c>
      <c r="G36" s="48">
        <f>G34+G35</f>
        <v>12465.7</v>
      </c>
      <c r="H36" s="48">
        <f>H34+H35</f>
        <v>13730.66</v>
      </c>
      <c r="I36" s="48">
        <f>I34+I35</f>
        <v>18077.46</v>
      </c>
      <c r="J36" s="48">
        <f>J34+J35</f>
        <v>14226.7</v>
      </c>
      <c r="K36" s="48">
        <f>K34+K35</f>
        <v>13996.1</v>
      </c>
      <c r="L36" s="48">
        <f>L34+L35</f>
        <v>11887.63</v>
      </c>
      <c r="M36" s="48">
        <f>M34+M35</f>
        <v>30377.53</v>
      </c>
      <c r="N36" s="51">
        <f>B36+C36+D36+E36+F36+G36+H36+I36+J36+K36+L36+M36</f>
        <v>202945.09000000003</v>
      </c>
    </row>
    <row r="37" spans="1:14" ht="16">
      <c r="A37" s="41" t="s">
        <v>34</v>
      </c>
      <c r="B37" s="48">
        <f>B7+B21+B25+B30+B31+B32+B33+B36</f>
        <v>322048.92000000004</v>
      </c>
      <c r="C37" s="48">
        <f>C7+C21+C25+C30+C31+C32+C33+C36</f>
        <v>127695.20999999999</v>
      </c>
      <c r="D37" s="48">
        <f>D7+D21+D25+D30+D31+D32+D33+D36</f>
        <v>148701.03999999998</v>
      </c>
      <c r="E37" s="48">
        <f>E7+E21+E25+E30+E31+E32+E33+E36</f>
        <v>149446.03999999998</v>
      </c>
      <c r="F37" s="48">
        <f>F7+F21+F25+F30+F31+F32+F33+F36</f>
        <v>133342.63</v>
      </c>
      <c r="G37" s="48">
        <f>G7+G21+G25+G30+G31+G32+G33+G36</f>
        <v>143520.72</v>
      </c>
      <c r="H37" s="48">
        <f>H7+H21+H25+H30+H31+H32+H33+H36</f>
        <v>175571.38</v>
      </c>
      <c r="I37" s="48">
        <f>I7+I21+I25+I30+I31+I32+I33+I36</f>
        <v>145326.05</v>
      </c>
      <c r="J37" s="48">
        <f>J7+J21+J25+J30+J31+J32+J33+J36</f>
        <v>216504.54</v>
      </c>
      <c r="K37" s="48">
        <f>K7+K21+K25+K30+K31+K32+K33+K36</f>
        <v>246089.86000000002</v>
      </c>
      <c r="L37" s="48">
        <f>L7+L21+L25+L30+L31+L32+L33+L36</f>
        <v>303957.05</v>
      </c>
      <c r="M37" s="48">
        <f>M7+M21+M25+M30+M31+M32+M33+M36</f>
        <v>206373.1</v>
      </c>
      <c r="N37" s="51">
        <f>B37+C37+D37+E37+F37+G37+H37+I37+J37+K37+L37+M37</f>
        <v>2318576.54</v>
      </c>
    </row>
    <row r="38" spans="1:14" ht="16">
      <c r="A38" s="37" t="s">
        <v>35</v>
      </c>
      <c r="B38" s="47">
        <v>1708.52</v>
      </c>
      <c r="C38" s="46"/>
      <c r="D38" s="47">
        <v>250.0</v>
      </c>
      <c r="E38" s="47">
        <v>582.71</v>
      </c>
      <c r="F38" s="47">
        <v>293.47</v>
      </c>
      <c r="G38" s="46"/>
      <c r="H38" s="46"/>
      <c r="I38" s="47">
        <v>28.46</v>
      </c>
      <c r="J38" s="46"/>
      <c r="K38" s="46"/>
      <c r="L38" s="47">
        <v>0.05</v>
      </c>
      <c r="M38" s="46"/>
      <c r="N38" s="47">
        <f>B38+C38+D38+E38+F38+G38+H38+I38+J38+K38+L38+M38</f>
        <v>2863.21</v>
      </c>
    </row>
    <row r="39" spans="1:14" ht="16">
      <c r="A39" s="37" t="s">
        <v>36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 ht="16">
      <c r="A40" s="42" t="s">
        <v>37</v>
      </c>
      <c r="B40" s="48">
        <f>B6+B37+B38+B39</f>
        <v>323757.44000000006</v>
      </c>
      <c r="C40" s="48">
        <f>C6+C37+C38+C39</f>
        <v>127695.20999999999</v>
      </c>
      <c r="D40" s="48">
        <f>D6+D37+D38+D39</f>
        <v>148951.03999999998</v>
      </c>
      <c r="E40" s="48">
        <f>E6+E37+E38+E39</f>
        <v>150028.74999999997</v>
      </c>
      <c r="F40" s="48">
        <f>F6+F37+F38+F39</f>
        <v>133636.1</v>
      </c>
      <c r="G40" s="48">
        <f>G6+G37+G38+G39</f>
        <v>143520.72</v>
      </c>
      <c r="H40" s="48">
        <f>H6+H37+H38+H39</f>
        <v>175571.38</v>
      </c>
      <c r="I40" s="48">
        <f>I6+I37+I38+I39</f>
        <v>145354.50999999998</v>
      </c>
      <c r="J40" s="48">
        <f>J6+J37+J38+J39</f>
        <v>216504.54</v>
      </c>
      <c r="K40" s="48">
        <f>K6+K37+K38+K39</f>
        <v>246089.86000000002</v>
      </c>
      <c r="L40" s="48">
        <f>L6+L37+L38+L39</f>
        <v>303957.1</v>
      </c>
      <c r="M40" s="48">
        <f>M6+M37+M38+M39</f>
        <v>206373.1</v>
      </c>
      <c r="N40" s="51">
        <f>B40+C40+D40+E40+F40+G40+H40+I40+J40+K40+L40+M40</f>
        <v>2321439.75</v>
      </c>
    </row>
    <row r="41" spans="1:13" ht="16">
      <c r="A41" s="36" t="s">
        <v>38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4" ht="16">
      <c r="A42" s="37" t="s">
        <v>39</v>
      </c>
      <c r="B42" s="47">
        <v>2576.33</v>
      </c>
      <c r="C42" s="47">
        <v>8990.56</v>
      </c>
      <c r="D42" s="47">
        <v>644.26</v>
      </c>
      <c r="E42" s="47">
        <v>1036.4</v>
      </c>
      <c r="F42" s="47">
        <v>3982.25</v>
      </c>
      <c r="G42" s="47">
        <v>5789.56</v>
      </c>
      <c r="H42" s="47">
        <v>6276.45</v>
      </c>
      <c r="I42" s="47">
        <v>7723.5</v>
      </c>
      <c r="J42" s="47">
        <v>-53539.81</v>
      </c>
      <c r="K42" s="47">
        <v>152.23</v>
      </c>
      <c r="L42" s="47">
        <v>-14373.43</v>
      </c>
      <c r="M42" s="47">
        <v>4439.09</v>
      </c>
      <c r="N42" s="47">
        <f>B42+C42+D42+E42+F42+G42+H42+I42+J42+K42+L42+M42</f>
        <v>-26302.61</v>
      </c>
    </row>
    <row r="43" spans="1:14" ht="16">
      <c r="A43" s="38" t="s">
        <v>40</v>
      </c>
      <c r="B43" s="47">
        <v>22634.71</v>
      </c>
      <c r="C43" s="47">
        <v>12461.92</v>
      </c>
      <c r="D43" s="47">
        <v>16819.03</v>
      </c>
      <c r="E43" s="47">
        <v>13140.68</v>
      </c>
      <c r="F43" s="47">
        <v>20799.51</v>
      </c>
      <c r="G43" s="47">
        <v>16410.5</v>
      </c>
      <c r="H43" s="47">
        <v>11877.95</v>
      </c>
      <c r="I43" s="47">
        <v>22068.01</v>
      </c>
      <c r="J43" s="47">
        <v>10332.43</v>
      </c>
      <c r="K43" s="47">
        <v>19575.27</v>
      </c>
      <c r="L43" s="47">
        <v>15900.8</v>
      </c>
      <c r="M43" s="47">
        <v>32953.81</v>
      </c>
      <c r="N43" s="47">
        <f>B43+C43+D43+E43+F43+G43+H43+I43+J43+K43+L43+M43</f>
        <v>214974.61999999997</v>
      </c>
    </row>
    <row r="44" spans="1:14" ht="16">
      <c r="A44" s="38" t="s">
        <v>41</v>
      </c>
      <c r="B44" s="46"/>
      <c r="C44" s="46"/>
      <c r="D44" s="47">
        <v>28.7</v>
      </c>
      <c r="E44" s="47">
        <v>3.74</v>
      </c>
      <c r="F44" s="46"/>
      <c r="G44" s="46"/>
      <c r="H44" s="46"/>
      <c r="I44" s="47">
        <v>7.16</v>
      </c>
      <c r="J44" s="46"/>
      <c r="K44" s="46"/>
      <c r="L44" s="46"/>
      <c r="M44" s="46"/>
      <c r="N44" s="47">
        <f>B44+C44+D44+E44+F44+G44+H44+I44+J44+K44+L44+M44</f>
        <v>39.599999999999994</v>
      </c>
    </row>
    <row r="45" spans="1:14" ht="16">
      <c r="A45" s="38" t="s">
        <v>42</v>
      </c>
      <c r="B45" s="47">
        <v>128311.24</v>
      </c>
      <c r="C45" s="47">
        <v>81760.37</v>
      </c>
      <c r="D45" s="47">
        <v>73973.15</v>
      </c>
      <c r="E45" s="47">
        <v>49202.28</v>
      </c>
      <c r="F45" s="47">
        <v>83974.08</v>
      </c>
      <c r="G45" s="47">
        <v>26556.09</v>
      </c>
      <c r="H45" s="47">
        <v>64970.35</v>
      </c>
      <c r="I45" s="47">
        <v>58798.04</v>
      </c>
      <c r="J45" s="47">
        <v>111134.53</v>
      </c>
      <c r="K45" s="47">
        <v>111560.87</v>
      </c>
      <c r="L45" s="47">
        <v>133090.25</v>
      </c>
      <c r="M45" s="47">
        <v>114818.74</v>
      </c>
      <c r="N45" s="47">
        <f>B45+C45+D45+E45+F45+G45+H45+I45+J45+K45+L45+M45</f>
        <v>1038149.9900000001</v>
      </c>
    </row>
    <row r="46" spans="1:14" ht="16">
      <c r="A46" s="38" t="s">
        <v>43</v>
      </c>
      <c r="B46" s="46"/>
      <c r="C46" s="47">
        <v>144.06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>
        <f>B46+C46+D46+E46+F46+G46+H46+I46+J46+K46+L46+M46</f>
        <v>144.06</v>
      </c>
    </row>
    <row r="47" spans="1:14" ht="16">
      <c r="A47" s="38" t="s">
        <v>44</v>
      </c>
      <c r="B47" s="46"/>
      <c r="C47" s="47">
        <v>-100.6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>
        <f>B47+C47+D47+E47+F47+G47+H47+I47+J47+K47+L47+M47</f>
        <v>-100.6</v>
      </c>
    </row>
    <row r="48" spans="1:14" ht="16">
      <c r="A48" s="38" t="s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7">
        <v>769.77</v>
      </c>
      <c r="L48" s="46"/>
      <c r="M48" s="46"/>
      <c r="N48" s="47">
        <f>B48+C48+D48+E48+F48+G48+H48+I48+J48+K48+L48+M48</f>
        <v>769.77</v>
      </c>
    </row>
    <row r="49" spans="1:14" ht="16">
      <c r="A49" s="38" t="s">
        <v>46</v>
      </c>
      <c r="B49" s="47">
        <v>780.47</v>
      </c>
      <c r="C49" s="47">
        <v>2761.44</v>
      </c>
      <c r="D49" s="47">
        <v>594.2</v>
      </c>
      <c r="E49" s="47">
        <v>5813.75</v>
      </c>
      <c r="F49" s="47">
        <v>2877.22</v>
      </c>
      <c r="G49" s="47">
        <v>1502.87</v>
      </c>
      <c r="H49" s="47">
        <v>774.82</v>
      </c>
      <c r="I49" s="47">
        <v>753.93</v>
      </c>
      <c r="J49" s="47">
        <v>309.46</v>
      </c>
      <c r="K49" s="47">
        <v>396.71</v>
      </c>
      <c r="L49" s="47">
        <v>413.55</v>
      </c>
      <c r="M49" s="47">
        <v>2165.64</v>
      </c>
      <c r="N49" s="47">
        <f>B49+C49+D49+E49+F49+G49+H49+I49+J49+K49+L49+M49</f>
        <v>19144.059999999998</v>
      </c>
    </row>
    <row r="50" spans="1:14" ht="16">
      <c r="A50" s="38" t="s">
        <v>47</v>
      </c>
      <c r="B50" s="46"/>
      <c r="C50" s="47">
        <v>303.23</v>
      </c>
      <c r="D50" s="47">
        <v>264.32</v>
      </c>
      <c r="E50" s="46"/>
      <c r="F50" s="47">
        <v>189.43</v>
      </c>
      <c r="G50" s="47">
        <v>487.53</v>
      </c>
      <c r="H50" s="47">
        <v>130.64</v>
      </c>
      <c r="I50" s="47">
        <v>356.1</v>
      </c>
      <c r="J50" s="46"/>
      <c r="K50" s="47">
        <v>250.11</v>
      </c>
      <c r="L50" s="46"/>
      <c r="M50" s="47">
        <v>48.74</v>
      </c>
      <c r="N50" s="47">
        <f>B50+C50+D50+E50+F50+G50+H50+I50+J50+K50+L50+M50</f>
        <v>2030.1000000000001</v>
      </c>
    </row>
    <row r="51" spans="1:14" ht="16">
      <c r="A51" s="38" t="s">
        <v>48</v>
      </c>
      <c r="B51" s="47">
        <v>115.52</v>
      </c>
      <c r="C51" s="47">
        <v>492.03</v>
      </c>
      <c r="D51" s="47">
        <v>204.0</v>
      </c>
      <c r="E51" s="47">
        <v>231.4</v>
      </c>
      <c r="F51" s="47">
        <v>495.7</v>
      </c>
      <c r="G51" s="47">
        <v>623.51</v>
      </c>
      <c r="H51" s="47">
        <v>470.56</v>
      </c>
      <c r="I51" s="47">
        <v>669.32</v>
      </c>
      <c r="J51" s="47">
        <v>65.27</v>
      </c>
      <c r="K51" s="47">
        <v>452.93</v>
      </c>
      <c r="L51" s="47">
        <v>844.52</v>
      </c>
      <c r="M51" s="47">
        <v>459.72</v>
      </c>
      <c r="N51" s="47">
        <f>B51+C51+D51+E51+F51+G51+H51+I51+J51+K51+L51+M51</f>
        <v>5124.4800000000005</v>
      </c>
    </row>
    <row r="52" spans="1:14" ht="16">
      <c r="A52" s="38" t="s">
        <v>49</v>
      </c>
      <c r="B52" s="47">
        <v>62.73</v>
      </c>
      <c r="C52" s="47">
        <v>257.12</v>
      </c>
      <c r="D52" s="47">
        <v>148.47</v>
      </c>
      <c r="E52" s="47">
        <v>9.89</v>
      </c>
      <c r="F52" s="47">
        <v>163.27</v>
      </c>
      <c r="G52" s="47">
        <v>77.07</v>
      </c>
      <c r="H52" s="47">
        <v>110.61</v>
      </c>
      <c r="I52" s="47">
        <v>315.48</v>
      </c>
      <c r="J52" s="47">
        <v>86.32</v>
      </c>
      <c r="K52" s="47">
        <v>87.25</v>
      </c>
      <c r="L52" s="47">
        <v>30.12</v>
      </c>
      <c r="M52" s="47">
        <v>69.73</v>
      </c>
      <c r="N52" s="47">
        <f>B52+C52+D52+E52+F52+G52+H52+I52+J52+K52+L52+M52</f>
        <v>1418.0599999999997</v>
      </c>
    </row>
    <row r="53" spans="1:14" ht="16">
      <c r="A53" s="38" t="s">
        <v>50</v>
      </c>
      <c r="B53" s="47">
        <v>5160.86</v>
      </c>
      <c r="C53" s="47">
        <v>2561.84</v>
      </c>
      <c r="D53" s="47">
        <v>1646.0</v>
      </c>
      <c r="E53" s="47">
        <v>6197.51</v>
      </c>
      <c r="F53" s="47">
        <v>5999.29</v>
      </c>
      <c r="G53" s="47">
        <v>1231.03</v>
      </c>
      <c r="H53" s="47">
        <v>4512.45</v>
      </c>
      <c r="I53" s="47">
        <v>3612.05</v>
      </c>
      <c r="J53" s="47">
        <v>3584.84</v>
      </c>
      <c r="K53" s="47">
        <v>5807.23</v>
      </c>
      <c r="L53" s="47">
        <v>5206.92</v>
      </c>
      <c r="M53" s="47">
        <v>10658.46</v>
      </c>
      <c r="N53" s="47">
        <f>B53+C53+D53+E53+F53+G53+H53+I53+J53+K53+L53+M53</f>
        <v>56178.47999999999</v>
      </c>
    </row>
    <row r="54" spans="1:14" ht="16">
      <c r="A54" s="41" t="s">
        <v>51</v>
      </c>
      <c r="B54" s="48">
        <f>B42+B43+B44+B45+B46+B47+B48+B49+B50+B51+B52+B53</f>
        <v>159641.86</v>
      </c>
      <c r="C54" s="48">
        <f>C42+C43+C44+C45+C46+C47+C48+C49+C50+C51+C52+C53</f>
        <v>109631.96999999997</v>
      </c>
      <c r="D54" s="48">
        <f>D42+D43+D44+D45+D46+D47+D48+D49+D50+D51+D52+D53</f>
        <v>94322.12999999999</v>
      </c>
      <c r="E54" s="48">
        <f>E42+E43+E44+E45+E46+E47+E48+E49+E50+E51+E52+E53</f>
        <v>75635.65</v>
      </c>
      <c r="F54" s="48">
        <f>F42+F43+F44+F45+F46+F47+F48+F49+F50+F51+F52+F53</f>
        <v>118480.74999999999</v>
      </c>
      <c r="G54" s="48">
        <f>G42+G43+G44+G45+G46+G47+G48+G49+G50+G51+G52+G53</f>
        <v>52678.16</v>
      </c>
      <c r="H54" s="48">
        <f>H42+H43+H44+H45+H46+H47+H48+H49+H50+H51+H52+H53</f>
        <v>89123.83</v>
      </c>
      <c r="I54" s="48">
        <f>I42+I43+I44+I45+I46+I47+I48+I49+I50+I51+I52+I53</f>
        <v>94303.59</v>
      </c>
      <c r="J54" s="48">
        <f>J42+J43+J44+J45+J46+J47+J48+J49+J50+J51+J52+J53</f>
        <v>71973.04000000001</v>
      </c>
      <c r="K54" s="48">
        <f>K42+K43+K44+K45+K46+K47+K48+K49+K50+K51+K52+K53</f>
        <v>139052.36999999997</v>
      </c>
      <c r="L54" s="48">
        <f>L42+L43+L44+L45+L46+L47+L48+L49+L50+L51+L52+L53</f>
        <v>141112.72999999998</v>
      </c>
      <c r="M54" s="48">
        <f>M42+M43+M44+M45+M46+M47+M48+M49+M50+M51+M52+M53</f>
        <v>165613.93000000002</v>
      </c>
      <c r="N54" s="51">
        <f>B54+C54+D54+E54+F54+G54+H54+I54+J54+K54+L54+M54</f>
        <v>1311570.01</v>
      </c>
    </row>
    <row r="55" spans="1:14" ht="16">
      <c r="A55" s="37" t="s">
        <v>38</v>
      </c>
      <c r="B55" s="49">
        <v>0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f>B55+C55+D55+E55+F55+G55+H55+I55+J55+K55+L55+M55</f>
        <v>0.0</v>
      </c>
    </row>
    <row r="56" spans="1:14" ht="16">
      <c r="A56" s="42" t="s">
        <v>52</v>
      </c>
      <c r="B56" s="48">
        <f>B41+B54+B55</f>
        <v>159641.86</v>
      </c>
      <c r="C56" s="48">
        <f>C41+C54+C55</f>
        <v>109631.96999999997</v>
      </c>
      <c r="D56" s="48">
        <f>D41+D54+D55</f>
        <v>94322.12999999999</v>
      </c>
      <c r="E56" s="48">
        <f>E41+E54+E55</f>
        <v>75635.65</v>
      </c>
      <c r="F56" s="48">
        <f>F41+F54+F55</f>
        <v>118480.74999999999</v>
      </c>
      <c r="G56" s="48">
        <f>G41+G54+G55</f>
        <v>52678.16</v>
      </c>
      <c r="H56" s="48">
        <f>H41+H54+H55</f>
        <v>89123.83</v>
      </c>
      <c r="I56" s="48">
        <f>I41+I54+I55</f>
        <v>94303.59</v>
      </c>
      <c r="J56" s="48">
        <f>J41+J54+J55</f>
        <v>71973.04000000001</v>
      </c>
      <c r="K56" s="48">
        <f>K41+K54+K55</f>
        <v>139052.36999999997</v>
      </c>
      <c r="L56" s="48">
        <f>L41+L54+L55</f>
        <v>141112.72999999998</v>
      </c>
      <c r="M56" s="48">
        <f>M41+M54+M55</f>
        <v>165613.93000000002</v>
      </c>
      <c r="N56" s="51">
        <f>B56+C56+D56+E56+F56+G56+H56+I56+J56+K56+L56+M56</f>
        <v>1311570.01</v>
      </c>
    </row>
    <row r="57" spans="1:14" ht="16">
      <c r="A57" s="42" t="s">
        <v>53</v>
      </c>
      <c r="B57" s="48">
        <f>B40-B56</f>
        <v>164115.58000000007</v>
      </c>
      <c r="C57" s="48">
        <f>C40-C56</f>
        <v>18063.24000000002</v>
      </c>
      <c r="D57" s="48">
        <f>D40-D56</f>
        <v>54628.90999999999</v>
      </c>
      <c r="E57" s="48">
        <f>E40-E56</f>
        <v>74393.09999999998</v>
      </c>
      <c r="F57" s="48">
        <f>F40-F56</f>
        <v>15155.35000000002</v>
      </c>
      <c r="G57" s="48">
        <f>G40-G56</f>
        <v>90842.56</v>
      </c>
      <c r="H57" s="48">
        <f>H40-H56</f>
        <v>86447.55</v>
      </c>
      <c r="I57" s="48">
        <f>I40-I56</f>
        <v>51050.919999999984</v>
      </c>
      <c r="J57" s="48">
        <f>J40-J56</f>
        <v>144531.5</v>
      </c>
      <c r="K57" s="48">
        <f>K40-K56</f>
        <v>107037.49000000005</v>
      </c>
      <c r="L57" s="48">
        <f>L40-L56</f>
        <v>162844.37</v>
      </c>
      <c r="M57" s="48">
        <f>M40-M56</f>
        <v>40759.169999999984</v>
      </c>
      <c r="N57" s="51">
        <f>B57+C57+D57+E57+F57+G57+H57+I57+J57+K57+L57+M57</f>
        <v>1009869.7400000002</v>
      </c>
    </row>
    <row r="58" spans="1:13" ht="16">
      <c r="A58" s="36" t="s">
        <v>54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</row>
    <row r="59" spans="1:14" ht="16">
      <c r="A59" s="37" t="s">
        <v>55</v>
      </c>
      <c r="B59" s="47">
        <v>1752.5</v>
      </c>
      <c r="C59" s="47">
        <v>6308.5</v>
      </c>
      <c r="D59" s="47">
        <v>608.1</v>
      </c>
      <c r="E59" s="47">
        <v>2893.53</v>
      </c>
      <c r="F59" s="47">
        <v>2226.82</v>
      </c>
      <c r="G59" s="47">
        <v>3524.91</v>
      </c>
      <c r="H59" s="47">
        <v>2789.08</v>
      </c>
      <c r="I59" s="47">
        <v>2054.77</v>
      </c>
      <c r="J59" s="47">
        <v>4561.69</v>
      </c>
      <c r="K59" s="47">
        <v>1072.95</v>
      </c>
      <c r="L59" s="47">
        <v>2210.1</v>
      </c>
      <c r="M59" s="47">
        <v>2839.5</v>
      </c>
      <c r="N59" s="47">
        <f>B59+C59+D59+E59+F59+G59+H59+I59+J59+K59+L59+M59</f>
        <v>32842.45</v>
      </c>
    </row>
    <row r="60" spans="1:14" ht="16">
      <c r="A60" s="38" t="s">
        <v>56</v>
      </c>
      <c r="B60" s="47">
        <v>2225.0</v>
      </c>
      <c r="C60" s="47">
        <v>219.18</v>
      </c>
      <c r="D60" s="47">
        <v>1666.55</v>
      </c>
      <c r="E60" s="47">
        <v>3033.4</v>
      </c>
      <c r="F60" s="47">
        <v>2126.04</v>
      </c>
      <c r="G60" s="47">
        <v>2950.89</v>
      </c>
      <c r="H60" s="47">
        <v>2557.15</v>
      </c>
      <c r="I60" s="47">
        <v>3554.01</v>
      </c>
      <c r="J60" s="47">
        <v>2091.34</v>
      </c>
      <c r="K60" s="47">
        <v>2342.54</v>
      </c>
      <c r="L60" s="47">
        <v>1892.55</v>
      </c>
      <c r="M60" s="47">
        <v>2320.0</v>
      </c>
      <c r="N60" s="47">
        <f>B60+C60+D60+E60+F60+G60+H60+I60+J60+K60+L60+M60</f>
        <v>26978.649999999998</v>
      </c>
    </row>
    <row r="61" spans="1:14" ht="16">
      <c r="A61" s="38" t="s">
        <v>57</v>
      </c>
      <c r="B61" s="47">
        <v>4760.46</v>
      </c>
      <c r="C61" s="47">
        <v>3170.61</v>
      </c>
      <c r="D61" s="47">
        <v>1116.62</v>
      </c>
      <c r="E61" s="47">
        <v>1085.24</v>
      </c>
      <c r="F61" s="47">
        <v>3229.21</v>
      </c>
      <c r="G61" s="46"/>
      <c r="H61" s="47">
        <v>611.37</v>
      </c>
      <c r="I61" s="47">
        <v>130.2</v>
      </c>
      <c r="J61" s="47">
        <v>272.61</v>
      </c>
      <c r="K61" s="47">
        <v>490.86</v>
      </c>
      <c r="L61" s="47">
        <v>269.81</v>
      </c>
      <c r="M61" s="47">
        <v>506.45</v>
      </c>
      <c r="N61" s="47">
        <f>B61+C61+D61+E61+F61+G61+H61+I61+J61+K61+L61+M61</f>
        <v>15643.440000000002</v>
      </c>
    </row>
    <row r="62" spans="1:14" ht="16">
      <c r="A62" s="38" t="s">
        <v>58</v>
      </c>
      <c r="B62" s="47">
        <v>1903.76</v>
      </c>
      <c r="C62" s="47">
        <v>318.44</v>
      </c>
      <c r="D62" s="47">
        <v>2464.93</v>
      </c>
      <c r="E62" s="47">
        <v>1437.13</v>
      </c>
      <c r="F62" s="47">
        <v>1621.97</v>
      </c>
      <c r="G62" s="47">
        <v>784.84</v>
      </c>
      <c r="H62" s="47">
        <v>1129.54</v>
      </c>
      <c r="I62" s="47">
        <v>4773.67</v>
      </c>
      <c r="J62" s="47">
        <v>1153.82</v>
      </c>
      <c r="K62" s="47">
        <v>11666.49</v>
      </c>
      <c r="L62" s="47">
        <v>1928.95</v>
      </c>
      <c r="M62" s="47">
        <v>3558.95</v>
      </c>
      <c r="N62" s="47">
        <f>B62+C62+D62+E62+F62+G62+H62+I62+J62+K62+L62+M62</f>
        <v>32742.49</v>
      </c>
    </row>
    <row r="63" spans="1:14" ht="16">
      <c r="A63" s="38" t="s">
        <v>59</v>
      </c>
      <c r="B63" s="46"/>
      <c r="C63" s="47">
        <v>366.84</v>
      </c>
      <c r="D63" s="46"/>
      <c r="E63" s="46"/>
      <c r="F63" s="47">
        <v>487.2</v>
      </c>
      <c r="G63" s="47">
        <v>1088.32</v>
      </c>
      <c r="H63" s="47">
        <v>489.02</v>
      </c>
      <c r="I63" s="47">
        <v>200.0</v>
      </c>
      <c r="J63" s="47">
        <v>200.0</v>
      </c>
      <c r="K63" s="47">
        <v>16.22</v>
      </c>
      <c r="L63" s="46"/>
      <c r="M63" s="47">
        <v>183.68</v>
      </c>
      <c r="N63" s="47">
        <f>B63+C63+D63+E63+F63+G63+H63+I63+J63+K63+L63+M63</f>
        <v>3031.2799999999997</v>
      </c>
    </row>
    <row r="64" spans="1:14" ht="16">
      <c r="A64" s="38" t="s">
        <v>60</v>
      </c>
      <c r="B64" s="47">
        <v>1937.03</v>
      </c>
      <c r="C64" s="47">
        <v>-4246.16</v>
      </c>
      <c r="D64" s="47">
        <v>1988.08</v>
      </c>
      <c r="E64" s="47">
        <v>6751.25</v>
      </c>
      <c r="F64" s="47">
        <v>4964.86</v>
      </c>
      <c r="G64" s="47">
        <v>2815.97</v>
      </c>
      <c r="H64" s="47">
        <v>639.08</v>
      </c>
      <c r="I64" s="47">
        <v>4273.15</v>
      </c>
      <c r="J64" s="47">
        <v>2292.08</v>
      </c>
      <c r="K64" s="47">
        <v>3020.46</v>
      </c>
      <c r="L64" s="47">
        <v>9483.58</v>
      </c>
      <c r="M64" s="47">
        <v>2592.8</v>
      </c>
      <c r="N64" s="47">
        <f>B64+C64+D64+E64+F64+G64+H64+I64+J64+K64+L64+M64</f>
        <v>36512.18</v>
      </c>
    </row>
    <row r="65" spans="1:14" ht="16">
      <c r="A65" s="38" t="s">
        <v>61</v>
      </c>
      <c r="B65" s="47">
        <v>737.87</v>
      </c>
      <c r="C65" s="47">
        <v>933.74</v>
      </c>
      <c r="D65" s="47">
        <v>545.5</v>
      </c>
      <c r="E65" s="47">
        <v>511.89</v>
      </c>
      <c r="F65" s="47">
        <v>1318.86</v>
      </c>
      <c r="G65" s="47">
        <v>3138.55</v>
      </c>
      <c r="H65" s="47">
        <v>2899.66</v>
      </c>
      <c r="I65" s="47">
        <v>5180.85</v>
      </c>
      <c r="J65" s="47">
        <v>3697.33</v>
      </c>
      <c r="K65" s="47">
        <v>4075.02</v>
      </c>
      <c r="L65" s="47">
        <v>4221.38</v>
      </c>
      <c r="M65" s="47">
        <v>4192.8</v>
      </c>
      <c r="N65" s="47">
        <f>B65+C65+D65+E65+F65+G65+H65+I65+J65+K65+L65+M65</f>
        <v>31453.45</v>
      </c>
    </row>
    <row r="66" spans="1:14" ht="16">
      <c r="A66" s="39" t="s">
        <v>62</v>
      </c>
      <c r="B66" s="47">
        <v>1484.82</v>
      </c>
      <c r="C66" s="47">
        <v>472.5</v>
      </c>
      <c r="D66" s="46"/>
      <c r="E66" s="47">
        <v>27.72</v>
      </c>
      <c r="F66" s="47">
        <v>270.63</v>
      </c>
      <c r="G66" s="47">
        <v>53.01</v>
      </c>
      <c r="H66" s="47">
        <v>125.45</v>
      </c>
      <c r="I66" s="47">
        <v>113.03</v>
      </c>
      <c r="J66" s="47">
        <v>31.15</v>
      </c>
      <c r="K66" s="47">
        <v>132.95</v>
      </c>
      <c r="L66" s="47">
        <v>30.77</v>
      </c>
      <c r="M66" s="47">
        <v>170.72</v>
      </c>
      <c r="N66" s="47">
        <f>B66+C66+D66+E66+F66+G66+H66+I66+J66+K66+L66+M66</f>
        <v>2912.75</v>
      </c>
    </row>
    <row r="67" spans="1:14" ht="16">
      <c r="A67" s="40" t="s">
        <v>63</v>
      </c>
      <c r="B67" s="48">
        <f>B65+B66</f>
        <v>2222.69</v>
      </c>
      <c r="C67" s="48">
        <f>C65+C66</f>
        <v>1406.24</v>
      </c>
      <c r="D67" s="48">
        <f>D65+D66</f>
        <v>545.5</v>
      </c>
      <c r="E67" s="48">
        <f>E65+E66</f>
        <v>539.61</v>
      </c>
      <c r="F67" s="48">
        <f>F65+F66</f>
        <v>1589.4899999999998</v>
      </c>
      <c r="G67" s="48">
        <f>G65+G66</f>
        <v>3191.5600000000004</v>
      </c>
      <c r="H67" s="48">
        <f>H65+H66</f>
        <v>3025.1099999999997</v>
      </c>
      <c r="I67" s="48">
        <f>I65+I66</f>
        <v>5293.88</v>
      </c>
      <c r="J67" s="48">
        <f>J65+J66</f>
        <v>3728.48</v>
      </c>
      <c r="K67" s="48">
        <f>K65+K66</f>
        <v>4207.97</v>
      </c>
      <c r="L67" s="48">
        <f>L65+L66</f>
        <v>4252.150000000001</v>
      </c>
      <c r="M67" s="48">
        <f>M65+M66</f>
        <v>4363.52</v>
      </c>
      <c r="N67" s="51">
        <f>B67+C67+D67+E67+F67+G67+H67+I67+J67+K67+L67+M67</f>
        <v>34366.200000000004</v>
      </c>
    </row>
    <row r="68" spans="1:14" ht="16">
      <c r="A68" s="38" t="s">
        <v>64</v>
      </c>
      <c r="B68" s="47">
        <v>55.99</v>
      </c>
      <c r="C68" s="47">
        <v>33.99</v>
      </c>
      <c r="D68" s="47">
        <v>44.49</v>
      </c>
      <c r="E68" s="47">
        <v>9.99</v>
      </c>
      <c r="F68" s="47">
        <v>9.99</v>
      </c>
      <c r="G68" s="47">
        <v>9.99</v>
      </c>
      <c r="H68" s="47">
        <v>42.99</v>
      </c>
      <c r="I68" s="47">
        <v>9.99</v>
      </c>
      <c r="J68" s="47">
        <v>93.49</v>
      </c>
      <c r="K68" s="47">
        <v>9.99</v>
      </c>
      <c r="L68" s="47">
        <v>9.99</v>
      </c>
      <c r="M68" s="47">
        <v>9.99</v>
      </c>
      <c r="N68" s="47">
        <f>B68+C68+D68+E68+F68+G68+H68+I68+J68+K68+L68+M68</f>
        <v>340.88000000000005</v>
      </c>
    </row>
    <row r="69" spans="1:14" ht="16">
      <c r="A69" s="41" t="s">
        <v>65</v>
      </c>
      <c r="B69" s="48">
        <f>B59+B60+B61+B62+B63+B64+B67+B68</f>
        <v>14857.43</v>
      </c>
      <c r="C69" s="48">
        <f>C59+C60+C61+C62+C63+C64+C67+C68</f>
        <v>7577.640000000001</v>
      </c>
      <c r="D69" s="48">
        <f>D59+D60+D61+D62+D63+D64+D67+D68</f>
        <v>8434.269999999999</v>
      </c>
      <c r="E69" s="48">
        <f>E59+E60+E61+E62+E63+E64+E67+E68</f>
        <v>15750.15</v>
      </c>
      <c r="F69" s="48">
        <f>F59+F60+F61+F62+F63+F64+F67+F68</f>
        <v>16255.580000000002</v>
      </c>
      <c r="G69" s="48">
        <f>G59+G60+G61+G62+G63+G64+G67+G68</f>
        <v>14366.479999999998</v>
      </c>
      <c r="H69" s="48">
        <f>H59+H60+H61+H62+H63+H64+H67+H68</f>
        <v>11283.339999999998</v>
      </c>
      <c r="I69" s="48">
        <f>I59+I60+I61+I62+I63+I64+I67+I68</f>
        <v>20289.670000000002</v>
      </c>
      <c r="J69" s="48">
        <f>J59+J60+J61+J62+J63+J64+J67+J68</f>
        <v>14393.509999999998</v>
      </c>
      <c r="K69" s="48">
        <f>K59+K60+K61+K62+K63+K64+K67+K68</f>
        <v>22827.480000000003</v>
      </c>
      <c r="L69" s="48">
        <f>L59+L60+L61+L62+L63+L64+L67+L68</f>
        <v>20047.13</v>
      </c>
      <c r="M69" s="48">
        <f>M59+M60+M61+M62+M63+M64+M67+M68</f>
        <v>16374.890000000001</v>
      </c>
      <c r="N69" s="51">
        <f>B69+C69+D69+E69+F69+G69+H69+I69+J69+K69+L69+M69</f>
        <v>182457.57</v>
      </c>
    </row>
    <row r="70" spans="1:14" ht="16">
      <c r="A70" s="37" t="s">
        <v>66</v>
      </c>
      <c r="B70" s="46"/>
      <c r="C70" s="46"/>
      <c r="D70" s="46"/>
      <c r="E70" s="47">
        <v>8442.31</v>
      </c>
      <c r="F70" s="47">
        <v>8442.31</v>
      </c>
      <c r="G70" s="46"/>
      <c r="H70" s="46"/>
      <c r="I70" s="46"/>
      <c r="J70" s="46"/>
      <c r="K70" s="46"/>
      <c r="L70" s="46"/>
      <c r="M70" s="46"/>
      <c r="N70" s="47">
        <f>B70+C70+D70+E70+F70+G70+H70+I70+J70+K70+L70+M70</f>
        <v>16884.62</v>
      </c>
    </row>
    <row r="71" spans="1:14" ht="16">
      <c r="A71" s="38" t="s">
        <v>67</v>
      </c>
      <c r="B71" s="47">
        <v>8442.31</v>
      </c>
      <c r="C71" s="47">
        <v>9495.26</v>
      </c>
      <c r="D71" s="47">
        <v>8442.31</v>
      </c>
      <c r="E71" s="46"/>
      <c r="F71" s="46"/>
      <c r="G71" s="47">
        <v>18836.0</v>
      </c>
      <c r="H71" s="47">
        <v>746.15</v>
      </c>
      <c r="I71" s="47">
        <v>8938.22</v>
      </c>
      <c r="J71" s="47">
        <v>8608.05</v>
      </c>
      <c r="K71" s="47">
        <v>11796.41</v>
      </c>
      <c r="L71" s="47">
        <v>8608.05</v>
      </c>
      <c r="M71" s="47">
        <v>8608.05</v>
      </c>
      <c r="N71" s="47">
        <f>B71+C71+D71+E71+F71+G71+H71+I71+J71+K71+L71+M71</f>
        <v>92520.81000000001</v>
      </c>
    </row>
    <row r="72" spans="1:14" ht="16">
      <c r="A72" s="38" t="s">
        <v>68</v>
      </c>
      <c r="B72" s="47">
        <v>2248.03</v>
      </c>
      <c r="C72" s="47">
        <v>2526.3</v>
      </c>
      <c r="D72" s="47">
        <v>1550.39</v>
      </c>
      <c r="E72" s="47">
        <v>4859.74</v>
      </c>
      <c r="F72" s="47">
        <v>4859.61</v>
      </c>
      <c r="G72" s="47">
        <v>1592.39</v>
      </c>
      <c r="H72" s="47">
        <v>3912.71</v>
      </c>
      <c r="I72" s="47">
        <v>2482.72</v>
      </c>
      <c r="J72" s="47">
        <v>3323.69</v>
      </c>
      <c r="K72" s="47">
        <v>7571.67</v>
      </c>
      <c r="L72" s="47">
        <v>3202.51</v>
      </c>
      <c r="M72" s="47">
        <v>6004.53</v>
      </c>
      <c r="N72" s="47">
        <f>B72+C72+D72+E72+F72+G72+H72+I72+J72+K72+L72+M72</f>
        <v>44134.29</v>
      </c>
    </row>
    <row r="73" spans="1:14" ht="16">
      <c r="A73" s="39" t="s">
        <v>69</v>
      </c>
      <c r="B73" s="47">
        <v>34.84</v>
      </c>
      <c r="C73" s="46"/>
      <c r="D73" s="46"/>
      <c r="E73" s="46"/>
      <c r="F73" s="46"/>
      <c r="G73" s="46"/>
      <c r="H73" s="46"/>
      <c r="I73" s="47">
        <v>61.63</v>
      </c>
      <c r="J73" s="47">
        <v>255.0</v>
      </c>
      <c r="K73" s="46"/>
      <c r="L73" s="47">
        <v>255.0</v>
      </c>
      <c r="M73" s="46"/>
      <c r="N73" s="47">
        <f>B73+C73+D73+E73+F73+G73+H73+I73+J73+K73+L73+M73</f>
        <v>606.47</v>
      </c>
    </row>
    <row r="74" spans="1:14" ht="16">
      <c r="A74" s="39" t="s">
        <v>70</v>
      </c>
      <c r="B74" s="47">
        <v>20.07</v>
      </c>
      <c r="C74" s="47">
        <v>1057.72</v>
      </c>
      <c r="D74" s="47">
        <v>1292.33</v>
      </c>
      <c r="E74" s="47">
        <v>1067.28</v>
      </c>
      <c r="F74" s="47">
        <v>561.91</v>
      </c>
      <c r="G74" s="47">
        <v>1682.04</v>
      </c>
      <c r="H74" s="47">
        <v>1955.15</v>
      </c>
      <c r="I74" s="47">
        <v>2631.11</v>
      </c>
      <c r="J74" s="47">
        <v>3484.65</v>
      </c>
      <c r="K74" s="47">
        <v>3574.71</v>
      </c>
      <c r="L74" s="47">
        <v>2069.95</v>
      </c>
      <c r="M74" s="47">
        <v>960.76</v>
      </c>
      <c r="N74" s="47">
        <f>B74+C74+D74+E74+F74+G74+H74+I74+J74+K74+L74+M74</f>
        <v>20357.68</v>
      </c>
    </row>
    <row r="75" spans="1:14" ht="16">
      <c r="A75" s="40" t="s">
        <v>71</v>
      </c>
      <c r="B75" s="48">
        <f>B72+B73+B74</f>
        <v>2302.9400000000005</v>
      </c>
      <c r="C75" s="48">
        <f>C72+C73+C74</f>
        <v>3584.0200000000004</v>
      </c>
      <c r="D75" s="48">
        <f>D72+D73+D74</f>
        <v>2842.7200000000003</v>
      </c>
      <c r="E75" s="48">
        <f>E72+E73+E74</f>
        <v>5927.0199999999995</v>
      </c>
      <c r="F75" s="48">
        <f>F72+F73+F74</f>
        <v>5421.5199999999995</v>
      </c>
      <c r="G75" s="48">
        <f>G72+G73+G74</f>
        <v>3274.4300000000003</v>
      </c>
      <c r="H75" s="48">
        <f>H72+H73+H74</f>
        <v>5867.860000000001</v>
      </c>
      <c r="I75" s="48">
        <f>I72+I73+I74</f>
        <v>5175.46</v>
      </c>
      <c r="J75" s="48">
        <f>J72+J73+J74</f>
        <v>7063.34</v>
      </c>
      <c r="K75" s="48">
        <f>K72+K73+K74</f>
        <v>11146.380000000001</v>
      </c>
      <c r="L75" s="48">
        <f>L72+L73+L74</f>
        <v>5527.46</v>
      </c>
      <c r="M75" s="48">
        <f>M72+M73+M74</f>
        <v>6965.29</v>
      </c>
      <c r="N75" s="51">
        <f>B75+C75+D75+E75+F75+G75+H75+I75+J75+K75+L75+M75</f>
        <v>65098.44</v>
      </c>
    </row>
    <row r="76" spans="1:14" ht="16">
      <c r="A76" s="38" t="s">
        <v>72</v>
      </c>
      <c r="B76" s="47">
        <v>948.47</v>
      </c>
      <c r="C76" s="47">
        <v>949.09</v>
      </c>
      <c r="D76" s="47">
        <v>964.15</v>
      </c>
      <c r="E76" s="47">
        <v>1666.19</v>
      </c>
      <c r="F76" s="47">
        <v>1611.55</v>
      </c>
      <c r="G76" s="47">
        <v>1750.43</v>
      </c>
      <c r="H76" s="47">
        <v>355.3</v>
      </c>
      <c r="I76" s="47">
        <v>1334.49</v>
      </c>
      <c r="J76" s="47">
        <v>1169.61</v>
      </c>
      <c r="K76" s="47">
        <v>983.96</v>
      </c>
      <c r="L76" s="47">
        <v>983.05</v>
      </c>
      <c r="M76" s="47">
        <v>833.92</v>
      </c>
      <c r="N76" s="47">
        <f>B76+C76+D76+E76+F76+G76+H76+I76+J76+K76+L76+M76</f>
        <v>13550.210000000001</v>
      </c>
    </row>
    <row r="77" spans="1:14" ht="16">
      <c r="A77" s="38" t="s">
        <v>73</v>
      </c>
      <c r="B77" s="46"/>
      <c r="C77" s="46"/>
      <c r="D77" s="46"/>
      <c r="E77" s="46"/>
      <c r="F77" s="46"/>
      <c r="G77" s="47">
        <v>5489.0</v>
      </c>
      <c r="H77" s="46"/>
      <c r="I77" s="46"/>
      <c r="J77" s="46"/>
      <c r="K77" s="46"/>
      <c r="L77" s="46"/>
      <c r="M77" s="46"/>
      <c r="N77" s="47">
        <f>B77+C77+D77+E77+F77+G77+H77+I77+J77+K77+L77+M77</f>
        <v>5489.0</v>
      </c>
    </row>
    <row r="78" spans="1:14" ht="16">
      <c r="A78" s="39" t="s">
        <v>74</v>
      </c>
      <c r="B78" s="47">
        <v>486.24</v>
      </c>
      <c r="C78" s="47">
        <v>311.24</v>
      </c>
      <c r="D78" s="47">
        <v>2074.24</v>
      </c>
      <c r="E78" s="47">
        <v>87.24</v>
      </c>
      <c r="F78" s="47">
        <v>1268.44</v>
      </c>
      <c r="G78" s="47">
        <v>274.44</v>
      </c>
      <c r="H78" s="47">
        <v>287.24</v>
      </c>
      <c r="I78" s="47">
        <v>378.21</v>
      </c>
      <c r="J78" s="47">
        <v>343.45</v>
      </c>
      <c r="K78" s="47">
        <v>410.67</v>
      </c>
      <c r="L78" s="47">
        <v>95.0</v>
      </c>
      <c r="M78" s="47">
        <v>302.87</v>
      </c>
      <c r="N78" s="47">
        <f>B78+C78+D78+E78+F78+G78+H78+I78+J78+K78+L78+M78</f>
        <v>6319.279999999999</v>
      </c>
    </row>
    <row r="79" spans="1:14" ht="16">
      <c r="A79" s="39" t="s">
        <v>75</v>
      </c>
      <c r="B79" s="47">
        <v>504.76</v>
      </c>
      <c r="C79" s="47">
        <v>193.09</v>
      </c>
      <c r="D79" s="47">
        <v>940.37</v>
      </c>
      <c r="E79" s="47">
        <v>453.67</v>
      </c>
      <c r="F79" s="47">
        <v>358.76</v>
      </c>
      <c r="G79" s="47">
        <v>130.42</v>
      </c>
      <c r="H79" s="47">
        <v>2108.18</v>
      </c>
      <c r="I79" s="47">
        <v>2070.29</v>
      </c>
      <c r="J79" s="47">
        <v>2097.69</v>
      </c>
      <c r="K79" s="47">
        <v>2329.64</v>
      </c>
      <c r="L79" s="47">
        <v>5640.01</v>
      </c>
      <c r="M79" s="47">
        <v>4947.88</v>
      </c>
      <c r="N79" s="47">
        <f>B79+C79+D79+E79+F79+G79+H79+I79+J79+K79+L79+M79</f>
        <v>21774.76</v>
      </c>
    </row>
    <row r="80" spans="1:14" ht="16">
      <c r="A80" s="40" t="s">
        <v>76</v>
      </c>
      <c r="B80" s="48">
        <f>B77+B78+B79</f>
        <v>991.0</v>
      </c>
      <c r="C80" s="48">
        <f>C77+C78+C79</f>
        <v>504.33000000000004</v>
      </c>
      <c r="D80" s="48">
        <f>D77+D78+D79</f>
        <v>3014.6099999999997</v>
      </c>
      <c r="E80" s="48">
        <f>E77+E78+E79</f>
        <v>540.91</v>
      </c>
      <c r="F80" s="48">
        <f>F77+F78+F79</f>
        <v>1627.2</v>
      </c>
      <c r="G80" s="48">
        <f>G77+G78+G79</f>
        <v>5893.86</v>
      </c>
      <c r="H80" s="48">
        <f>H77+H78+H79</f>
        <v>2395.42</v>
      </c>
      <c r="I80" s="48">
        <f>I77+I78+I79</f>
        <v>2448.5</v>
      </c>
      <c r="J80" s="48">
        <f>J77+J78+J79</f>
        <v>2441.14</v>
      </c>
      <c r="K80" s="48">
        <f>K77+K78+K79</f>
        <v>2740.31</v>
      </c>
      <c r="L80" s="48">
        <f>L77+L78+L79</f>
        <v>5735.01</v>
      </c>
      <c r="M80" s="48">
        <f>M77+M78+M79</f>
        <v>5250.75</v>
      </c>
      <c r="N80" s="51">
        <f>B80+C80+D80+E80+F80+G80+H80+I80+J80+K80+L80+M80</f>
        <v>33583.04</v>
      </c>
    </row>
    <row r="81" spans="1:14" ht="16">
      <c r="A81" s="38" t="s">
        <v>77</v>
      </c>
      <c r="B81" s="47">
        <v>441.71</v>
      </c>
      <c r="C81" s="47">
        <v>3111.59</v>
      </c>
      <c r="D81" s="47">
        <v>450.4</v>
      </c>
      <c r="E81" s="47">
        <v>1507.83</v>
      </c>
      <c r="F81" s="47">
        <v>1558.7</v>
      </c>
      <c r="G81" s="47">
        <v>1884.53</v>
      </c>
      <c r="H81" s="47">
        <v>2282.13</v>
      </c>
      <c r="I81" s="47">
        <v>1453.41</v>
      </c>
      <c r="J81" s="47">
        <v>1602.4</v>
      </c>
      <c r="K81" s="47">
        <v>1963.5</v>
      </c>
      <c r="L81" s="47">
        <v>2314.69</v>
      </c>
      <c r="M81" s="47">
        <v>1914.81</v>
      </c>
      <c r="N81" s="47">
        <f>B81+C81+D81+E81+F81+G81+H81+I81+J81+K81+L81+M81</f>
        <v>20485.7</v>
      </c>
    </row>
    <row r="82" spans="1:14" ht="16">
      <c r="A82" s="38" t="s">
        <v>78</v>
      </c>
      <c r="B82" s="47">
        <v>437.18</v>
      </c>
      <c r="C82" s="47">
        <v>437.18</v>
      </c>
      <c r="D82" s="47">
        <v>448.9</v>
      </c>
      <c r="E82" s="47">
        <v>448.9</v>
      </c>
      <c r="F82" s="47">
        <v>448.9</v>
      </c>
      <c r="G82" s="47">
        <v>1150.54</v>
      </c>
      <c r="H82" s="47">
        <v>98.08</v>
      </c>
      <c r="I82" s="47">
        <v>98.08</v>
      </c>
      <c r="J82" s="47">
        <v>486.22</v>
      </c>
      <c r="K82" s="46"/>
      <c r="L82" s="47">
        <v>727.06</v>
      </c>
      <c r="M82" s="47">
        <v>363.53</v>
      </c>
      <c r="N82" s="47">
        <f>B82+C82+D82+E82+F82+G82+H82+I82+J82+K82+L82+M82</f>
        <v>5144.569999999999</v>
      </c>
    </row>
    <row r="83" spans="1:14" ht="16">
      <c r="A83" s="39" t="s">
        <v>79</v>
      </c>
      <c r="B83" s="47">
        <v>1012.7</v>
      </c>
      <c r="C83" s="47">
        <v>2080.69</v>
      </c>
      <c r="D83" s="47">
        <v>1012.69</v>
      </c>
      <c r="E83" s="47">
        <v>1012.69</v>
      </c>
      <c r="F83" s="47">
        <v>1012.69</v>
      </c>
      <c r="G83" s="47">
        <v>1133.69</v>
      </c>
      <c r="H83" s="47">
        <v>220.69</v>
      </c>
      <c r="I83" s="46"/>
      <c r="J83" s="47">
        <v>921.3</v>
      </c>
      <c r="K83" s="47">
        <v>920.27</v>
      </c>
      <c r="L83" s="47">
        <v>920.27</v>
      </c>
      <c r="M83" s="47">
        <v>920.27</v>
      </c>
      <c r="N83" s="47">
        <f>B83+C83+D83+E83+F83+G83+H83+I83+J83+K83+L83+M83</f>
        <v>11167.950000000003</v>
      </c>
    </row>
    <row r="84" spans="1:14" ht="16">
      <c r="A84" s="39" t="s">
        <v>80</v>
      </c>
      <c r="B84" s="47">
        <v>1542.16</v>
      </c>
      <c r="C84" s="47">
        <v>1542.16</v>
      </c>
      <c r="D84" s="47">
        <v>1542.16</v>
      </c>
      <c r="E84" s="47">
        <v>1542.16</v>
      </c>
      <c r="F84" s="47">
        <v>1542.16</v>
      </c>
      <c r="G84" s="47">
        <v>1542.16</v>
      </c>
      <c r="H84" s="47">
        <v>1542.16</v>
      </c>
      <c r="I84" s="47">
        <v>1542.16</v>
      </c>
      <c r="J84" s="47">
        <v>1542.16</v>
      </c>
      <c r="K84" s="47">
        <v>1542.16</v>
      </c>
      <c r="L84" s="47">
        <v>1542.16</v>
      </c>
      <c r="M84" s="47">
        <v>1542.16</v>
      </c>
      <c r="N84" s="47">
        <f>B84+C84+D84+E84+F84+G84+H84+I84+J84+K84+L84+M84</f>
        <v>18505.920000000002</v>
      </c>
    </row>
    <row r="85" spans="1:14" ht="16">
      <c r="A85" s="40" t="s">
        <v>81</v>
      </c>
      <c r="B85" s="48">
        <f>B82+B83+B84</f>
        <v>2992.04</v>
      </c>
      <c r="C85" s="48">
        <f>C82+C83+C84</f>
        <v>4060.0299999999997</v>
      </c>
      <c r="D85" s="48">
        <f>D82+D83+D84</f>
        <v>3003.75</v>
      </c>
      <c r="E85" s="48">
        <f>E82+E83+E84</f>
        <v>3003.75</v>
      </c>
      <c r="F85" s="48">
        <f>F82+F83+F84</f>
        <v>3003.75</v>
      </c>
      <c r="G85" s="48">
        <f>G82+G83+G84</f>
        <v>3826.3900000000003</v>
      </c>
      <c r="H85" s="48">
        <f>H82+H83+H84</f>
        <v>1860.93</v>
      </c>
      <c r="I85" s="48">
        <f>I82+I83+I84</f>
        <v>1640.24</v>
      </c>
      <c r="J85" s="48">
        <f>J82+J83+J84</f>
        <v>2949.6800000000003</v>
      </c>
      <c r="K85" s="48">
        <f>K82+K83+K84</f>
        <v>2462.4300000000003</v>
      </c>
      <c r="L85" s="48">
        <f>L82+L83+L84</f>
        <v>3189.49</v>
      </c>
      <c r="M85" s="48">
        <f>M82+M83+M84</f>
        <v>2825.96</v>
      </c>
      <c r="N85" s="51">
        <f>B85+C85+D85+E85+F85+G85+H85+I85+J85+K85+L85+M85</f>
        <v>34818.44</v>
      </c>
    </row>
    <row r="86" spans="1:14" ht="16">
      <c r="A86" s="38" t="s">
        <v>82</v>
      </c>
      <c r="B86" s="47">
        <v>1557.0</v>
      </c>
      <c r="C86" s="46"/>
      <c r="D86" s="46"/>
      <c r="E86" s="47">
        <v>1232.0</v>
      </c>
      <c r="F86" s="46"/>
      <c r="G86" s="46"/>
      <c r="H86" s="47">
        <v>-1132.0</v>
      </c>
      <c r="I86" s="47">
        <v>1300.0</v>
      </c>
      <c r="J86" s="47">
        <v>3925.0</v>
      </c>
      <c r="K86" s="47">
        <v>3805.0</v>
      </c>
      <c r="L86" s="47">
        <v>4439.99</v>
      </c>
      <c r="M86" s="47">
        <v>4139.99</v>
      </c>
      <c r="N86" s="47">
        <f>B86+C86+D86+E86+F86+G86+H86+I86+J86+K86+L86+M86</f>
        <v>19266.98</v>
      </c>
    </row>
    <row r="87" spans="1:14" ht="16">
      <c r="A87" s="38" t="s">
        <v>83</v>
      </c>
      <c r="B87" s="47">
        <v>2243.15</v>
      </c>
      <c r="C87" s="46"/>
      <c r="D87" s="47">
        <v>76.5</v>
      </c>
      <c r="E87" s="46"/>
      <c r="F87" s="47">
        <v>231.23</v>
      </c>
      <c r="G87" s="47">
        <v>309.0</v>
      </c>
      <c r="H87" s="46"/>
      <c r="I87" s="46"/>
      <c r="J87" s="47">
        <v>6401.74</v>
      </c>
      <c r="K87" s="46"/>
      <c r="L87" s="46"/>
      <c r="M87" s="46"/>
      <c r="N87" s="47">
        <f>B87+C87+D87+E87+F87+G87+H87+I87+J87+K87+L87+M87</f>
        <v>9261.619999999999</v>
      </c>
    </row>
    <row r="88" spans="1:14" ht="16">
      <c r="A88" s="38" t="s">
        <v>84</v>
      </c>
      <c r="B88" s="47">
        <v>6006.26</v>
      </c>
      <c r="C88" s="47">
        <v>5071.62</v>
      </c>
      <c r="D88" s="47">
        <v>5948.47</v>
      </c>
      <c r="E88" s="47">
        <v>4232.25</v>
      </c>
      <c r="F88" s="47">
        <v>1958.75</v>
      </c>
      <c r="G88" s="47">
        <v>13369.25</v>
      </c>
      <c r="H88" s="47">
        <v>6591.0</v>
      </c>
      <c r="I88" s="47">
        <v>6570.98</v>
      </c>
      <c r="J88" s="47">
        <v>7671.57</v>
      </c>
      <c r="K88" s="47">
        <v>10237.59</v>
      </c>
      <c r="L88" s="47">
        <v>10772.48</v>
      </c>
      <c r="M88" s="47">
        <v>6135.78</v>
      </c>
      <c r="N88" s="47">
        <f>B88+C88+D88+E88+F88+G88+H88+I88+J88+K88+L88+M88</f>
        <v>84566.0</v>
      </c>
    </row>
    <row r="89" spans="1:14" ht="16">
      <c r="A89" s="38" t="s">
        <v>85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</row>
    <row r="90" spans="1:14" ht="16">
      <c r="A90" s="39" t="s">
        <v>86</v>
      </c>
      <c r="B90" s="47">
        <v>4138.98</v>
      </c>
      <c r="C90" s="47">
        <v>1897.39</v>
      </c>
      <c r="D90" s="47">
        <v>1818.2</v>
      </c>
      <c r="E90" s="47">
        <v>1180.73</v>
      </c>
      <c r="F90" s="47">
        <v>1766.01</v>
      </c>
      <c r="G90" s="47">
        <v>2738.7</v>
      </c>
      <c r="H90" s="47">
        <v>2717.89</v>
      </c>
      <c r="I90" s="47">
        <v>2828.52</v>
      </c>
      <c r="J90" s="47">
        <v>3017.49</v>
      </c>
      <c r="K90" s="47">
        <v>2611.87</v>
      </c>
      <c r="L90" s="47">
        <v>3148.3</v>
      </c>
      <c r="M90" s="47">
        <v>3163.89</v>
      </c>
      <c r="N90" s="47">
        <f>B90+C90+D90+E90+F90+G90+H90+I90+J90+K90+L90+M90</f>
        <v>31027.969999999994</v>
      </c>
    </row>
    <row r="91" spans="1:14" ht="16">
      <c r="A91" s="39" t="s">
        <v>87</v>
      </c>
      <c r="B91" s="47">
        <v>42605.86</v>
      </c>
      <c r="C91" s="47">
        <v>24105.83</v>
      </c>
      <c r="D91" s="47">
        <v>24564.86</v>
      </c>
      <c r="E91" s="47">
        <v>24105.84</v>
      </c>
      <c r="F91" s="47">
        <v>24162.67</v>
      </c>
      <c r="G91" s="47">
        <v>36605.85</v>
      </c>
      <c r="H91" s="47">
        <v>36605.85</v>
      </c>
      <c r="I91" s="47">
        <v>37898.18</v>
      </c>
      <c r="J91" s="47">
        <v>40105.96</v>
      </c>
      <c r="K91" s="47">
        <v>34904.78</v>
      </c>
      <c r="L91" s="47">
        <v>42203.69</v>
      </c>
      <c r="M91" s="47">
        <v>42435.39</v>
      </c>
      <c r="N91" s="47">
        <f>B91+C91+D91+E91+F91+G91+H91+I91+J91+K91+L91+M91</f>
        <v>410304.76000000007</v>
      </c>
    </row>
    <row r="92" spans="1:14" ht="16">
      <c r="A92" s="40" t="s">
        <v>88</v>
      </c>
      <c r="B92" s="48">
        <f>B89+B90+B91</f>
        <v>46744.84</v>
      </c>
      <c r="C92" s="48">
        <f>C89+C90+C91</f>
        <v>26003.22</v>
      </c>
      <c r="D92" s="48">
        <f>D89+D90+D91</f>
        <v>26383.06</v>
      </c>
      <c r="E92" s="48">
        <f>E89+E90+E91</f>
        <v>25286.57</v>
      </c>
      <c r="F92" s="48">
        <f>F89+F90+F91</f>
        <v>25928.679999999997</v>
      </c>
      <c r="G92" s="48">
        <f>G89+G90+G91</f>
        <v>39344.549999999996</v>
      </c>
      <c r="H92" s="48">
        <f>H89+H90+H91</f>
        <v>39323.74</v>
      </c>
      <c r="I92" s="48">
        <f>I89+I90+I91</f>
        <v>40726.7</v>
      </c>
      <c r="J92" s="48">
        <f>J89+J90+J91</f>
        <v>43123.45</v>
      </c>
      <c r="K92" s="48">
        <f>K89+K90+K91</f>
        <v>37516.65</v>
      </c>
      <c r="L92" s="48">
        <f>L89+L90+L91</f>
        <v>45351.990000000005</v>
      </c>
      <c r="M92" s="48">
        <f>M89+M90+M91</f>
        <v>45599.28</v>
      </c>
      <c r="N92" s="51">
        <f>B92+C92+D92+E92+F92+G92+H92+I92+J92+K92+L92+M92</f>
        <v>441332.73</v>
      </c>
    </row>
    <row r="93" spans="1:14" ht="16">
      <c r="A93" s="41" t="s">
        <v>89</v>
      </c>
      <c r="B93" s="48">
        <f>B70+B71+B75+B76+B80+B81+B85+B86+B87+B88+B92</f>
        <v>72669.72</v>
      </c>
      <c r="C93" s="48">
        <f>C70+C71+C75+C76+C80+C81+C85+C86+C87+C88+C92</f>
        <v>52779.16</v>
      </c>
      <c r="D93" s="48">
        <f>D70+D71+D75+D76+D80+D81+D85+D86+D87+D88+D92</f>
        <v>51125.97</v>
      </c>
      <c r="E93" s="48">
        <f>E70+E71+E75+E76+E80+E81+E85+E86+E87+E88+E92</f>
        <v>51838.83</v>
      </c>
      <c r="F93" s="48">
        <f>F70+F71+F75+F76+F80+F81+F85+F86+F87+F88+F92</f>
        <v>49783.689999999995</v>
      </c>
      <c r="G93" s="48">
        <f>G70+G71+G75+G76+G80+G81+G85+G86+G87+G88+G92</f>
        <v>88488.44</v>
      </c>
      <c r="H93" s="48">
        <f>H70+H71+H75+H76+H80+H81+H85+H86+H87+H88+H92</f>
        <v>58290.53</v>
      </c>
      <c r="I93" s="48">
        <f>I70+I71+I75+I76+I80+I81+I85+I86+I87+I88+I92</f>
        <v>69588.0</v>
      </c>
      <c r="J93" s="48">
        <f>J70+J71+J75+J76+J80+J81+J85+J86+J87+J88+J92</f>
        <v>84955.98</v>
      </c>
      <c r="K93" s="48">
        <f>K70+K71+K75+K76+K80+K81+K85+K86+K87+K88+K92</f>
        <v>82652.23000000001</v>
      </c>
      <c r="L93" s="48">
        <f>L70+L71+L75+L76+L80+L81+L85+L86+L87+L88+L92</f>
        <v>86922.21</v>
      </c>
      <c r="M93" s="48">
        <f>M70+M71+M75+M76+M80+M81+M85+M86+M87+M88+M92</f>
        <v>82273.82999999999</v>
      </c>
      <c r="N93" s="51">
        <f>B93+C93+D93+E93+F93+G93+H93+I93+J93+K93+L93+M93</f>
        <v>831368.5899999999</v>
      </c>
    </row>
    <row r="94" spans="1:14" ht="16">
      <c r="A94" s="37" t="s">
        <v>90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7">
        <v>12742.86</v>
      </c>
      <c r="N94" s="47">
        <f>B94+C94+D94+E94+F94+G94+H94+I94+J94+K94+L94+M94</f>
        <v>12742.86</v>
      </c>
    </row>
    <row r="95" spans="1:14" ht="16">
      <c r="A95" s="37" t="s">
        <v>91</v>
      </c>
      <c r="B95" s="47">
        <v>717.73</v>
      </c>
      <c r="C95" s="47">
        <v>2696.42</v>
      </c>
      <c r="D95" s="47">
        <v>2246.5</v>
      </c>
      <c r="E95" s="47">
        <v>3993.82</v>
      </c>
      <c r="F95" s="47">
        <v>3283.53</v>
      </c>
      <c r="G95" s="47">
        <v>2822.5</v>
      </c>
      <c r="H95" s="47">
        <v>1546.55</v>
      </c>
      <c r="I95" s="47">
        <v>1085.54</v>
      </c>
      <c r="J95" s="47">
        <v>2389.91</v>
      </c>
      <c r="K95" s="47">
        <v>604.57</v>
      </c>
      <c r="L95" s="47">
        <v>1661.33</v>
      </c>
      <c r="M95" s="47">
        <v>835.54</v>
      </c>
      <c r="N95" s="47">
        <f>B95+C95+D95+E95+F95+G95+H95+I95+J95+K95+L95+M95</f>
        <v>23883.940000000002</v>
      </c>
    </row>
    <row r="96" spans="1:14" ht="16">
      <c r="A96" s="37" t="s">
        <v>92</v>
      </c>
      <c r="B96" s="46"/>
      <c r="C96" s="47">
        <v>499.48</v>
      </c>
      <c r="D96" s="47">
        <v>417.3</v>
      </c>
      <c r="E96" s="47">
        <v>111.96</v>
      </c>
      <c r="F96" s="47">
        <v>382.74</v>
      </c>
      <c r="G96" s="47">
        <v>765.94</v>
      </c>
      <c r="H96" s="47">
        <v>38.0</v>
      </c>
      <c r="I96" s="47">
        <v>310.0</v>
      </c>
      <c r="J96" s="47">
        <v>559.58</v>
      </c>
      <c r="K96" s="46"/>
      <c r="L96" s="47">
        <v>168.13</v>
      </c>
      <c r="M96" s="47">
        <v>400.0</v>
      </c>
      <c r="N96" s="47">
        <f>B96+C96+D96+E96+F96+G96+H96+I96+J96+K96+L96+M96</f>
        <v>3653.13</v>
      </c>
    </row>
    <row r="97" spans="1:14" ht="16">
      <c r="A97" s="37" t="s">
        <v>93</v>
      </c>
      <c r="B97" s="47">
        <v>2953.51</v>
      </c>
      <c r="C97" s="47">
        <v>192.98</v>
      </c>
      <c r="D97" s="47">
        <v>226.39</v>
      </c>
      <c r="E97" s="47">
        <v>2732.78</v>
      </c>
      <c r="F97" s="47">
        <v>699.54</v>
      </c>
      <c r="G97" s="47">
        <v>202.65</v>
      </c>
      <c r="H97" s="47">
        <v>358.24</v>
      </c>
      <c r="I97" s="47">
        <v>446.65</v>
      </c>
      <c r="J97" s="47">
        <v>1102.68</v>
      </c>
      <c r="K97" s="47">
        <v>790.95</v>
      </c>
      <c r="L97" s="47">
        <v>836.96</v>
      </c>
      <c r="M97" s="47">
        <v>476.59</v>
      </c>
      <c r="N97" s="47">
        <f>B97+C97+D97+E97+F97+G97+H97+I97+J97+K97+L97+M97</f>
        <v>11019.919999999998</v>
      </c>
    </row>
    <row r="98" spans="1:14" ht="16">
      <c r="A98" s="37" t="s">
        <v>94</v>
      </c>
      <c r="B98" s="46"/>
      <c r="C98" s="46"/>
      <c r="D98" s="46"/>
      <c r="E98" s="46"/>
      <c r="F98" s="47">
        <v>505.32</v>
      </c>
      <c r="G98" s="46"/>
      <c r="H98" s="46"/>
      <c r="I98" s="46"/>
      <c r="J98" s="46"/>
      <c r="K98" s="46"/>
      <c r="L98" s="46"/>
      <c r="M98" s="46"/>
      <c r="N98" s="47">
        <f>B98+C98+D98+E98+F98+G98+H98+I98+J98+K98+L98+M98</f>
        <v>505.32</v>
      </c>
    </row>
    <row r="99" spans="1:14" ht="16">
      <c r="A99" s="37" t="s">
        <v>95</v>
      </c>
      <c r="B99" s="46"/>
      <c r="C99" s="46"/>
      <c r="D99" s="46"/>
      <c r="E99" s="46"/>
      <c r="F99" s="47">
        <v>42.75</v>
      </c>
      <c r="G99" s="46"/>
      <c r="H99" s="47">
        <v>2.16</v>
      </c>
      <c r="I99" s="47">
        <v>1.66</v>
      </c>
      <c r="J99" s="47">
        <v>55.0</v>
      </c>
      <c r="K99" s="47">
        <v>120.0</v>
      </c>
      <c r="L99" s="47">
        <v>33.0</v>
      </c>
      <c r="M99" s="47">
        <v>51.66</v>
      </c>
      <c r="N99" s="47">
        <f>B99+C99+D99+E99+F99+G99+H99+I99+J99+K99+L99+M99</f>
        <v>306.23</v>
      </c>
    </row>
    <row r="100" spans="1:14" ht="16">
      <c r="A100" s="37" t="s">
        <v>96</v>
      </c>
      <c r="B100" s="46"/>
      <c r="C100" s="46"/>
      <c r="D100" s="46"/>
      <c r="E100" s="46"/>
      <c r="F100" s="46"/>
      <c r="G100" s="46"/>
      <c r="H100" s="49">
        <v>0</v>
      </c>
      <c r="I100" s="46"/>
      <c r="J100" s="46"/>
      <c r="K100" s="46"/>
      <c r="L100" s="46"/>
      <c r="M100" s="47">
        <v>59.94</v>
      </c>
      <c r="N100" s="47">
        <f>B100+C100+D100+E100+F100+G100+H100+I100+J100+K100+L100+M100</f>
        <v>59.94</v>
      </c>
    </row>
    <row r="101" spans="1:14" ht="16">
      <c r="A101" s="37" t="s">
        <v>97</v>
      </c>
      <c r="B101" s="46"/>
      <c r="C101" s="49">
        <v>0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9">
        <f>B101+C101+D101+E101+F101+G101+H101+I101+J101+K101+L101+M101</f>
        <v>0.0</v>
      </c>
    </row>
    <row r="102" spans="1:14" ht="16">
      <c r="A102" s="37" t="s">
        <v>98</v>
      </c>
      <c r="B102" s="47">
        <v>181.43</v>
      </c>
      <c r="C102" s="49">
        <v>0</v>
      </c>
      <c r="D102" s="49">
        <v>0</v>
      </c>
      <c r="E102" s="47">
        <v>3.05</v>
      </c>
      <c r="F102" s="47">
        <v>23.97</v>
      </c>
      <c r="G102" s="47">
        <v>2.27</v>
      </c>
      <c r="H102" s="47">
        <v>3.05</v>
      </c>
      <c r="I102" s="46"/>
      <c r="J102" s="46"/>
      <c r="K102" s="46"/>
      <c r="L102" s="46"/>
      <c r="M102" s="46"/>
      <c r="N102" s="47">
        <f>B102+C102+D102+E102+F102+G102+H102+I102+J102+K102+L102+M102</f>
        <v>213.77000000000004</v>
      </c>
    </row>
    <row r="103" spans="1:14" ht="16">
      <c r="A103" s="42" t="s">
        <v>99</v>
      </c>
      <c r="B103" s="48">
        <f>B58+B69+B93+B94+B95+B96+B97+B98+B99+B100+B101+B102</f>
        <v>91379.81999999998</v>
      </c>
      <c r="C103" s="48">
        <f>C58+C69+C93+C94+C95+C96+C97+C98+C99+C100+C101+C102</f>
        <v>63745.68000000001</v>
      </c>
      <c r="D103" s="48">
        <f>D58+D69+D93+D94+D95+D96+D97+D98+D99+D100+D101+D102</f>
        <v>62450.43</v>
      </c>
      <c r="E103" s="48">
        <f>E58+E69+E93+E94+E95+E96+E97+E98+E99+E100+E101+E102</f>
        <v>74430.59000000001</v>
      </c>
      <c r="F103" s="48">
        <f>F58+F69+F93+F94+F95+F96+F97+F98+F99+F100+F101+F102</f>
        <v>70977.12</v>
      </c>
      <c r="G103" s="48">
        <f>G58+G69+G93+G94+G95+G96+G97+G98+G99+G100+G101+G102</f>
        <v>106648.28</v>
      </c>
      <c r="H103" s="48">
        <f>H58+H69+H93+H94+H95+H96+H97+H98+H99+H100+H101+H102</f>
        <v>71521.87000000001</v>
      </c>
      <c r="I103" s="48">
        <f>I58+I69+I93+I94+I95+I96+I97+I98+I99+I100+I101+I102</f>
        <v>91721.51999999999</v>
      </c>
      <c r="J103" s="48">
        <f>J58+J69+J93+J94+J95+J96+J97+J98+J99+J100+J101+J102</f>
        <v>103456.65999999999</v>
      </c>
      <c r="K103" s="48">
        <f>K58+K69+K93+K94+K95+K96+K97+K98+K99+K100+K101+K102</f>
        <v>106995.23000000003</v>
      </c>
      <c r="L103" s="48">
        <f>L58+L69+L93+L94+L95+L96+L97+L98+L99+L100+L101+L102</f>
        <v>109668.76000000002</v>
      </c>
      <c r="M103" s="48">
        <f>M58+M69+M93+M94+M95+M96+M97+M98+M99+M100+M101+M102</f>
        <v>113215.30999999998</v>
      </c>
      <c r="N103" s="51">
        <f>B103+C103+D103+E103+F103+G103+H103+I103+J103+K103+L103+M103</f>
        <v>1066211.27</v>
      </c>
    </row>
    <row r="104" spans="1:14" ht="16">
      <c r="A104" s="42" t="s">
        <v>100</v>
      </c>
      <c r="B104" s="48">
        <f>B57-B103</f>
        <v>72735.7600000001</v>
      </c>
      <c r="C104" s="48">
        <f>C57-C103</f>
        <v>-45682.43999999999</v>
      </c>
      <c r="D104" s="48">
        <f>D57-D103</f>
        <v>-7821.520000000011</v>
      </c>
      <c r="E104" s="48">
        <f>E57-E103</f>
        <v>-37.49000000003434</v>
      </c>
      <c r="F104" s="48">
        <f>F57-F103</f>
        <v>-55821.769999999975</v>
      </c>
      <c r="G104" s="48">
        <f>G57-G103</f>
        <v>-15805.720000000001</v>
      </c>
      <c r="H104" s="48">
        <f>H57-H103</f>
        <v>14925.679999999993</v>
      </c>
      <c r="I104" s="48">
        <f>I57-I103</f>
        <v>-40670.600000000006</v>
      </c>
      <c r="J104" s="48">
        <f>J57-J103</f>
        <v>41074.84000000001</v>
      </c>
      <c r="K104" s="48">
        <f>K57-K103</f>
        <v>42.260000000023865</v>
      </c>
      <c r="L104" s="48">
        <f>L57-L103</f>
        <v>53175.60999999997</v>
      </c>
      <c r="M104" s="48">
        <f>M57-M103</f>
        <v>-72456.14</v>
      </c>
      <c r="N104" s="51">
        <f>B104+C104+D104+E104+F104+G104+H104+I104+J104+K104+L104+M104</f>
        <v>-56341.52999999991</v>
      </c>
    </row>
    <row r="105" spans="1:13" ht="16">
      <c r="A105" s="36" t="s">
        <v>101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 spans="1:14" ht="16">
      <c r="A106" s="37" t="s">
        <v>102</v>
      </c>
      <c r="B106" s="47">
        <v>0.23</v>
      </c>
      <c r="C106" s="47">
        <v>0.08</v>
      </c>
      <c r="D106" s="47">
        <v>0.09</v>
      </c>
      <c r="E106" s="47">
        <v>0.12</v>
      </c>
      <c r="F106" s="47">
        <v>0.17</v>
      </c>
      <c r="G106" s="47">
        <v>0.19</v>
      </c>
      <c r="H106" s="47">
        <v>0.23</v>
      </c>
      <c r="I106" s="47">
        <v>0.13</v>
      </c>
      <c r="J106" s="47">
        <v>0.16</v>
      </c>
      <c r="K106" s="47">
        <v>0.02</v>
      </c>
      <c r="L106" s="47">
        <v>0.01</v>
      </c>
      <c r="M106" s="47">
        <v>0.01</v>
      </c>
      <c r="N106" s="47">
        <f>B106+C106+D106+E106+F106+G106+H106+I106+J106+K106+L106+M106</f>
        <v>1.4400000000000002</v>
      </c>
    </row>
    <row r="107" spans="1:14" ht="16">
      <c r="A107" s="37" t="s">
        <v>103</v>
      </c>
      <c r="B107" s="46"/>
      <c r="C107" s="46"/>
      <c r="D107" s="46"/>
      <c r="E107" s="46"/>
      <c r="F107" s="46"/>
      <c r="G107" s="46"/>
      <c r="H107" s="47">
        <v>24468.22</v>
      </c>
      <c r="I107" s="47">
        <v>905.95</v>
      </c>
      <c r="J107" s="46"/>
      <c r="K107" s="46"/>
      <c r="L107" s="46"/>
      <c r="M107" s="46"/>
      <c r="N107" s="47">
        <f>B107+C107+D107+E107+F107+G107+H107+I107+J107+K107+L107+M107</f>
        <v>25374.170000000002</v>
      </c>
    </row>
    <row r="108" spans="1:14" ht="16">
      <c r="A108" s="42" t="s">
        <v>104</v>
      </c>
      <c r="B108" s="48">
        <f>B105+B106+B107</f>
        <v>0.23</v>
      </c>
      <c r="C108" s="48">
        <f>C105+C106+C107</f>
        <v>0.08</v>
      </c>
      <c r="D108" s="48">
        <f>D105+D106+D107</f>
        <v>0.09</v>
      </c>
      <c r="E108" s="48">
        <f>E105+E106+E107</f>
        <v>0.12</v>
      </c>
      <c r="F108" s="48">
        <f>F105+F106+F107</f>
        <v>0.17</v>
      </c>
      <c r="G108" s="48">
        <f>G105+G106+G107</f>
        <v>0.19</v>
      </c>
      <c r="H108" s="48">
        <f>H105+H106+H107</f>
        <v>24468.45</v>
      </c>
      <c r="I108" s="48">
        <f>I105+I106+I107</f>
        <v>906.08</v>
      </c>
      <c r="J108" s="48">
        <f>J105+J106+J107</f>
        <v>0.16</v>
      </c>
      <c r="K108" s="48">
        <f>K105+K106+K107</f>
        <v>0.02</v>
      </c>
      <c r="L108" s="48">
        <f>L105+L106+L107</f>
        <v>0.01</v>
      </c>
      <c r="M108" s="48">
        <f>M105+M106+M107</f>
        <v>0.01</v>
      </c>
      <c r="N108" s="51">
        <f>B108+C108+D108+E108+F108+G108+H108+I108+J108+K108+L108+M108</f>
        <v>25375.61</v>
      </c>
    </row>
    <row r="109" spans="1:14" ht="16">
      <c r="A109" s="42" t="s">
        <v>105</v>
      </c>
      <c r="B109" s="48">
        <f>B108-0</f>
        <v>0.23</v>
      </c>
      <c r="C109" s="48">
        <f>C108-0</f>
        <v>0.08</v>
      </c>
      <c r="D109" s="48">
        <f>D108-0</f>
        <v>0.09</v>
      </c>
      <c r="E109" s="48">
        <f>E108-0</f>
        <v>0.12</v>
      </c>
      <c r="F109" s="48">
        <f>F108-0</f>
        <v>0.17</v>
      </c>
      <c r="G109" s="48">
        <f>G108-0</f>
        <v>0.19</v>
      </c>
      <c r="H109" s="48">
        <f>H108-0</f>
        <v>24468.45</v>
      </c>
      <c r="I109" s="48">
        <f>I108-0</f>
        <v>906.08</v>
      </c>
      <c r="J109" s="48">
        <f>J108-0</f>
        <v>0.16</v>
      </c>
      <c r="K109" s="48">
        <f>K108-0</f>
        <v>0.02</v>
      </c>
      <c r="L109" s="48">
        <f>L108-0</f>
        <v>0.01</v>
      </c>
      <c r="M109" s="48">
        <f>M108-0</f>
        <v>0.01</v>
      </c>
      <c r="N109" s="51">
        <f>B109+C109+D109+E109+F109+G109+H109+I109+J109+K109+L109+M109</f>
        <v>25375.61</v>
      </c>
    </row>
    <row r="110" spans="1:14" ht="16">
      <c r="A110" s="42" t="s">
        <v>106</v>
      </c>
      <c r="B110" s="48">
        <f>B104+B109</f>
        <v>72735.99000000009</v>
      </c>
      <c r="C110" s="48">
        <f>C104+C109</f>
        <v>-45682.359999999986</v>
      </c>
      <c r="D110" s="48">
        <f>D104+D109</f>
        <v>-7821.430000000011</v>
      </c>
      <c r="E110" s="48">
        <f>E104+E109</f>
        <v>-37.370000000034345</v>
      </c>
      <c r="F110" s="48">
        <f>F104+F109</f>
        <v>-55821.59999999998</v>
      </c>
      <c r="G110" s="48">
        <f>G104+G109</f>
        <v>-15805.53</v>
      </c>
      <c r="H110" s="48">
        <f>H104+H109</f>
        <v>39394.12999999999</v>
      </c>
      <c r="I110" s="48">
        <f>I104+I109</f>
        <v>-39764.520000000004</v>
      </c>
      <c r="J110" s="48">
        <f>J104+J109</f>
        <v>41075.000000000015</v>
      </c>
      <c r="K110" s="48">
        <f>K104+K109</f>
        <v>42.28000000002387</v>
      </c>
      <c r="L110" s="48">
        <f>L104+L109</f>
        <v>53175.61999999997</v>
      </c>
      <c r="M110" s="48">
        <f>M104+M109</f>
        <v>-72456.13</v>
      </c>
      <c r="N110" s="51">
        <f>B110+C110+D110+E110+F110+G110+H110+I110+J110+K110+L110+M110</f>
        <v>-30965.919999999925</v>
      </c>
    </row>
    <row r="114" spans="1:1" ht="16">
      <c r="A114" s="52" t="s">
        <v>121</v>
      </c>
    </row>
  </sheetData>
  <mergeCells count="4">
    <mergeCell ref="A1:N1"/>
    <mergeCell ref="A2:N2"/>
    <mergeCell ref="A3:N3"/>
    <mergeCell ref="A114:N11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