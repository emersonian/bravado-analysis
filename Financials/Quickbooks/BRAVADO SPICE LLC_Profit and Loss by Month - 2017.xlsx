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6" i="1" l="1"/>
</calcChain>
</file>

<file path=xl/sharedStrings.xml><?xml version="1.0" encoding="utf-8"?>
<sst xmlns="http://schemas.openxmlformats.org/spreadsheetml/2006/main" count="99" uniqueCount="99">
  <si>
    <t>BRAVADO SPICE LLC</t>
  </si>
  <si>
    <t>Profit and Loss by Month</t>
  </si>
  <si>
    <t>January 1-December 31, 2017</t>
  </si>
  <si>
    <t>Income</t>
  </si>
  <si>
    <t>61000 Sales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</si>
  <si>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</si>
  <si>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</si>
  <si>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</si>
  <si>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</si>
  <si>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</si>
  <si>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61250 Crimson Special Reserve</t>
  </si>
  <si>
    <t>61260 Serrano &amp; Basil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</si>
  <si>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</si>
  <si>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</si>
  <si>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</si>
  <si>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</si>
  <si>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</si>
  <si>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61500 Sets</t>
  </si>
  <si>
    <t>63000 Events/Shows Sales</t>
  </si>
  <si>
    <t>63100 Refunds/Allowances</t>
  </si>
  <si>
    <t>Total for 63000 Events/Shows Sales</t>
  </si>
  <si>
    <t>64000 Online Sales</t>
  </si>
  <si>
    <t>Total for 61000 Sales</t>
  </si>
  <si>
    <t>66000 Other Income</t>
  </si>
  <si>
    <t>67000 Uncategorized Income</t>
  </si>
  <si>
    <t>Total for Income</t>
  </si>
  <si>
    <t>Cost of Goods Sold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</si>
  <si>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</si>
  <si>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</si>
  <si>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</si>
  <si>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</si>
  <si>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</si>
  <si>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</si>
  <si>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On-Invoice Discounts</t>
  </si>
  <si>
    <t>QuickBooks Payments Fees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</si>
  <si>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</si>
  <si>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</si>
  <si>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</si>
  <si>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</si>
  <si>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</si>
  <si>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</si>
  <si>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</si>
  <si>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</si>
  <si>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</si>
  <si>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</si>
  <si>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</si>
  <si>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</si>
  <si>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</si>
  <si>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</si>
  <si>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</si>
  <si>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</si>
  <si>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</si>
  <si>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73110 Office Rent</t>
  </si>
  <si>
    <t>Total for 73100 Rent or Lease</t>
  </si>
  <si>
    <t>73200 Office Expenses</t>
  </si>
  <si>
    <t>73210 Shipping Supplies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</si>
  <si>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</si>
  <si>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</si>
  <si>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</si>
  <si>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</si>
  <si>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</si>
  <si>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</si>
  <si>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73460 Line of Credit Fee | AT</t>
  </si>
  <si>
    <t>73470 Fundbox Fees</t>
  </si>
  <si>
    <t>Total for 73400 Financial Fees</t>
  </si>
  <si>
    <t>73500 Dues &amp; Subscriptions</t>
  </si>
  <si>
    <t>73600 Insurance</t>
  </si>
  <si>
    <t>73620 Insurance - Liability</t>
  </si>
  <si>
    <t>Total for 73600 Insurance</t>
  </si>
  <si>
    <t>73800 Taxes &amp; Licenses</t>
  </si>
  <si>
    <t>73900 1099 Non-Employee Compensation</t>
  </si>
  <si>
    <t>Total for 73000 Overhead Expenses (G&amp;A)</t>
  </si>
  <si>
    <t>75000 Travel</t>
  </si>
  <si>
    <t>76000 Repair &amp; Maintenance</t>
  </si>
  <si>
    <t>Total for Expenses</t>
  </si>
  <si>
    <t>Net Operating Income</t>
  </si>
  <si>
    <t>Other Income</t>
  </si>
  <si>
    <t>80000 Interest Earned</t>
  </si>
  <si>
    <t>Total for Other Income</t>
  </si>
  <si>
    <t>Other Expenses</t>
  </si>
  <si>
    <t>90000 Other Miscellaneous Expense</t>
  </si>
  <si>
    <t>Total for Other Expenses</t>
  </si>
  <si>
    <t>Net Other Income</t>
  </si>
  <si>
    <t>Net Income</t>
  </si>
  <si>
    <t/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</si>
  <si>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</si>
  <si>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</si>
  <si>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</si>
  <si>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</si>
  <si>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</si>
  <si>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</si>
  <si>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</si>
  <si>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</si>
  <si>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</si>
  <si>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</si>
  <si>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</si>
  <si>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</si>
  <si>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Total</t>
  </si>
  <si>
    <t>Accrual Basis Tuesday, August 25, 2026 03:27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</si>
</sst>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90"/>
  <sheetViews>
    <sheetView tabSelected="1" workbookViewId="0" topLeftCell="A1"/>
  </sheetViews>
  <sheetFormatPr defaultColWidth="11.255" defaultRowHeight="16"/>
  <cols>
    <col min="1" max="1" width="35" style="43" customWidth="1"/>
    <col min="2" max="2" width="17" style="43" customWidth="1"/>
    <col min="3" max="3" width="16.125" style="43" customWidth="1"/>
    <col min="4" max="4" width="17" style="43" customWidth="1"/>
    <col min="5" max="6" width="16.125" style="43" customWidth="1"/>
    <col min="7" max="10" width="17" style="43" customWidth="1"/>
    <col min="11" max="13" width="16.125" style="43" customWidth="1"/>
    <col min="14" max="14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84</v>
      </c>
      <c r="B5" s="50" t="s">
        <v>85</v>
      </c>
      <c r="C5" s="50" t="s">
        <v>86</v>
      </c>
      <c r="D5" s="50" t="s">
        <v>87</v>
      </c>
      <c r="E5" s="50" t="s">
        <v>88</v>
      </c>
      <c r="F5" s="50" t="s">
        <v>89</v>
      </c>
      <c r="G5" s="50" t="s">
        <v>90</v>
      </c>
      <c r="H5" s="50" t="s">
        <v>91</v>
      </c>
      <c r="I5" s="50" t="s">
        <v>92</v>
      </c>
      <c r="J5" s="50" t="s">
        <v>93</v>
      </c>
      <c r="K5" s="50" t="s">
        <v>94</v>
      </c>
      <c r="L5" s="50" t="s">
        <v>95</v>
      </c>
      <c r="M5" s="50" t="s">
        <v>96</v>
      </c>
      <c r="N5" s="50" t="s">
        <v>97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4" ht="16">
      <c r="A8" s="38" t="s">
        <v>5</v>
      </c>
      <c r="B8" s="46"/>
      <c r="C8" s="46"/>
      <c r="D8" s="46"/>
      <c r="E8" s="46"/>
      <c r="F8" s="46"/>
      <c r="G8" s="46"/>
      <c r="H8" s="47">
        <v>15.99</v>
      </c>
      <c r="I8" s="46"/>
      <c r="J8" s="46"/>
      <c r="K8" s="46"/>
      <c r="L8" s="46"/>
      <c r="M8" s="46"/>
      <c r="N8" s="47">
        <f>B8+C8+D8+E8+F8+G8+H8+I8+J8+K8+L8+M8</f>
        <v>15.99</v>
      </c>
    </row>
    <row r="9" spans="1:14" ht="16">
      <c r="A9" s="39" t="s">
        <v>6</v>
      </c>
      <c r="B9" s="47">
        <v>2081.46</v>
      </c>
      <c r="C9" s="47">
        <v>3262.66</v>
      </c>
      <c r="D9" s="47">
        <v>5862.53</v>
      </c>
      <c r="E9" s="47">
        <v>5534.92</v>
      </c>
      <c r="F9" s="47">
        <v>29573.64</v>
      </c>
      <c r="G9" s="47">
        <v>27419.05</v>
      </c>
      <c r="H9" s="47">
        <v>10780.8</v>
      </c>
      <c r="I9" s="47">
        <v>6542.36</v>
      </c>
      <c r="J9" s="47">
        <v>5394.1</v>
      </c>
      <c r="K9" s="47">
        <v>11205.44</v>
      </c>
      <c r="L9" s="47">
        <v>11332.65</v>
      </c>
      <c r="M9" s="47">
        <v>8152.86</v>
      </c>
      <c r="N9" s="47">
        <f>B9+C9+D9+E9+F9+G9+H9+I9+J9+K9+L9+M9</f>
        <v>127142.47</v>
      </c>
    </row>
    <row r="10" spans="1:14" ht="16">
      <c r="A10" s="39" t="s">
        <v>7</v>
      </c>
      <c r="B10" s="47">
        <v>1238.38</v>
      </c>
      <c r="C10" s="47">
        <v>2561.76</v>
      </c>
      <c r="D10" s="47">
        <v>5072.37</v>
      </c>
      <c r="E10" s="47">
        <v>3752.26</v>
      </c>
      <c r="F10" s="47">
        <v>2688.6</v>
      </c>
      <c r="G10" s="47">
        <v>6688.21</v>
      </c>
      <c r="H10" s="47">
        <v>3500.28</v>
      </c>
      <c r="I10" s="47">
        <v>6503.5</v>
      </c>
      <c r="J10" s="47">
        <v>2698.98</v>
      </c>
      <c r="K10" s="47">
        <v>8856.54</v>
      </c>
      <c r="L10" s="47">
        <v>7749.53</v>
      </c>
      <c r="M10" s="47">
        <v>3893.24</v>
      </c>
      <c r="N10" s="47">
        <f>B10+C10+D10+E10+F10+G10+H10+I10+J10+K10+L10+M10</f>
        <v>55203.65</v>
      </c>
    </row>
    <row r="11" spans="1:14" ht="16">
      <c r="A11" s="39" t="s">
        <v>8</v>
      </c>
      <c r="B11" s="47">
        <v>1759.06</v>
      </c>
      <c r="C11" s="47">
        <v>3728.82</v>
      </c>
      <c r="D11" s="47">
        <v>6830.69</v>
      </c>
      <c r="E11" s="47">
        <v>7732.2</v>
      </c>
      <c r="F11" s="47">
        <v>33431.48</v>
      </c>
      <c r="G11" s="47">
        <v>35660.41</v>
      </c>
      <c r="H11" s="47">
        <v>14875.58</v>
      </c>
      <c r="I11" s="47">
        <v>9332.22</v>
      </c>
      <c r="J11" s="47">
        <v>8956.86</v>
      </c>
      <c r="K11" s="47">
        <v>15050.2</v>
      </c>
      <c r="L11" s="47">
        <v>13458.77</v>
      </c>
      <c r="M11" s="47">
        <v>15659.26</v>
      </c>
      <c r="N11" s="47">
        <f>B11+C11+D11+E11+F11+G11+H11+I11+J11+K11+L11+M11</f>
        <v>166475.55000000002</v>
      </c>
    </row>
    <row r="12" spans="1:14" ht="16">
      <c r="A12" s="39" t="s">
        <v>9</v>
      </c>
      <c r="B12" s="47">
        <v>1931.68</v>
      </c>
      <c r="C12" s="47">
        <v>1952.6</v>
      </c>
      <c r="D12" s="47">
        <v>3322.31</v>
      </c>
      <c r="E12" s="47">
        <v>3689.82</v>
      </c>
      <c r="F12" s="47">
        <v>2334.22</v>
      </c>
      <c r="G12" s="47">
        <v>3820.32</v>
      </c>
      <c r="H12" s="47">
        <v>2492.58</v>
      </c>
      <c r="I12" s="47">
        <v>4109.02</v>
      </c>
      <c r="J12" s="47">
        <v>1481.44</v>
      </c>
      <c r="K12" s="47">
        <v>8361.4</v>
      </c>
      <c r="L12" s="47">
        <v>7695.35</v>
      </c>
      <c r="M12" s="47">
        <v>2722.74</v>
      </c>
      <c r="N12" s="47">
        <f>B12+C12+D12+E12+F12+G12+H12+I12+J12+K12+L12+M12</f>
        <v>43913.479999999996</v>
      </c>
    </row>
    <row r="13" spans="1:14" ht="16">
      <c r="A13" s="39" t="s">
        <v>10</v>
      </c>
      <c r="B13" s="46"/>
      <c r="C13" s="46"/>
      <c r="D13" s="47">
        <v>591.66</v>
      </c>
      <c r="E13" s="47">
        <v>1541.58</v>
      </c>
      <c r="F13" s="47">
        <v>1089.9</v>
      </c>
      <c r="G13" s="47">
        <v>3258.2</v>
      </c>
      <c r="H13" s="47">
        <v>468.84</v>
      </c>
      <c r="I13" s="47">
        <v>481.4</v>
      </c>
      <c r="J13" s="47">
        <v>1076.64</v>
      </c>
      <c r="K13" s="47">
        <v>1935.88</v>
      </c>
      <c r="L13" s="47">
        <v>4357.42</v>
      </c>
      <c r="M13" s="47">
        <v>2756.06</v>
      </c>
      <c r="N13" s="47">
        <f>B13+C13+D13+E13+F13+G13+H13+I13+J13+K13+L13+M13</f>
        <v>17557.579999999998</v>
      </c>
    </row>
    <row r="14" spans="1:14" ht="16">
      <c r="A14" s="39" t="s">
        <v>11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7">
        <v>1704.2</v>
      </c>
      <c r="M14" s="47">
        <v>4179.88</v>
      </c>
      <c r="N14" s="47">
        <f>B14+C14+D14+E14+F14+G14+H14+I14+J14+K14+L14+M14</f>
        <v>5884.08</v>
      </c>
    </row>
    <row r="15" spans="1:14" ht="16">
      <c r="A15" s="40" t="s">
        <v>12</v>
      </c>
      <c r="B15" s="48">
        <f>B8+B9+B10+B11+B12+B13+B14</f>
        <v>7010.58</v>
      </c>
      <c r="C15" s="48">
        <f>C8+C9+C10+C11+C12+C13+C14</f>
        <v>11505.84</v>
      </c>
      <c r="D15" s="48">
        <f>D8+D9+D10+D11+D12+D13+D14</f>
        <v>21679.56</v>
      </c>
      <c r="E15" s="48">
        <f>E8+E9+E10+E11+E12+E13+E14</f>
        <v>22250.78</v>
      </c>
      <c r="F15" s="48">
        <f>F8+F9+F10+F11+F12+F13+F14</f>
        <v>69117.84</v>
      </c>
      <c r="G15" s="48">
        <f>G8+G9+G10+G11+G12+G13+G14</f>
        <v>76846.19000000002</v>
      </c>
      <c r="H15" s="48">
        <f>H8+H9+H10+H11+H12+H13+H14</f>
        <v>32134.070000000003</v>
      </c>
      <c r="I15" s="48">
        <f>I8+I9+I10+I11+I12+I13+I14</f>
        <v>26968.500000000004</v>
      </c>
      <c r="J15" s="48">
        <f>J8+J9+J10+J11+J12+J13+J14</f>
        <v>19608.02</v>
      </c>
      <c r="K15" s="48">
        <f>K8+K9+K10+K11+K12+K13+K14</f>
        <v>45409.46000000001</v>
      </c>
      <c r="L15" s="48">
        <f>L8+L9+L10+L11+L12+L13+L14</f>
        <v>46297.92</v>
      </c>
      <c r="M15" s="48">
        <f>M8+M9+M10+M11+M12+M13+M14</f>
        <v>37364.03999999999</v>
      </c>
      <c r="N15" s="49">
        <f>B15+C15+D15+E15+F15+G15+H15+I15+J15+K15+L15+M15</f>
        <v>416192.8</v>
      </c>
    </row>
    <row r="16" spans="1:14" ht="16">
      <c r="A16" s="38" t="s">
        <v>13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14" ht="16">
      <c r="A17" s="39" t="s">
        <v>14</v>
      </c>
      <c r="B17" s="47">
        <v>829.32</v>
      </c>
      <c r="C17" s="47">
        <v>1004.52</v>
      </c>
      <c r="D17" s="47">
        <v>1271.64</v>
      </c>
      <c r="E17" s="47">
        <v>354.12</v>
      </c>
      <c r="F17" s="47">
        <v>607.68</v>
      </c>
      <c r="G17" s="47">
        <v>2048.48</v>
      </c>
      <c r="H17" s="47">
        <v>1307.52</v>
      </c>
      <c r="I17" s="47">
        <v>212.88</v>
      </c>
      <c r="J17" s="47">
        <v>1042.88</v>
      </c>
      <c r="K17" s="47">
        <v>3906.38</v>
      </c>
      <c r="L17" s="47">
        <v>1022.8</v>
      </c>
      <c r="M17" s="47">
        <v>632.4</v>
      </c>
      <c r="N17" s="47">
        <f>B17+C17+D17+E17+F17+G17+H17+I17+J17+K17+L17+M17</f>
        <v>14240.62</v>
      </c>
    </row>
    <row r="18" spans="1:14" ht="16">
      <c r="A18" s="39" t="s">
        <v>15</v>
      </c>
      <c r="B18" s="47">
        <v>774.84</v>
      </c>
      <c r="C18" s="47">
        <v>841.08</v>
      </c>
      <c r="D18" s="47">
        <v>812.04</v>
      </c>
      <c r="E18" s="47">
        <v>217.92</v>
      </c>
      <c r="F18" s="47">
        <v>217.92</v>
      </c>
      <c r="G18" s="47">
        <v>5010.08</v>
      </c>
      <c r="H18" s="47">
        <v>1143.6</v>
      </c>
      <c r="I18" s="47">
        <v>1880.32</v>
      </c>
      <c r="J18" s="47">
        <v>552.56</v>
      </c>
      <c r="K18" s="47">
        <v>847.66</v>
      </c>
      <c r="L18" s="47">
        <v>746.28</v>
      </c>
      <c r="M18" s="47">
        <v>252.08</v>
      </c>
      <c r="N18" s="47">
        <f>B18+C18+D18+E18+F18+G18+H18+I18+J18+K18+L18+M18</f>
        <v>13296.38</v>
      </c>
    </row>
    <row r="19" spans="1:14" ht="16">
      <c r="A19" s="40" t="s">
        <v>16</v>
      </c>
      <c r="B19" s="48">
        <f>B16+B17+B18</f>
        <v>1604.16</v>
      </c>
      <c r="C19" s="48">
        <f>C16+C17+C18</f>
        <v>1845.6</v>
      </c>
      <c r="D19" s="48">
        <f>D16+D17+D18</f>
        <v>2083.6800000000003</v>
      </c>
      <c r="E19" s="48">
        <f>E16+E17+E18</f>
        <v>572.04</v>
      </c>
      <c r="F19" s="48">
        <f>F16+F17+F18</f>
        <v>825.5999999999999</v>
      </c>
      <c r="G19" s="48">
        <f>G16+G17+G18</f>
        <v>7058.5599999999995</v>
      </c>
      <c r="H19" s="48">
        <f>H16+H17+H18</f>
        <v>2451.12</v>
      </c>
      <c r="I19" s="48">
        <f>I16+I17+I18</f>
        <v>2093.2</v>
      </c>
      <c r="J19" s="48">
        <f>J16+J17+J18</f>
        <v>1595.44</v>
      </c>
      <c r="K19" s="48">
        <f>K16+K17+K18</f>
        <v>4754.04</v>
      </c>
      <c r="L19" s="48">
        <f>L16+L17+L18</f>
        <v>1769.08</v>
      </c>
      <c r="M19" s="48">
        <f>M16+M17+M18</f>
        <v>884.48</v>
      </c>
      <c r="N19" s="49">
        <f>B19+C19+D19+E19+F19+G19+H19+I19+J19+K19+L19+M19</f>
        <v>27536.999999999996</v>
      </c>
    </row>
    <row r="20" spans="1:14" ht="16">
      <c r="A20" s="38" t="s">
        <v>17</v>
      </c>
      <c r="B20" s="47">
        <v>-1.92</v>
      </c>
      <c r="C20" s="47">
        <v>-5.71</v>
      </c>
      <c r="D20" s="46"/>
      <c r="E20" s="47">
        <v>198.4</v>
      </c>
      <c r="F20" s="51">
        <v>0</v>
      </c>
      <c r="G20" s="47">
        <v>255.0</v>
      </c>
      <c r="H20" s="46"/>
      <c r="I20" s="46"/>
      <c r="J20" s="46"/>
      <c r="K20" s="46"/>
      <c r="L20" s="47">
        <v>-92.77</v>
      </c>
      <c r="M20" s="46"/>
      <c r="N20" s="47">
        <f>B20+C20+D20+E20+F20+G20+H20+I20+J20+K20+L20+M20</f>
        <v>353.0</v>
      </c>
    </row>
    <row r="21" spans="1:14" ht="16">
      <c r="A21" s="38" t="s">
        <v>18</v>
      </c>
      <c r="B21" s="47">
        <v>1761.78</v>
      </c>
      <c r="C21" s="47">
        <v>1899.95</v>
      </c>
      <c r="D21" s="47">
        <v>1565.2</v>
      </c>
      <c r="E21" s="47">
        <v>3690.81</v>
      </c>
      <c r="F21" s="47">
        <v>7632.44</v>
      </c>
      <c r="G21" s="47">
        <v>2428.73</v>
      </c>
      <c r="H21" s="47">
        <v>400.05</v>
      </c>
      <c r="I21" s="47">
        <v>4193.54</v>
      </c>
      <c r="J21" s="47">
        <v>2827.86</v>
      </c>
      <c r="K21" s="47">
        <v>2646.44</v>
      </c>
      <c r="L21" s="47">
        <v>4887.93</v>
      </c>
      <c r="M21" s="47">
        <v>16429.67</v>
      </c>
      <c r="N21" s="47">
        <f>B21+C21+D21+E21+F21+G21+H21+I21+J21+K21+L21+M21</f>
        <v>50364.399999999994</v>
      </c>
    </row>
    <row r="22" spans="1:14" ht="16">
      <c r="A22" s="39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>
        <v>-5.19</v>
      </c>
      <c r="N22" s="47">
        <f>B22+C22+D22+E22+F22+G22+H22+I22+J22+K22+L22+M22</f>
        <v>-5.19</v>
      </c>
    </row>
    <row r="23" spans="1:14" ht="16">
      <c r="A23" s="40" t="s">
        <v>20</v>
      </c>
      <c r="B23" s="48">
        <f>B21+B22</f>
        <v>1761.78</v>
      </c>
      <c r="C23" s="48">
        <f>C21+C22</f>
        <v>1899.95</v>
      </c>
      <c r="D23" s="48">
        <f>D21+D22</f>
        <v>1565.2</v>
      </c>
      <c r="E23" s="48">
        <f>E21+E22</f>
        <v>3690.81</v>
      </c>
      <c r="F23" s="48">
        <f>F21+F22</f>
        <v>7632.44</v>
      </c>
      <c r="G23" s="48">
        <f>G21+G22</f>
        <v>2428.73</v>
      </c>
      <c r="H23" s="48">
        <f>H21+H22</f>
        <v>400.05</v>
      </c>
      <c r="I23" s="48">
        <f>I21+I22</f>
        <v>4193.54</v>
      </c>
      <c r="J23" s="48">
        <f>J21+J22</f>
        <v>2827.86</v>
      </c>
      <c r="K23" s="48">
        <f>K21+K22</f>
        <v>2646.44</v>
      </c>
      <c r="L23" s="48">
        <f>L21+L22</f>
        <v>4887.93</v>
      </c>
      <c r="M23" s="48">
        <f>M21+M22</f>
        <v>16424.48</v>
      </c>
      <c r="N23" s="49">
        <f>B23+C23+D23+E23+F23+G23+H23+I23+J23+K23+L23+M23</f>
        <v>50359.20999999999</v>
      </c>
    </row>
    <row r="24" spans="1:14" ht="16">
      <c r="A24" s="38" t="s">
        <v>21</v>
      </c>
      <c r="B24" s="47">
        <v>1273.02</v>
      </c>
      <c r="C24" s="47">
        <v>2325.08</v>
      </c>
      <c r="D24" s="47">
        <v>3089.56</v>
      </c>
      <c r="E24" s="47">
        <v>2251.07</v>
      </c>
      <c r="F24" s="47">
        <v>2232.19</v>
      </c>
      <c r="G24" s="47">
        <v>2616.96</v>
      </c>
      <c r="H24" s="47">
        <v>1898.46</v>
      </c>
      <c r="I24" s="47">
        <v>2118.25</v>
      </c>
      <c r="J24" s="47">
        <v>2263.89</v>
      </c>
      <c r="K24" s="47">
        <v>1967.5</v>
      </c>
      <c r="L24" s="47">
        <v>6887.11</v>
      </c>
      <c r="M24" s="47">
        <v>5766.56</v>
      </c>
      <c r="N24" s="47">
        <f>B24+C24+D24+E24+F24+G24+H24+I24+J24+K24+L24+M24</f>
        <v>34689.65</v>
      </c>
    </row>
    <row r="25" spans="1:14" ht="16">
      <c r="A25" s="41" t="s">
        <v>22</v>
      </c>
      <c r="B25" s="48">
        <f>B7+B15+B19+B20+B23+B24</f>
        <v>11647.62</v>
      </c>
      <c r="C25" s="48">
        <f>C7+C15+C19+C20+C23+C24</f>
        <v>17570.760000000002</v>
      </c>
      <c r="D25" s="48">
        <f>D7+D15+D19+D20+D23+D24</f>
        <v>28418.000000000004</v>
      </c>
      <c r="E25" s="48">
        <f>E7+E15+E19+E20+E23+E24</f>
        <v>28963.100000000002</v>
      </c>
      <c r="F25" s="48">
        <f>F7+F15+F19+F20+F23+F24</f>
        <v>79808.07</v>
      </c>
      <c r="G25" s="48">
        <f>G7+G15+G19+G20+G23+G24</f>
        <v>89205.44000000002</v>
      </c>
      <c r="H25" s="48">
        <f>H7+H15+H19+H20+H23+H24</f>
        <v>36883.700000000004</v>
      </c>
      <c r="I25" s="48">
        <f>I7+I15+I19+I20+I23+I24</f>
        <v>35373.490000000005</v>
      </c>
      <c r="J25" s="48">
        <f>J7+J15+J19+J20+J23+J24</f>
        <v>26295.21</v>
      </c>
      <c r="K25" s="48">
        <f>K7+K15+K19+K20+K23+K24</f>
        <v>54777.44000000001</v>
      </c>
      <c r="L25" s="48">
        <f>L7+L15+L19+L20+L23+L24</f>
        <v>59749.270000000004</v>
      </c>
      <c r="M25" s="48">
        <f>M7+M15+M19+M20+M23+M24</f>
        <v>60439.56</v>
      </c>
      <c r="N25" s="49">
        <f>B25+C25+D25+E25+F25+G25+H25+I25+J25+K25+L25+M25</f>
        <v>529131.6600000001</v>
      </c>
    </row>
    <row r="26" spans="1:14" ht="16">
      <c r="A26" s="37" t="s">
        <v>23</v>
      </c>
      <c r="B26" s="46"/>
      <c r="C26" s="46"/>
      <c r="D26" s="46"/>
      <c r="E26" s="46"/>
      <c r="F26" s="46"/>
      <c r="G26" s="47">
        <v>0.06</v>
      </c>
      <c r="H26" s="46"/>
      <c r="I26" s="46"/>
      <c r="J26" s="46"/>
      <c r="K26" s="46"/>
      <c r="L26" s="46"/>
      <c r="M26" s="46"/>
      <c r="N26" s="47">
        <f>B26+C26+D26+E26+F26+G26+H26+I26+J26+K26+L26+M26</f>
        <v>0.06</v>
      </c>
    </row>
    <row r="27" spans="1:14" ht="16">
      <c r="A27" s="37" t="s">
        <v>24</v>
      </c>
      <c r="B27" s="46"/>
      <c r="C27" s="46"/>
      <c r="D27" s="47">
        <v>101.88</v>
      </c>
      <c r="E27" s="46"/>
      <c r="F27" s="46"/>
      <c r="G27" s="46"/>
      <c r="H27" s="46"/>
      <c r="I27" s="51">
        <v>0</v>
      </c>
      <c r="J27" s="47">
        <v>7.0</v>
      </c>
      <c r="K27" s="46"/>
      <c r="L27" s="46"/>
      <c r="M27" s="46"/>
      <c r="N27" s="47">
        <f>B27+C27+D27+E27+F27+G27+H27+I27+J27+K27+L27+M27</f>
        <v>108.88</v>
      </c>
    </row>
    <row r="28" spans="1:14" ht="16">
      <c r="A28" s="42" t="s">
        <v>25</v>
      </c>
      <c r="B28" s="48">
        <f>B6+B25+B26+B27</f>
        <v>11647.62</v>
      </c>
      <c r="C28" s="48">
        <f>C6+C25+C26+C27</f>
        <v>17570.760000000002</v>
      </c>
      <c r="D28" s="48">
        <f>D6+D25+D26+D27</f>
        <v>28519.880000000005</v>
      </c>
      <c r="E28" s="48">
        <f>E6+E25+E26+E27</f>
        <v>28963.100000000002</v>
      </c>
      <c r="F28" s="48">
        <f>F6+F25+F26+F27</f>
        <v>79808.07</v>
      </c>
      <c r="G28" s="48">
        <f>G6+G25+G26+G27</f>
        <v>89205.50000000001</v>
      </c>
      <c r="H28" s="48">
        <f>H6+H25+H26+H27</f>
        <v>36883.700000000004</v>
      </c>
      <c r="I28" s="48">
        <f>I6+I25+I26+I27</f>
        <v>35373.490000000005</v>
      </c>
      <c r="J28" s="48">
        <f>J6+J25+J26+J27</f>
        <v>26302.21</v>
      </c>
      <c r="K28" s="48">
        <f>K6+K25+K26+K27</f>
        <v>54777.44000000001</v>
      </c>
      <c r="L28" s="48">
        <f>L6+L25+L26+L27</f>
        <v>59749.270000000004</v>
      </c>
      <c r="M28" s="48">
        <f>M6+M25+M26+M27</f>
        <v>60439.56</v>
      </c>
      <c r="N28" s="49">
        <f>B28+C28+D28+E28+F28+G28+H28+I28+J28+K28+L28+M28</f>
        <v>529240.6000000001</v>
      </c>
    </row>
    <row r="29" spans="1:13" ht="16">
      <c r="A29" s="36" t="s">
        <v>26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4" ht="16">
      <c r="A30" s="37" t="s">
        <v>27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1:14" ht="16">
      <c r="A31" s="38" t="s">
        <v>28</v>
      </c>
      <c r="B31" s="47">
        <v>1939.11</v>
      </c>
      <c r="C31" s="47">
        <v>1756.4</v>
      </c>
      <c r="D31" s="47">
        <v>1382.44</v>
      </c>
      <c r="E31" s="47">
        <v>3406.01</v>
      </c>
      <c r="F31" s="47">
        <v>1877.27</v>
      </c>
      <c r="G31" s="47">
        <v>2967.8</v>
      </c>
      <c r="H31" s="47">
        <v>3500.38</v>
      </c>
      <c r="I31" s="47">
        <v>1418.14</v>
      </c>
      <c r="J31" s="47">
        <v>6088.02</v>
      </c>
      <c r="K31" s="47">
        <v>2746.16</v>
      </c>
      <c r="L31" s="47">
        <v>2570.83</v>
      </c>
      <c r="M31" s="47">
        <v>5949.86</v>
      </c>
      <c r="N31" s="47">
        <f>B31+C31+D31+E31+F31+G31+H31+I31+J31+K31+L31+M31</f>
        <v>35602.420000000006</v>
      </c>
    </row>
    <row r="32" spans="1:14" ht="16">
      <c r="A32" s="38" t="s">
        <v>29</v>
      </c>
      <c r="B32" s="46"/>
      <c r="C32" s="46"/>
      <c r="D32" s="46"/>
      <c r="E32" s="46"/>
      <c r="F32" s="46"/>
      <c r="G32" s="47">
        <v>318.4</v>
      </c>
      <c r="H32" s="47">
        <v>141.66</v>
      </c>
      <c r="I32" s="47">
        <v>115.3</v>
      </c>
      <c r="J32" s="46"/>
      <c r="K32" s="46"/>
      <c r="L32" s="46"/>
      <c r="M32" s="46"/>
      <c r="N32" s="47">
        <f>B32+C32+D32+E32+F32+G32+H32+I32+J32+K32+L32+M32</f>
        <v>575.3599999999999</v>
      </c>
    </row>
    <row r="33" spans="1:14" ht="16">
      <c r="A33" s="38" t="s">
        <v>30</v>
      </c>
      <c r="B33" s="47">
        <v>266.35</v>
      </c>
      <c r="C33" s="47">
        <v>2092.26</v>
      </c>
      <c r="D33" s="47">
        <v>2534.27</v>
      </c>
      <c r="E33" s="47">
        <v>2256.06</v>
      </c>
      <c r="F33" s="47">
        <v>11536.13</v>
      </c>
      <c r="G33" s="47">
        <v>11005.78</v>
      </c>
      <c r="H33" s="47">
        <v>10606.57</v>
      </c>
      <c r="I33" s="47">
        <v>2591.2</v>
      </c>
      <c r="J33" s="47">
        <v>4541.72</v>
      </c>
      <c r="K33" s="47">
        <v>3191.56</v>
      </c>
      <c r="L33" s="47">
        <v>10316.74</v>
      </c>
      <c r="M33" s="47">
        <v>1792.37</v>
      </c>
      <c r="N33" s="47">
        <f>B33+C33+D33+E33+F33+G33+H33+I33+J33+K33+L33+M33</f>
        <v>62731.009999999995</v>
      </c>
    </row>
    <row r="34" spans="1:14" ht="16">
      <c r="A34" s="38" t="s">
        <v>31</v>
      </c>
      <c r="B34" s="47">
        <v>2101.44</v>
      </c>
      <c r="C34" s="47">
        <v>4205.29</v>
      </c>
      <c r="D34" s="47">
        <v>8906.97</v>
      </c>
      <c r="E34" s="47">
        <v>4624.74</v>
      </c>
      <c r="F34" s="47">
        <v>17059.55</v>
      </c>
      <c r="G34" s="47">
        <v>20530.31</v>
      </c>
      <c r="H34" s="47">
        <v>12940.65</v>
      </c>
      <c r="I34" s="47">
        <v>11290.15</v>
      </c>
      <c r="J34" s="47">
        <v>8403.43</v>
      </c>
      <c r="K34" s="47">
        <v>4279.75</v>
      </c>
      <c r="L34" s="47">
        <v>23382.75</v>
      </c>
      <c r="M34" s="47">
        <v>7100.13</v>
      </c>
      <c r="N34" s="47">
        <f>B34+C34+D34+E34+F34+G34+H34+I34+J34+K34+L34+M34</f>
        <v>124825.16</v>
      </c>
    </row>
    <row r="35" spans="1:14" ht="16">
      <c r="A35" s="38" t="s">
        <v>32</v>
      </c>
      <c r="B35" s="47">
        <v>1159.87</v>
      </c>
      <c r="C35" s="47">
        <v>863.03</v>
      </c>
      <c r="D35" s="47">
        <v>4504.26</v>
      </c>
      <c r="E35" s="47">
        <v>2551.15</v>
      </c>
      <c r="F35" s="47">
        <v>5972.6</v>
      </c>
      <c r="G35" s="47">
        <v>8117.86</v>
      </c>
      <c r="H35" s="47">
        <v>5337.02</v>
      </c>
      <c r="I35" s="47">
        <v>2595.95</v>
      </c>
      <c r="J35" s="47">
        <v>141.54</v>
      </c>
      <c r="K35" s="47">
        <v>6560.33</v>
      </c>
      <c r="L35" s="47">
        <v>6273.18</v>
      </c>
      <c r="M35" s="47">
        <v>2510.32</v>
      </c>
      <c r="N35" s="47">
        <f>B35+C35+D35+E35+F35+G35+H35+I35+J35+K35+L35+M35</f>
        <v>46587.11</v>
      </c>
    </row>
    <row r="36" spans="1:14" ht="16">
      <c r="A36" s="38" t="s">
        <v>33</v>
      </c>
      <c r="B36" s="47">
        <v>95.87</v>
      </c>
      <c r="C36" s="47">
        <v>6.4</v>
      </c>
      <c r="D36" s="47">
        <v>691.68</v>
      </c>
      <c r="E36" s="47">
        <v>55.96</v>
      </c>
      <c r="F36" s="47">
        <v>1696.41</v>
      </c>
      <c r="G36" s="47">
        <v>1842.38</v>
      </c>
      <c r="H36" s="47">
        <v>259.78</v>
      </c>
      <c r="I36" s="47">
        <v>642.38</v>
      </c>
      <c r="J36" s="47">
        <v>1119.82</v>
      </c>
      <c r="K36" s="47">
        <v>407.82</v>
      </c>
      <c r="L36" s="47">
        <v>405.26</v>
      </c>
      <c r="M36" s="47">
        <v>894.96</v>
      </c>
      <c r="N36" s="47">
        <f>B36+C36+D36+E36+F36+G36+H36+I36+J36+K36+L36+M36</f>
        <v>8118.72</v>
      </c>
    </row>
    <row r="37" spans="1:14" ht="16">
      <c r="A37" s="38" t="s">
        <v>34</v>
      </c>
      <c r="B37" s="47">
        <v>136.98</v>
      </c>
      <c r="C37" s="47">
        <v>88.2</v>
      </c>
      <c r="D37" s="47">
        <v>125.28</v>
      </c>
      <c r="E37" s="47">
        <v>91.84</v>
      </c>
      <c r="F37" s="47">
        <v>252.99</v>
      </c>
      <c r="G37" s="47">
        <v>354.84</v>
      </c>
      <c r="H37" s="47">
        <v>129.25</v>
      </c>
      <c r="I37" s="47">
        <v>307.07</v>
      </c>
      <c r="J37" s="47">
        <v>358.01</v>
      </c>
      <c r="K37" s="47">
        <v>130.69</v>
      </c>
      <c r="L37" s="47">
        <v>276.04</v>
      </c>
      <c r="M37" s="47">
        <v>691.68</v>
      </c>
      <c r="N37" s="47">
        <f>B37+C37+D37+E37+F37+G37+H37+I37+J37+K37+L37+M37</f>
        <v>2942.87</v>
      </c>
    </row>
    <row r="38" spans="1:14" ht="16">
      <c r="A38" s="41" t="s">
        <v>35</v>
      </c>
      <c r="B38" s="48">
        <f>B30+B31+B32+B33+B34+B35+B36+B37</f>
        <v>5699.619999999999</v>
      </c>
      <c r="C38" s="48">
        <f>C30+C31+C32+C33+C34+C35+C36+C37</f>
        <v>9011.580000000002</v>
      </c>
      <c r="D38" s="48">
        <f>D30+D31+D32+D33+D34+D35+D36+D37</f>
        <v>18144.9</v>
      </c>
      <c r="E38" s="48">
        <f>E30+E31+E32+E33+E34+E35+E36+E37</f>
        <v>12985.759999999998</v>
      </c>
      <c r="F38" s="48">
        <f>F30+F31+F32+F33+F34+F35+F36+F37</f>
        <v>38394.95</v>
      </c>
      <c r="G38" s="48">
        <f>G30+G31+G32+G33+G34+G35+G36+G37</f>
        <v>45137.369999999995</v>
      </c>
      <c r="H38" s="48">
        <f>H30+H31+H32+H33+H34+H35+H36+H37</f>
        <v>32915.310000000005</v>
      </c>
      <c r="I38" s="48">
        <f>I30+I31+I32+I33+I34+I35+I36+I37</f>
        <v>18960.19</v>
      </c>
      <c r="J38" s="48">
        <f>J30+J31+J32+J33+J34+J35+J36+J37</f>
        <v>20652.54</v>
      </c>
      <c r="K38" s="48">
        <f>K30+K31+K32+K33+K34+K35+K36+K37</f>
        <v>17316.309999999998</v>
      </c>
      <c r="L38" s="48">
        <f>L30+L31+L32+L33+L34+L35+L36+L37</f>
        <v>43224.8</v>
      </c>
      <c r="M38" s="48">
        <f>M30+M31+M32+M33+M34+M35+M36+M37</f>
        <v>18939.32</v>
      </c>
      <c r="N38" s="49">
        <f>B38+C38+D38+E38+F38+G38+H38+I38+J38+K38+L38+M38</f>
        <v>281382.65</v>
      </c>
    </row>
    <row r="39" spans="1:14" ht="16">
      <c r="A39" s="42" t="s">
        <v>36</v>
      </c>
      <c r="B39" s="48">
        <f>B29+B38</f>
        <v>5699.619999999999</v>
      </c>
      <c r="C39" s="48">
        <f>C29+C38</f>
        <v>9011.580000000002</v>
      </c>
      <c r="D39" s="48">
        <f>D29+D38</f>
        <v>18144.9</v>
      </c>
      <c r="E39" s="48">
        <f>E29+E38</f>
        <v>12985.759999999998</v>
      </c>
      <c r="F39" s="48">
        <f>F29+F38</f>
        <v>38394.95</v>
      </c>
      <c r="G39" s="48">
        <f>G29+G38</f>
        <v>45137.369999999995</v>
      </c>
      <c r="H39" s="48">
        <f>H29+H38</f>
        <v>32915.310000000005</v>
      </c>
      <c r="I39" s="48">
        <f>I29+I38</f>
        <v>18960.19</v>
      </c>
      <c r="J39" s="48">
        <f>J29+J38</f>
        <v>20652.54</v>
      </c>
      <c r="K39" s="48">
        <f>K29+K38</f>
        <v>17316.309999999998</v>
      </c>
      <c r="L39" s="48">
        <f>L29+L38</f>
        <v>43224.8</v>
      </c>
      <c r="M39" s="48">
        <f>M29+M38</f>
        <v>18939.32</v>
      </c>
      <c r="N39" s="49">
        <f>B39+C39+D39+E39+F39+G39+H39+I39+J39+K39+L39+M39</f>
        <v>281382.65</v>
      </c>
    </row>
    <row r="40" spans="1:14" ht="16">
      <c r="A40" s="42" t="s">
        <v>37</v>
      </c>
      <c r="B40" s="48">
        <f>B28-B39</f>
        <v>5948.000000000002</v>
      </c>
      <c r="C40" s="48">
        <f>C28-C39</f>
        <v>8559.18</v>
      </c>
      <c r="D40" s="48">
        <f>D28-D39</f>
        <v>10374.980000000003</v>
      </c>
      <c r="E40" s="48">
        <f>E28-E39</f>
        <v>15977.340000000004</v>
      </c>
      <c r="F40" s="48">
        <f>F28-F39</f>
        <v>41413.12000000001</v>
      </c>
      <c r="G40" s="48">
        <f>G28-G39</f>
        <v>44068.13000000002</v>
      </c>
      <c r="H40" s="48">
        <f>H28-H39</f>
        <v>3968.3899999999994</v>
      </c>
      <c r="I40" s="48">
        <f>I28-I39</f>
        <v>16413.300000000007</v>
      </c>
      <c r="J40" s="48">
        <f>J28-J39</f>
        <v>5649.669999999998</v>
      </c>
      <c r="K40" s="48">
        <f>K28-K39</f>
        <v>37461.13000000001</v>
      </c>
      <c r="L40" s="48">
        <f>L28-L39</f>
        <v>16524.47</v>
      </c>
      <c r="M40" s="48">
        <f>M28-M39</f>
        <v>41500.24</v>
      </c>
      <c r="N40" s="49">
        <f>B40+C40+D40+E40+F40+G40+H40+I40+J40+K40+L40+M40</f>
        <v>247857.95000000004</v>
      </c>
    </row>
    <row r="41" spans="1:13" ht="16">
      <c r="A41" s="36" t="s">
        <v>38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4" ht="16">
      <c r="A42" s="37" t="s">
        <v>39</v>
      </c>
      <c r="B42" s="47">
        <v>750.0</v>
      </c>
      <c r="C42" s="46"/>
      <c r="D42" s="47">
        <v>500.0</v>
      </c>
      <c r="E42" s="46"/>
      <c r="F42" s="46"/>
      <c r="G42" s="47">
        <v>514.95</v>
      </c>
      <c r="H42" s="47">
        <v>461.0</v>
      </c>
      <c r="I42" s="47">
        <v>299.0</v>
      </c>
      <c r="J42" s="47">
        <v>43.43</v>
      </c>
      <c r="K42" s="47">
        <v>1.5</v>
      </c>
      <c r="L42" s="47">
        <v>117.18</v>
      </c>
      <c r="M42" s="47">
        <v>119.18</v>
      </c>
      <c r="N42" s="47">
        <f>B42+C42+D42+E42+F42+G42+H42+I42+J42+K42+L42+M42</f>
        <v>2806.2399999999993</v>
      </c>
    </row>
    <row r="43" spans="1:14" ht="16">
      <c r="A43" s="38" t="s">
        <v>40</v>
      </c>
      <c r="B43" s="46"/>
      <c r="C43" s="46"/>
      <c r="D43" s="46"/>
      <c r="E43" s="47">
        <v>65.0</v>
      </c>
      <c r="F43" s="47">
        <v>65.0</v>
      </c>
      <c r="G43" s="46"/>
      <c r="H43" s="46"/>
      <c r="I43" s="46"/>
      <c r="J43" s="47">
        <v>20.03</v>
      </c>
      <c r="K43" s="47">
        <v>1015.52</v>
      </c>
      <c r="L43" s="46"/>
      <c r="M43" s="46"/>
      <c r="N43" s="47">
        <f>B43+C43+D43+E43+F43+G43+H43+I43+J43+K43+L43+M43</f>
        <v>1165.55</v>
      </c>
    </row>
    <row r="44" spans="1:14" ht="16">
      <c r="A44" s="38" t="s">
        <v>41</v>
      </c>
      <c r="B44" s="47">
        <v>672.91</v>
      </c>
      <c r="C44" s="47">
        <v>331.2</v>
      </c>
      <c r="D44" s="47">
        <v>381.82</v>
      </c>
      <c r="E44" s="47">
        <v>50.0</v>
      </c>
      <c r="F44" s="47">
        <v>175.24</v>
      </c>
      <c r="G44" s="47">
        <v>121.55</v>
      </c>
      <c r="H44" s="47">
        <v>180.53</v>
      </c>
      <c r="I44" s="47">
        <v>454.3</v>
      </c>
      <c r="J44" s="47">
        <v>679.29</v>
      </c>
      <c r="K44" s="47">
        <v>504.43</v>
      </c>
      <c r="L44" s="47">
        <v>651.97</v>
      </c>
      <c r="M44" s="47">
        <v>975.31</v>
      </c>
      <c r="N44" s="47">
        <f>B44+C44+D44+E44+F44+G44+H44+I44+J44+K44+L44+M44</f>
        <v>5178.549999999999</v>
      </c>
    </row>
    <row r="45" spans="1:14" ht="16">
      <c r="A45" s="38" t="s">
        <v>42</v>
      </c>
      <c r="B45" s="47">
        <v>894.13</v>
      </c>
      <c r="C45" s="47">
        <v>136.91</v>
      </c>
      <c r="D45" s="47">
        <v>16.0</v>
      </c>
      <c r="E45" s="47">
        <v>378.32</v>
      </c>
      <c r="F45" s="47">
        <v>706.18</v>
      </c>
      <c r="G45" s="47">
        <v>3563.59</v>
      </c>
      <c r="H45" s="47">
        <v>732.64</v>
      </c>
      <c r="I45" s="47">
        <v>3705.36</v>
      </c>
      <c r="J45" s="47">
        <v>697.16</v>
      </c>
      <c r="K45" s="47">
        <v>1293.29</v>
      </c>
      <c r="L45" s="47">
        <v>1627.5</v>
      </c>
      <c r="M45" s="47">
        <v>693.76</v>
      </c>
      <c r="N45" s="47">
        <f>B45+C45+D45+E45+F45+G45+H45+I45+J45+K45+L45+M45</f>
        <v>14444.840000000002</v>
      </c>
    </row>
    <row r="46" spans="1:14" ht="16">
      <c r="A46" s="38" t="s">
        <v>43</v>
      </c>
      <c r="B46" s="47">
        <v>438.59</v>
      </c>
      <c r="C46" s="47">
        <v>1314.21</v>
      </c>
      <c r="D46" s="47">
        <v>592.1</v>
      </c>
      <c r="E46" s="47">
        <v>230.43</v>
      </c>
      <c r="F46" s="47">
        <v>154.93</v>
      </c>
      <c r="G46" s="47">
        <v>193.08</v>
      </c>
      <c r="H46" s="47">
        <v>177.68</v>
      </c>
      <c r="I46" s="47">
        <v>78.13</v>
      </c>
      <c r="J46" s="47">
        <v>440.11</v>
      </c>
      <c r="K46" s="47">
        <v>243.94</v>
      </c>
      <c r="L46" s="47">
        <v>224.98</v>
      </c>
      <c r="M46" s="47">
        <v>745.39</v>
      </c>
      <c r="N46" s="47">
        <f>B46+C46+D46+E46+F46+G46+H46+I46+J46+K46+L46+M46</f>
        <v>4833.57</v>
      </c>
    </row>
    <row r="47" spans="1:14" ht="16">
      <c r="A47" s="38" t="s">
        <v>44</v>
      </c>
      <c r="B47" s="47">
        <v>803.93</v>
      </c>
      <c r="C47" s="47">
        <v>1032.82</v>
      </c>
      <c r="D47" s="47">
        <v>2392.63</v>
      </c>
      <c r="E47" s="47">
        <v>1071.31</v>
      </c>
      <c r="F47" s="47">
        <v>1301.33</v>
      </c>
      <c r="G47" s="47">
        <v>2486.14</v>
      </c>
      <c r="H47" s="47">
        <v>1240.16</v>
      </c>
      <c r="I47" s="47">
        <v>786.84</v>
      </c>
      <c r="J47" s="47">
        <v>2578.04</v>
      </c>
      <c r="K47" s="47">
        <v>6316.24</v>
      </c>
      <c r="L47" s="47">
        <v>1550.88</v>
      </c>
      <c r="M47" s="47">
        <v>2310.84</v>
      </c>
      <c r="N47" s="47">
        <f>B47+C47+D47+E47+F47+G47+H47+I47+J47+K47+L47+M47</f>
        <v>23871.160000000003</v>
      </c>
    </row>
    <row r="48" spans="1:14" ht="16">
      <c r="A48" s="38" t="s">
        <v>45</v>
      </c>
      <c r="B48" s="47">
        <v>403.95</v>
      </c>
      <c r="C48" s="47">
        <v>383.61</v>
      </c>
      <c r="D48" s="47">
        <v>351.41</v>
      </c>
      <c r="E48" s="47">
        <v>1076.21</v>
      </c>
      <c r="F48" s="47">
        <v>329.0</v>
      </c>
      <c r="G48" s="47">
        <v>575.97</v>
      </c>
      <c r="H48" s="47">
        <v>537.2</v>
      </c>
      <c r="I48" s="47">
        <v>3834.22</v>
      </c>
      <c r="J48" s="47">
        <v>310.76</v>
      </c>
      <c r="K48" s="47">
        <v>749.3</v>
      </c>
      <c r="L48" s="47">
        <v>684.44</v>
      </c>
      <c r="M48" s="47">
        <v>450.77</v>
      </c>
      <c r="N48" s="47">
        <f>B48+C48+D48+E48+F48+G48+H48+I48+J48+K48+L48+M48</f>
        <v>9686.84</v>
      </c>
    </row>
    <row r="49" spans="1:14" ht="16">
      <c r="A49" s="39" t="s">
        <v>46</v>
      </c>
      <c r="B49" s="46"/>
      <c r="C49" s="46"/>
      <c r="D49" s="46"/>
      <c r="E49" s="46"/>
      <c r="F49" s="46"/>
      <c r="G49" s="46"/>
      <c r="H49" s="46"/>
      <c r="I49" s="47">
        <v>73.7</v>
      </c>
      <c r="J49" s="46"/>
      <c r="K49" s="46"/>
      <c r="L49" s="47">
        <v>251.9</v>
      </c>
      <c r="M49" s="46"/>
      <c r="N49" s="47">
        <f>B49+C49+D49+E49+F49+G49+H49+I49+J49+K49+L49+M49</f>
        <v>325.6</v>
      </c>
    </row>
    <row r="50" spans="1:14" ht="16">
      <c r="A50" s="40" t="s">
        <v>47</v>
      </c>
      <c r="B50" s="48">
        <f>B48+B49</f>
        <v>403.95</v>
      </c>
      <c r="C50" s="48">
        <f>C48+C49</f>
        <v>383.61</v>
      </c>
      <c r="D50" s="48">
        <f>D48+D49</f>
        <v>351.41</v>
      </c>
      <c r="E50" s="48">
        <f>E48+E49</f>
        <v>1076.21</v>
      </c>
      <c r="F50" s="48">
        <f>F48+F49</f>
        <v>329.0</v>
      </c>
      <c r="G50" s="48">
        <f>G48+G49</f>
        <v>575.97</v>
      </c>
      <c r="H50" s="48">
        <f>H48+H49</f>
        <v>537.2</v>
      </c>
      <c r="I50" s="48">
        <f>I48+I49</f>
        <v>3907.9199999999996</v>
      </c>
      <c r="J50" s="48">
        <f>J48+J49</f>
        <v>310.76</v>
      </c>
      <c r="K50" s="48">
        <f>K48+K49</f>
        <v>749.3</v>
      </c>
      <c r="L50" s="48">
        <f>L48+L49</f>
        <v>936.34</v>
      </c>
      <c r="M50" s="48">
        <f>M48+M49</f>
        <v>450.77</v>
      </c>
      <c r="N50" s="49">
        <f>B50+C50+D50+E50+F50+G50+H50+I50+J50+K50+L50+M50</f>
        <v>10012.44</v>
      </c>
    </row>
    <row r="51" spans="1:14" ht="16">
      <c r="A51" s="38" t="s">
        <v>48</v>
      </c>
      <c r="B51" s="46"/>
      <c r="C51" s="46"/>
      <c r="D51" s="46"/>
      <c r="E51" s="46"/>
      <c r="F51" s="46"/>
      <c r="G51" s="46"/>
      <c r="H51" s="46"/>
      <c r="I51" s="46"/>
      <c r="J51" s="47">
        <v>799.0</v>
      </c>
      <c r="K51" s="47">
        <v>808.98</v>
      </c>
      <c r="L51" s="47">
        <v>764.2</v>
      </c>
      <c r="M51" s="47">
        <v>799.0</v>
      </c>
      <c r="N51" s="47">
        <f>B51+C51+D51+E51+F51+G51+H51+I51+J51+K51+L51+M51</f>
        <v>3171.1800000000003</v>
      </c>
    </row>
    <row r="52" spans="1:14" ht="16">
      <c r="A52" s="41" t="s">
        <v>49</v>
      </c>
      <c r="B52" s="48">
        <f>B42+B43+B44+B45+B46+B47+B50+B51</f>
        <v>3963.5099999999998</v>
      </c>
      <c r="C52" s="48">
        <f>C42+C43+C44+C45+C46+C47+C50+C51</f>
        <v>3198.7500000000005</v>
      </c>
      <c r="D52" s="48">
        <f>D42+D43+D44+D45+D46+D47+D50+D51</f>
        <v>4233.96</v>
      </c>
      <c r="E52" s="48">
        <f>E42+E43+E44+E45+E46+E47+E50+E51</f>
        <v>2871.27</v>
      </c>
      <c r="F52" s="48">
        <f>F42+F43+F44+F45+F46+F47+F50+F51</f>
        <v>2731.68</v>
      </c>
      <c r="G52" s="48">
        <f>G42+G43+G44+G45+G46+G47+G50+G51</f>
        <v>7455.28</v>
      </c>
      <c r="H52" s="48">
        <f>H42+H43+H44+H45+H46+H47+H50+H51</f>
        <v>3329.21</v>
      </c>
      <c r="I52" s="48">
        <f>I42+I43+I44+I45+I46+I47+I50+I51</f>
        <v>9231.55</v>
      </c>
      <c r="J52" s="48">
        <f>J42+J43+J44+J45+J46+J47+J50+J51</f>
        <v>5567.82</v>
      </c>
      <c r="K52" s="48">
        <f>K42+K43+K44+K45+K46+K47+K50+K51</f>
        <v>10933.199999999999</v>
      </c>
      <c r="L52" s="48">
        <f>L42+L43+L44+L45+L46+L47+L50+L51</f>
        <v>5873.05</v>
      </c>
      <c r="M52" s="48">
        <f>M42+M43+M44+M45+M46+M47+M50+M51</f>
        <v>6094.25</v>
      </c>
      <c r="N52" s="49">
        <f>B52+C52+D52+E52+F52+G52+H52+I52+J52+K52+L52+M52</f>
        <v>65483.53</v>
      </c>
    </row>
    <row r="53" spans="1:14" ht="16">
      <c r="A53" s="37" t="s">
        <v>50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spans="1:14" ht="16">
      <c r="A54" s="38" t="s">
        <v>51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spans="1:14" ht="16">
      <c r="A55" s="39" t="s">
        <v>52</v>
      </c>
      <c r="B55" s="47">
        <v>877.5</v>
      </c>
      <c r="C55" s="47">
        <v>850.0</v>
      </c>
      <c r="D55" s="47">
        <v>850.0</v>
      </c>
      <c r="E55" s="47">
        <v>850.0</v>
      </c>
      <c r="F55" s="47">
        <v>850.0</v>
      </c>
      <c r="G55" s="47">
        <v>850.0</v>
      </c>
      <c r="H55" s="47">
        <v>850.0</v>
      </c>
      <c r="I55" s="47">
        <v>850.0</v>
      </c>
      <c r="J55" s="47">
        <v>967.65</v>
      </c>
      <c r="K55" s="47">
        <v>3180.0</v>
      </c>
      <c r="L55" s="47">
        <v>-70.4</v>
      </c>
      <c r="M55" s="47">
        <v>1237.6</v>
      </c>
      <c r="N55" s="47">
        <f>B55+C55+D55+E55+F55+G55+H55+I55+J55+K55+L55+M55</f>
        <v>12142.35</v>
      </c>
    </row>
    <row r="56" spans="1:14" ht="16">
      <c r="A56" s="40" t="s">
        <v>53</v>
      </c>
      <c r="B56" s="48">
        <f>B54+B55</f>
        <v>877.5</v>
      </c>
      <c r="C56" s="48">
        <f>C54+C55</f>
        <v>850.0</v>
      </c>
      <c r="D56" s="48">
        <f>D54+D55</f>
        <v>850.0</v>
      </c>
      <c r="E56" s="48">
        <f>E54+E55</f>
        <v>850.0</v>
      </c>
      <c r="F56" s="48">
        <f>F54+F55</f>
        <v>850.0</v>
      </c>
      <c r="G56" s="48">
        <f>G54+G55</f>
        <v>850.0</v>
      </c>
      <c r="H56" s="48">
        <f>H54+H55</f>
        <v>850.0</v>
      </c>
      <c r="I56" s="48">
        <f>I54+I55</f>
        <v>850.0</v>
      </c>
      <c r="J56" s="48">
        <f>J54+J55</f>
        <v>967.65</v>
      </c>
      <c r="K56" s="48">
        <f>K54+K55</f>
        <v>3180.0</v>
      </c>
      <c r="L56" s="48">
        <f>L54+L55</f>
        <v>-70.4</v>
      </c>
      <c r="M56" s="48">
        <f>M54+M55</f>
        <v>1237.6</v>
      </c>
      <c r="N56" s="49">
        <f>B56+C56+D56+E56+F56+G56+H56+I56+J56+K56+L56+M56</f>
        <v>12142.35</v>
      </c>
    </row>
    <row r="57" spans="1:14" ht="16">
      <c r="A57" s="38" t="s">
        <v>54</v>
      </c>
      <c r="B57" s="46"/>
      <c r="C57" s="46"/>
      <c r="D57" s="47">
        <v>64.94</v>
      </c>
      <c r="E57" s="47">
        <v>41.12</v>
      </c>
      <c r="F57" s="47">
        <v>144.32</v>
      </c>
      <c r="G57" s="47">
        <v>936.31</v>
      </c>
      <c r="H57" s="47">
        <v>174.44</v>
      </c>
      <c r="I57" s="47">
        <v>133.95</v>
      </c>
      <c r="J57" s="47">
        <v>248.97</v>
      </c>
      <c r="K57" s="47">
        <v>195.33</v>
      </c>
      <c r="L57" s="47">
        <v>353.05</v>
      </c>
      <c r="M57" s="47">
        <v>280.36</v>
      </c>
      <c r="N57" s="47">
        <f>B57+C57+D57+E57+F57+G57+H57+I57+J57+K57+L57+M57</f>
        <v>2572.7900000000004</v>
      </c>
    </row>
    <row r="58" spans="1:14" ht="16">
      <c r="A58" s="39" t="s">
        <v>55</v>
      </c>
      <c r="B58" s="47">
        <v>140.36</v>
      </c>
      <c r="C58" s="47">
        <v>8.65</v>
      </c>
      <c r="D58" s="47">
        <v>158.03</v>
      </c>
      <c r="E58" s="47">
        <v>1371.72</v>
      </c>
      <c r="F58" s="47">
        <v>2106.16</v>
      </c>
      <c r="G58" s="47">
        <v>158.25</v>
      </c>
      <c r="H58" s="47">
        <v>26.36</v>
      </c>
      <c r="I58" s="47">
        <v>119.32</v>
      </c>
      <c r="J58" s="47">
        <v>116.41</v>
      </c>
      <c r="K58" s="47">
        <v>230.46</v>
      </c>
      <c r="L58" s="47">
        <v>528.38</v>
      </c>
      <c r="M58" s="47">
        <v>1284.57</v>
      </c>
      <c r="N58" s="47">
        <f>B58+C58+D58+E58+F58+G58+H58+I58+J58+K58+L58+M58</f>
        <v>6248.67</v>
      </c>
    </row>
    <row r="59" spans="1:14" ht="16">
      <c r="A59" s="40" t="s">
        <v>56</v>
      </c>
      <c r="B59" s="48">
        <f>B57+B58</f>
        <v>140.36</v>
      </c>
      <c r="C59" s="48">
        <f>C57+C58</f>
        <v>8.65</v>
      </c>
      <c r="D59" s="48">
        <f>D57+D58</f>
        <v>222.97</v>
      </c>
      <c r="E59" s="48">
        <f>E57+E58</f>
        <v>1412.84</v>
      </c>
      <c r="F59" s="48">
        <f>F57+F58</f>
        <v>2250.48</v>
      </c>
      <c r="G59" s="48">
        <f>G57+G58</f>
        <v>1094.56</v>
      </c>
      <c r="H59" s="48">
        <f>H57+H58</f>
        <v>200.8</v>
      </c>
      <c r="I59" s="48">
        <f>I57+I58</f>
        <v>253.26999999999998</v>
      </c>
      <c r="J59" s="48">
        <f>J57+J58</f>
        <v>365.38</v>
      </c>
      <c r="K59" s="48">
        <f>K57+K58</f>
        <v>425.79</v>
      </c>
      <c r="L59" s="48">
        <f>L57+L58</f>
        <v>881.4300000000001</v>
      </c>
      <c r="M59" s="48">
        <f>M57+M58</f>
        <v>1564.9299999999998</v>
      </c>
      <c r="N59" s="49">
        <f>B59+C59+D59+E59+F59+G59+H59+I59+J59+K59+L59+M59</f>
        <v>8821.460000000001</v>
      </c>
    </row>
    <row r="60" spans="1:14" ht="16">
      <c r="A60" s="38" t="s">
        <v>57</v>
      </c>
      <c r="B60" s="47">
        <v>372.16</v>
      </c>
      <c r="C60" s="47">
        <v>117.6</v>
      </c>
      <c r="D60" s="47">
        <v>117.6</v>
      </c>
      <c r="E60" s="46"/>
      <c r="F60" s="47">
        <v>244.75</v>
      </c>
      <c r="G60" s="47">
        <v>117.6</v>
      </c>
      <c r="H60" s="47">
        <v>117.6</v>
      </c>
      <c r="I60" s="47">
        <v>117.6</v>
      </c>
      <c r="J60" s="47">
        <v>117.6</v>
      </c>
      <c r="K60" s="46"/>
      <c r="L60" s="47">
        <v>216.87</v>
      </c>
      <c r="M60" s="47">
        <v>156.21</v>
      </c>
      <c r="N60" s="47">
        <f>B60+C60+D60+E60+F60+G60+H60+I60+J60+K60+L60+M60</f>
        <v>1695.5899999999997</v>
      </c>
    </row>
    <row r="61" spans="1:14" ht="16">
      <c r="A61" s="38" t="s">
        <v>58</v>
      </c>
      <c r="B61" s="46"/>
      <c r="C61" s="46"/>
      <c r="D61" s="47">
        <v>52.0</v>
      </c>
      <c r="E61" s="46"/>
      <c r="F61" s="46"/>
      <c r="G61" s="46"/>
      <c r="H61" s="46"/>
      <c r="I61" s="46"/>
      <c r="J61" s="46"/>
      <c r="K61" s="46"/>
      <c r="L61" s="46"/>
      <c r="M61" s="46"/>
      <c r="N61" s="47">
        <f>B61+C61+D61+E61+F61+G61+H61+I61+J61+K61+L61+M61</f>
        <v>52.0</v>
      </c>
    </row>
    <row r="62" spans="1:14" ht="16">
      <c r="A62" s="39" t="s">
        <v>59</v>
      </c>
      <c r="B62" s="46"/>
      <c r="C62" s="47">
        <v>15.0</v>
      </c>
      <c r="D62" s="47">
        <v>5.2</v>
      </c>
      <c r="E62" s="47">
        <v>52.5</v>
      </c>
      <c r="F62" s="47">
        <v>32.0</v>
      </c>
      <c r="G62" s="46"/>
      <c r="H62" s="47">
        <v>35.0</v>
      </c>
      <c r="I62" s="47">
        <v>14.9</v>
      </c>
      <c r="J62" s="47">
        <v>-0.4</v>
      </c>
      <c r="K62" s="47">
        <v>2.5</v>
      </c>
      <c r="L62" s="47">
        <v>10.4</v>
      </c>
      <c r="M62" s="47">
        <v>18.4</v>
      </c>
      <c r="N62" s="47">
        <f>B62+C62+D62+E62+F62+G62+H62+I62+J62+K62+L62+M62</f>
        <v>185.5</v>
      </c>
    </row>
    <row r="63" spans="1:14" ht="16">
      <c r="A63" s="39" t="s">
        <v>60</v>
      </c>
      <c r="B63" s="46"/>
      <c r="C63" s="46"/>
      <c r="D63" s="46"/>
      <c r="E63" s="47">
        <v>32.71</v>
      </c>
      <c r="F63" s="46"/>
      <c r="G63" s="47">
        <v>-0.01</v>
      </c>
      <c r="H63" s="46"/>
      <c r="I63" s="46"/>
      <c r="J63" s="47">
        <v>5.8</v>
      </c>
      <c r="K63" s="46"/>
      <c r="L63" s="46"/>
      <c r="M63" s="46"/>
      <c r="N63" s="47">
        <f>B63+C63+D63+E63+F63+G63+H63+I63+J63+K63+L63+M63</f>
        <v>38.5</v>
      </c>
    </row>
    <row r="64" spans="1:14" ht="16">
      <c r="A64" s="39" t="s">
        <v>61</v>
      </c>
      <c r="B64" s="47">
        <v>35.45</v>
      </c>
      <c r="C64" s="47">
        <v>59.9</v>
      </c>
      <c r="D64" s="47">
        <v>110.17</v>
      </c>
      <c r="E64" s="47">
        <v>172.58</v>
      </c>
      <c r="F64" s="47">
        <v>157.46</v>
      </c>
      <c r="G64" s="47">
        <v>568.88</v>
      </c>
      <c r="H64" s="47">
        <v>58.6</v>
      </c>
      <c r="I64" s="47">
        <v>29.11</v>
      </c>
      <c r="J64" s="47">
        <v>72.39</v>
      </c>
      <c r="K64" s="47">
        <v>7.35</v>
      </c>
      <c r="L64" s="47">
        <v>94.45</v>
      </c>
      <c r="M64" s="47">
        <v>74.33</v>
      </c>
      <c r="N64" s="47">
        <f>B64+C64+D64+E64+F64+G64+H64+I64+J64+K64+L64+M64</f>
        <v>1440.6699999999998</v>
      </c>
    </row>
    <row r="65" spans="1:14" ht="16">
      <c r="A65" s="39" t="s">
        <v>62</v>
      </c>
      <c r="B65" s="46"/>
      <c r="C65" s="46"/>
      <c r="D65" s="46"/>
      <c r="E65" s="46"/>
      <c r="F65" s="46"/>
      <c r="G65" s="46"/>
      <c r="H65" s="47">
        <v>1000.0</v>
      </c>
      <c r="I65" s="47">
        <v>1400.0</v>
      </c>
      <c r="J65" s="46"/>
      <c r="K65" s="46"/>
      <c r="L65" s="46"/>
      <c r="M65" s="46"/>
      <c r="N65" s="47">
        <f>B65+C65+D65+E65+F65+G65+H65+I65+J65+K65+L65+M65</f>
        <v>2400.0</v>
      </c>
    </row>
    <row r="66" spans="1:14" ht="16">
      <c r="A66" s="39" t="s">
        <v>63</v>
      </c>
      <c r="B66" s="46"/>
      <c r="C66" s="46"/>
      <c r="D66" s="47">
        <v>18.69</v>
      </c>
      <c r="E66" s="47">
        <v>149.74</v>
      </c>
      <c r="F66" s="47">
        <v>252.38</v>
      </c>
      <c r="G66" s="47">
        <v>118.71</v>
      </c>
      <c r="H66" s="47">
        <v>235.77</v>
      </c>
      <c r="I66" s="47">
        <v>230.12</v>
      </c>
      <c r="J66" s="47">
        <v>48.01</v>
      </c>
      <c r="K66" s="47">
        <v>20.53</v>
      </c>
      <c r="L66" s="47">
        <v>296.1</v>
      </c>
      <c r="M66" s="47">
        <v>236.88</v>
      </c>
      <c r="N66" s="47">
        <f>B66+C66+D66+E66+F66+G66+H66+I66+J66+K66+L66+M66</f>
        <v>1606.9300000000003</v>
      </c>
    </row>
    <row r="67" spans="1:14" ht="16">
      <c r="A67" s="40" t="s">
        <v>64</v>
      </c>
      <c r="B67" s="48">
        <f>B61+B62+B63+B64+B65+B66</f>
        <v>35.45</v>
      </c>
      <c r="C67" s="48">
        <f>C61+C62+C63+C64+C65+C66</f>
        <v>74.9</v>
      </c>
      <c r="D67" s="48">
        <f>D61+D62+D63+D64+D65+D66</f>
        <v>186.06</v>
      </c>
      <c r="E67" s="48">
        <f>E61+E62+E63+E64+E65+E66</f>
        <v>407.53000000000003</v>
      </c>
      <c r="F67" s="48">
        <f>F61+F62+F63+F64+F65+F66</f>
        <v>441.84000000000003</v>
      </c>
      <c r="G67" s="48">
        <f>G61+G62+G63+G64+G65+G66</f>
        <v>687.58</v>
      </c>
      <c r="H67" s="48">
        <f>H61+H62+H63+H64+H65+H66</f>
        <v>1329.37</v>
      </c>
      <c r="I67" s="48">
        <f>I61+I62+I63+I64+I65+I66</f>
        <v>1674.13</v>
      </c>
      <c r="J67" s="48">
        <f>J61+J62+J63+J64+J65+J66</f>
        <v>125.80000000000001</v>
      </c>
      <c r="K67" s="48">
        <f>K61+K62+K63+K64+K65+K66</f>
        <v>30.380000000000003</v>
      </c>
      <c r="L67" s="48">
        <f>L61+L62+L63+L64+L65+L66</f>
        <v>400.95000000000005</v>
      </c>
      <c r="M67" s="48">
        <f>M61+M62+M63+M64+M65+M66</f>
        <v>329.61</v>
      </c>
      <c r="N67" s="49">
        <f>B67+C67+D67+E67+F67+G67+H67+I67+J67+K67+L67+M67</f>
        <v>5723.6</v>
      </c>
    </row>
    <row r="68" spans="1:14" ht="16">
      <c r="A68" s="38" t="s">
        <v>65</v>
      </c>
      <c r="B68" s="47">
        <v>85.98</v>
      </c>
      <c r="C68" s="47">
        <v>95.8</v>
      </c>
      <c r="D68" s="47">
        <v>234.85</v>
      </c>
      <c r="E68" s="47">
        <v>14.98</v>
      </c>
      <c r="F68" s="47">
        <v>134.99</v>
      </c>
      <c r="G68" s="47">
        <v>295.8</v>
      </c>
      <c r="H68" s="47">
        <v>134.99</v>
      </c>
      <c r="I68" s="47">
        <v>274.39</v>
      </c>
      <c r="J68" s="47">
        <v>170.64</v>
      </c>
      <c r="K68" s="47">
        <v>159.99</v>
      </c>
      <c r="L68" s="47">
        <v>120.64</v>
      </c>
      <c r="M68" s="47">
        <v>109.99</v>
      </c>
      <c r="N68" s="47">
        <f>B68+C68+D68+E68+F68+G68+H68+I68+J68+K68+L68+M68</f>
        <v>1833.0400000000002</v>
      </c>
    </row>
    <row r="69" spans="1:14" ht="16">
      <c r="A69" s="38" t="s">
        <v>66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</row>
    <row r="70" spans="1:14" ht="16">
      <c r="A70" s="39" t="s">
        <v>67</v>
      </c>
      <c r="B70" s="47">
        <v>720.25</v>
      </c>
      <c r="C70" s="46"/>
      <c r="D70" s="47">
        <v>735.25</v>
      </c>
      <c r="E70" s="47">
        <v>720.25</v>
      </c>
      <c r="F70" s="47">
        <v>720.25</v>
      </c>
      <c r="G70" s="47">
        <v>1174.0</v>
      </c>
      <c r="H70" s="46"/>
      <c r="I70" s="47">
        <v>1376.12</v>
      </c>
      <c r="J70" s="46"/>
      <c r="K70" s="47">
        <v>500.0</v>
      </c>
      <c r="L70" s="46"/>
      <c r="M70" s="47">
        <v>983.68</v>
      </c>
      <c r="N70" s="47">
        <f>B70+C70+D70+E70+F70+G70+H70+I70+J70+K70+L70+M70</f>
        <v>6929.8</v>
      </c>
    </row>
    <row r="71" spans="1:14" ht="16">
      <c r="A71" s="40" t="s">
        <v>68</v>
      </c>
      <c r="B71" s="48">
        <f>B69+B70</f>
        <v>720.25</v>
      </c>
      <c r="C71" s="49">
        <f>C69+C70</f>
        <v>0.0</v>
      </c>
      <c r="D71" s="48">
        <f>D69+D70</f>
        <v>735.25</v>
      </c>
      <c r="E71" s="48">
        <f>E69+E70</f>
        <v>720.25</v>
      </c>
      <c r="F71" s="48">
        <f>F69+F70</f>
        <v>720.25</v>
      </c>
      <c r="G71" s="48">
        <f>G69+G70</f>
        <v>1174.0</v>
      </c>
      <c r="H71" s="49">
        <f>H69+H70</f>
        <v>0.0</v>
      </c>
      <c r="I71" s="48">
        <f>I69+I70</f>
        <v>1376.12</v>
      </c>
      <c r="J71" s="49">
        <f>J69+J70</f>
        <v>0.0</v>
      </c>
      <c r="K71" s="48">
        <f>K69+K70</f>
        <v>500.0</v>
      </c>
      <c r="L71" s="49">
        <f>L69+L70</f>
        <v>0.0</v>
      </c>
      <c r="M71" s="48">
        <f>M69+M70</f>
        <v>983.68</v>
      </c>
      <c r="N71" s="49">
        <f>B71+C71+D71+E71+F71+G71+H71+I71+J71+K71+L71+M71</f>
        <v>6929.8</v>
      </c>
    </row>
    <row r="72" spans="1:14" ht="16">
      <c r="A72" s="38" t="s">
        <v>69</v>
      </c>
      <c r="B72" s="46"/>
      <c r="C72" s="46"/>
      <c r="D72" s="46"/>
      <c r="E72" s="46"/>
      <c r="F72" s="46"/>
      <c r="G72" s="46"/>
      <c r="H72" s="47">
        <v>895.0</v>
      </c>
      <c r="I72" s="47">
        <v>15.98</v>
      </c>
      <c r="J72" s="46"/>
      <c r="K72" s="46"/>
      <c r="L72" s="46"/>
      <c r="M72" s="47">
        <v>13433.0</v>
      </c>
      <c r="N72" s="47">
        <f>B72+C72+D72+E72+F72+G72+H72+I72+J72+K72+L72+M72</f>
        <v>14343.98</v>
      </c>
    </row>
    <row r="73" spans="1:14" ht="16">
      <c r="A73" s="38" t="s">
        <v>70</v>
      </c>
      <c r="B73" s="47">
        <v>2200.0</v>
      </c>
      <c r="C73" s="47">
        <v>2900.0</v>
      </c>
      <c r="D73" s="47">
        <v>4227.35</v>
      </c>
      <c r="E73" s="47">
        <v>723.17</v>
      </c>
      <c r="F73" s="47">
        <v>1400.0</v>
      </c>
      <c r="G73" s="47">
        <v>4373.19</v>
      </c>
      <c r="H73" s="47">
        <v>2050.0</v>
      </c>
      <c r="I73" s="47">
        <v>3700.0</v>
      </c>
      <c r="J73" s="47">
        <v>3550.0</v>
      </c>
      <c r="K73" s="47">
        <v>4671.41</v>
      </c>
      <c r="L73" s="47">
        <v>4400.0</v>
      </c>
      <c r="M73" s="47">
        <v>7100.0</v>
      </c>
      <c r="N73" s="47">
        <f>B73+C73+D73+E73+F73+G73+H73+I73+J73+K73+L73+M73</f>
        <v>41295.119999999995</v>
      </c>
    </row>
    <row r="74" spans="1:14" ht="16">
      <c r="A74" s="41" t="s">
        <v>71</v>
      </c>
      <c r="B74" s="48">
        <f>B53+B56+B59+B60+B67+B68+B71+B72+B73</f>
        <v>4431.7</v>
      </c>
      <c r="C74" s="48">
        <f>C53+C56+C59+C60+C67+C68+C71+C72+C73</f>
        <v>4046.95</v>
      </c>
      <c r="D74" s="48">
        <f>D53+D56+D59+D60+D67+D68+D71+D72+D73</f>
        <v>6574.08</v>
      </c>
      <c r="E74" s="48">
        <f>E53+E56+E59+E60+E67+E68+E71+E72+E73</f>
        <v>4128.77</v>
      </c>
      <c r="F74" s="48">
        <f>F53+F56+F59+F60+F67+F68+F71+F72+F73</f>
        <v>6042.31</v>
      </c>
      <c r="G74" s="48">
        <f>G53+G56+G59+G60+G67+G68+G71+G72+G73</f>
        <v>8592.73</v>
      </c>
      <c r="H74" s="48">
        <f>H53+H56+H59+H60+H67+H68+H71+H72+H73</f>
        <v>5577.759999999999</v>
      </c>
      <c r="I74" s="48">
        <f>I53+I56+I59+I60+I67+I68+I71+I72+I73</f>
        <v>8261.49</v>
      </c>
      <c r="J74" s="48">
        <f>J53+J56+J59+J60+J67+J68+J71+J72+J73</f>
        <v>5297.07</v>
      </c>
      <c r="K74" s="48">
        <f>K53+K56+K59+K60+K67+K68+K71+K72+K73</f>
        <v>8967.57</v>
      </c>
      <c r="L74" s="48">
        <f>L53+L56+L59+L60+L67+L68+L71+L72+L73</f>
        <v>5949.49</v>
      </c>
      <c r="M74" s="48">
        <f>M53+M56+M59+M60+M67+M68+M71+M72+M73</f>
        <v>24915.02</v>
      </c>
      <c r="N74" s="49">
        <f>B74+C74+D74+E74+F74+G74+H74+I74+J74+K74+L74+M74</f>
        <v>92784.94</v>
      </c>
    </row>
    <row r="75" spans="1:14" ht="16">
      <c r="A75" s="37" t="s">
        <v>72</v>
      </c>
      <c r="B75" s="47">
        <v>456.17</v>
      </c>
      <c r="C75" s="47">
        <v>364.23</v>
      </c>
      <c r="D75" s="47">
        <v>508.0</v>
      </c>
      <c r="E75" s="47">
        <v>472.78</v>
      </c>
      <c r="F75" s="47">
        <v>751.15</v>
      </c>
      <c r="G75" s="47">
        <v>763.8</v>
      </c>
      <c r="H75" s="47">
        <v>1335.35</v>
      </c>
      <c r="I75" s="47">
        <v>1578.72</v>
      </c>
      <c r="J75" s="47">
        <v>998.48</v>
      </c>
      <c r="K75" s="47">
        <v>905.6</v>
      </c>
      <c r="L75" s="47">
        <v>641.02</v>
      </c>
      <c r="M75" s="47">
        <v>730.99</v>
      </c>
      <c r="N75" s="47">
        <f>B75+C75+D75+E75+F75+G75+H75+I75+J75+K75+L75+M75</f>
        <v>9506.29</v>
      </c>
    </row>
    <row r="76" spans="1:14" ht="16">
      <c r="A76" s="37" t="s">
        <v>73</v>
      </c>
      <c r="B76" s="46"/>
      <c r="C76" s="47">
        <v>59.53</v>
      </c>
      <c r="D76" s="47">
        <v>134.95</v>
      </c>
      <c r="E76" s="46"/>
      <c r="F76" s="46"/>
      <c r="G76" s="47">
        <v>580.6</v>
      </c>
      <c r="H76" s="47">
        <v>96.38</v>
      </c>
      <c r="I76" s="46"/>
      <c r="J76" s="47">
        <v>59.89</v>
      </c>
      <c r="K76" s="47">
        <v>169.37</v>
      </c>
      <c r="L76" s="46"/>
      <c r="M76" s="47">
        <v>34.5</v>
      </c>
      <c r="N76" s="47">
        <f>B76+C76+D76+E76+F76+G76+H76+I76+J76+K76+L76+M76</f>
        <v>1135.22</v>
      </c>
    </row>
    <row r="77" spans="1:14" ht="16">
      <c r="A77" s="42" t="s">
        <v>74</v>
      </c>
      <c r="B77" s="48">
        <f>B41+B52+B74+B75+B76</f>
        <v>8851.38</v>
      </c>
      <c r="C77" s="48">
        <f>C41+C52+C74+C75+C76</f>
        <v>7669.46</v>
      </c>
      <c r="D77" s="48">
        <f>D41+D52+D74+D75+D76</f>
        <v>11450.990000000002</v>
      </c>
      <c r="E77" s="48">
        <f>E41+E52+E74+E75+E76</f>
        <v>7472.820000000001</v>
      </c>
      <c r="F77" s="48">
        <f>F41+F52+F74+F75+F76</f>
        <v>9525.14</v>
      </c>
      <c r="G77" s="48">
        <f>G41+G52+G74+G75+G76</f>
        <v>17392.409999999996</v>
      </c>
      <c r="H77" s="48">
        <f>H41+H52+H74+H75+H76</f>
        <v>10338.699999999999</v>
      </c>
      <c r="I77" s="48">
        <f>I41+I52+I74+I75+I76</f>
        <v>19071.760000000002</v>
      </c>
      <c r="J77" s="48">
        <f>J41+J52+J74+J75+J76</f>
        <v>11923.259999999998</v>
      </c>
      <c r="K77" s="48">
        <f>K41+K52+K74+K75+K76</f>
        <v>20975.739999999994</v>
      </c>
      <c r="L77" s="48">
        <f>L41+L52+L74+L75+L76</f>
        <v>12463.560000000001</v>
      </c>
      <c r="M77" s="48">
        <f>M41+M52+M74+M75+M76</f>
        <v>31774.760000000002</v>
      </c>
      <c r="N77" s="49">
        <f>B77+C77+D77+E77+F77+G77+H77+I77+J77+K77+L77+M77</f>
        <v>168909.98</v>
      </c>
    </row>
    <row r="78" spans="1:14" ht="16">
      <c r="A78" s="42" t="s">
        <v>75</v>
      </c>
      <c r="B78" s="48">
        <f>B40-B77</f>
        <v>-2903.3799999999974</v>
      </c>
      <c r="C78" s="48">
        <f>C40-C77</f>
        <v>889.7200000000003</v>
      </c>
      <c r="D78" s="48">
        <f>D40-D77</f>
        <v>-1076.0099999999984</v>
      </c>
      <c r="E78" s="48">
        <f>E40-E77</f>
        <v>8504.520000000004</v>
      </c>
      <c r="F78" s="48">
        <f>F40-F77</f>
        <v>31887.98000000001</v>
      </c>
      <c r="G78" s="48">
        <f>G40-G77</f>
        <v>26675.720000000023</v>
      </c>
      <c r="H78" s="48">
        <f>H40-H77</f>
        <v>-6370.3099999999995</v>
      </c>
      <c r="I78" s="48">
        <f>I40-I77</f>
        <v>-2658.4599999999955</v>
      </c>
      <c r="J78" s="48">
        <f>J40-J77</f>
        <v>-6273.59</v>
      </c>
      <c r="K78" s="48">
        <f>K40-K77</f>
        <v>16485.390000000018</v>
      </c>
      <c r="L78" s="48">
        <f>L40-L77</f>
        <v>4060.91</v>
      </c>
      <c r="M78" s="48">
        <f>M40-M77</f>
        <v>9725.479999999996</v>
      </c>
      <c r="N78" s="49">
        <f>B78+C78+D78+E78+F78+G78+H78+I78+J78+K78+L78+M78</f>
        <v>78947.97000000006</v>
      </c>
    </row>
    <row r="79" spans="1:13" ht="16">
      <c r="A79" s="36" t="s">
        <v>76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</row>
    <row r="80" spans="1:14" ht="16">
      <c r="A80" s="37" t="s">
        <v>77</v>
      </c>
      <c r="B80" s="46"/>
      <c r="C80" s="46"/>
      <c r="D80" s="46"/>
      <c r="E80" s="46"/>
      <c r="F80" s="46"/>
      <c r="G80" s="47">
        <v>0.01</v>
      </c>
      <c r="H80" s="47">
        <v>0.02</v>
      </c>
      <c r="I80" s="47">
        <v>0.03</v>
      </c>
      <c r="J80" s="47">
        <v>0.03</v>
      </c>
      <c r="K80" s="47">
        <v>0.04</v>
      </c>
      <c r="L80" s="47">
        <v>0.02</v>
      </c>
      <c r="M80" s="47">
        <v>0.04</v>
      </c>
      <c r="N80" s="47">
        <f>B80+C80+D80+E80+F80+G80+H80+I80+J80+K80+L80+M80</f>
        <v>0.19</v>
      </c>
    </row>
    <row r="81" spans="1:14" ht="16">
      <c r="A81" s="42" t="s">
        <v>78</v>
      </c>
      <c r="B81" s="49">
        <f>B79+B80</f>
        <v>0.0</v>
      </c>
      <c r="C81" s="49">
        <f>C79+C80</f>
        <v>0.0</v>
      </c>
      <c r="D81" s="49">
        <f>D79+D80</f>
        <v>0.0</v>
      </c>
      <c r="E81" s="49">
        <f>E79+E80</f>
        <v>0.0</v>
      </c>
      <c r="F81" s="49">
        <f>F79+F80</f>
        <v>0.0</v>
      </c>
      <c r="G81" s="48">
        <f>G79+G80</f>
        <v>0.01</v>
      </c>
      <c r="H81" s="48">
        <f>H79+H80</f>
        <v>0.02</v>
      </c>
      <c r="I81" s="48">
        <f>I79+I80</f>
        <v>0.03</v>
      </c>
      <c r="J81" s="48">
        <f>J79+J80</f>
        <v>0.03</v>
      </c>
      <c r="K81" s="48">
        <f>K79+K80</f>
        <v>0.04</v>
      </c>
      <c r="L81" s="48">
        <f>L79+L80</f>
        <v>0.02</v>
      </c>
      <c r="M81" s="48">
        <f>M79+M80</f>
        <v>0.04</v>
      </c>
      <c r="N81" s="49">
        <f>B81+C81+D81+E81+F81+G81+H81+I81+J81+K81+L81+M81</f>
        <v>0.19</v>
      </c>
    </row>
    <row r="82" spans="1:13" ht="16">
      <c r="A82" s="36" t="s">
        <v>79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</row>
    <row r="83" spans="1:14" ht="16">
      <c r="A83" s="37" t="s">
        <v>80</v>
      </c>
      <c r="B83" s="47">
        <v>22.71</v>
      </c>
      <c r="C83" s="47">
        <v>16.23</v>
      </c>
      <c r="D83" s="47">
        <v>31.8</v>
      </c>
      <c r="E83" s="47">
        <v>16.23</v>
      </c>
      <c r="F83" s="47">
        <v>38.73</v>
      </c>
      <c r="G83" s="47">
        <v>24.79</v>
      </c>
      <c r="H83" s="47">
        <v>24.79</v>
      </c>
      <c r="I83" s="47">
        <v>24.79</v>
      </c>
      <c r="J83" s="47">
        <v>24.79</v>
      </c>
      <c r="K83" s="47">
        <v>24.79</v>
      </c>
      <c r="L83" s="47">
        <v>24.79</v>
      </c>
      <c r="M83" s="47">
        <v>24.79</v>
      </c>
      <c r="N83" s="47">
        <f>B83+C83+D83+E83+F83+G83+H83+I83+J83+K83+L83+M83</f>
        <v>299.22999999999996</v>
      </c>
    </row>
    <row r="84" spans="1:14" ht="16">
      <c r="A84" s="42" t="s">
        <v>81</v>
      </c>
      <c r="B84" s="48">
        <f>B82+B83</f>
        <v>22.71</v>
      </c>
      <c r="C84" s="48">
        <f>C82+C83</f>
        <v>16.23</v>
      </c>
      <c r="D84" s="48">
        <f>D82+D83</f>
        <v>31.8</v>
      </c>
      <c r="E84" s="48">
        <f>E82+E83</f>
        <v>16.23</v>
      </c>
      <c r="F84" s="48">
        <f>F82+F83</f>
        <v>38.73</v>
      </c>
      <c r="G84" s="48">
        <f>G82+G83</f>
        <v>24.79</v>
      </c>
      <c r="H84" s="48">
        <f>H82+H83</f>
        <v>24.79</v>
      </c>
      <c r="I84" s="48">
        <f>I82+I83</f>
        <v>24.79</v>
      </c>
      <c r="J84" s="48">
        <f>J82+J83</f>
        <v>24.79</v>
      </c>
      <c r="K84" s="48">
        <f>K82+K83</f>
        <v>24.79</v>
      </c>
      <c r="L84" s="48">
        <f>L82+L83</f>
        <v>24.79</v>
      </c>
      <c r="M84" s="48">
        <f>M82+M83</f>
        <v>24.79</v>
      </c>
      <c r="N84" s="49">
        <f>B84+C84+D84+E84+F84+G84+H84+I84+J84+K84+L84+M84</f>
        <v>299.22999999999996</v>
      </c>
    </row>
    <row r="85" spans="1:14" ht="16">
      <c r="A85" s="42" t="s">
        <v>82</v>
      </c>
      <c r="B85" s="48">
        <f>B81-B84</f>
        <v>-22.71</v>
      </c>
      <c r="C85" s="48">
        <f>C81-C84</f>
        <v>-16.23</v>
      </c>
      <c r="D85" s="48">
        <f>D81-D84</f>
        <v>-31.8</v>
      </c>
      <c r="E85" s="48">
        <f>E81-E84</f>
        <v>-16.23</v>
      </c>
      <c r="F85" s="48">
        <f>F81-F84</f>
        <v>-38.73</v>
      </c>
      <c r="G85" s="48">
        <f>G81-G84</f>
        <v>-24.779999999999998</v>
      </c>
      <c r="H85" s="48">
        <f>H81-H84</f>
        <v>-24.77</v>
      </c>
      <c r="I85" s="48">
        <f>I81-I84</f>
        <v>-24.759999999999998</v>
      </c>
      <c r="J85" s="48">
        <f>J81-J84</f>
        <v>-24.759999999999998</v>
      </c>
      <c r="K85" s="48">
        <f>K81-K84</f>
        <v>-24.75</v>
      </c>
      <c r="L85" s="48">
        <f>L81-L84</f>
        <v>-24.77</v>
      </c>
      <c r="M85" s="48">
        <f>M81-M84</f>
        <v>-24.75</v>
      </c>
      <c r="N85" s="49">
        <f>B85+C85+D85+E85+F85+G85+H85+I85+J85+K85+L85+M85</f>
        <v>-299.03999999999996</v>
      </c>
    </row>
    <row r="86" spans="1:14" ht="16">
      <c r="A86" s="42" t="s">
        <v>83</v>
      </c>
      <c r="B86" s="48">
        <f>B78+B85</f>
        <v>-2926.0899999999974</v>
      </c>
      <c r="C86" s="48">
        <f>C78+C85</f>
        <v>873.4900000000002</v>
      </c>
      <c r="D86" s="48">
        <f>D78+D85</f>
        <v>-1107.8099999999984</v>
      </c>
      <c r="E86" s="48">
        <f>E78+E85</f>
        <v>8488.290000000005</v>
      </c>
      <c r="F86" s="48">
        <f>F78+F85</f>
        <v>31849.25000000001</v>
      </c>
      <c r="G86" s="48">
        <f>G78+G85</f>
        <v>26650.940000000024</v>
      </c>
      <c r="H86" s="48">
        <f>H78+H85</f>
        <v>-6395.08</v>
      </c>
      <c r="I86" s="48">
        <f>I78+I85</f>
        <v>-2683.2199999999957</v>
      </c>
      <c r="J86" s="48">
        <f>J78+J85</f>
        <v>-6298.35</v>
      </c>
      <c r="K86" s="48">
        <f>K78+K85</f>
        <v>16460.640000000018</v>
      </c>
      <c r="L86" s="48">
        <f>L78+L85</f>
        <v>4036.14</v>
      </c>
      <c r="M86" s="48">
        <f>M78+M85</f>
        <v>9700.729999999996</v>
      </c>
      <c r="N86" s="49">
        <f>B86+C86+D86+E86+F86+G86+H86+I86+J86+K86+L86+M86</f>
        <v>78648.93000000007</v>
      </c>
    </row>
    <row r="90" spans="1:1" ht="16">
      <c r="A90" s="52" t="s">
        <v>98</v>
      </c>
    </row>
  </sheetData>
  <mergeCells count="4">
    <mergeCell ref="A1:N1"/>
    <mergeCell ref="A2:N2"/>
    <mergeCell ref="A3:N3"/>
    <mergeCell ref="A90:N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