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4" i="1" l="1"/>
</calcChain>
</file>

<file path=xl/sharedStrings.xml><?xml version="1.0" encoding="utf-8"?>
<sst xmlns="http://schemas.openxmlformats.org/spreadsheetml/2006/main" count="127" uniqueCount="126">
  <si>
    <t>BRAVADO SPICE LLC</t>
  </si>
  <si>
    <t>Profit and Loss by Month</t>
  </si>
  <si>
    <t>January-December, 2025</t>
  </si>
  <si>
    <t>Income</t>
  </si>
  <si>
    <t>61000 Sales</t>
  </si>
  <si>
    <t>61200 Hot Sauce</t>
  </si>
  <si>
    <t>61210 Pineapple &amp; Habanero Hot Sauce</t>
  </si>
  <si>
    <t>61215 Garlic &amp; Arbol Moruga Scorpion Hot Sauce</t>
  </si>
  <si>
    <t>61216 Arbol Chili &amp; Garlic Hot Sauce</t>
  </si>
  <si>
    <t>61217 Manuka Honey Passion Fruit Hot Sauce</t>
  </si>
  <si>
    <t>61220 Jalapeno &amp; Green Apple Hot Sauce</t>
  </si>
  <si>
    <t>61225 Ancho Masala Ghost-Reaper Hot Sauce</t>
  </si>
  <si>
    <t>61230 Ghost Pepper &amp; Blueberry Hot Sauce</t>
  </si>
  <si>
    <t>61240 Crimson Hot Sauce</t>
  </si>
  <si>
    <t>61260 Serrano &amp; Basil Hot Sauce</t>
  </si>
  <si>
    <t>61270 Black Garlic &amp; Carolina Reaper Hot Sauce</t>
  </si>
  <si>
    <t>61280 Creamy Herb &amp; Jalapeño Hot Sauce</t>
  </si>
  <si>
    <t>61290 Aka Miso Ghost-Reaper Hot Sauce</t>
  </si>
  <si>
    <t>Total for 61200 Hot Sauce</t>
  </si>
  <si>
    <t>61300 Seasonings</t>
  </si>
  <si>
    <t>61310 Jalapeno &amp; Garlic Seasoning</t>
  </si>
  <si>
    <t>61330 Garlic &amp; Arbol Seasoning</t>
  </si>
  <si>
    <t>Total for 61300 Seasonings</t>
  </si>
  <si>
    <t>61400 Mixers</t>
  </si>
  <si>
    <t>61410 Pineapple &amp; Jalapeno &amp; Margarita Mix</t>
  </si>
  <si>
    <t>61420 Ruby Red Grapefruit Margarita Mix</t>
  </si>
  <si>
    <t>61430 Lime &amp; Yuzu Margarita Mix</t>
  </si>
  <si>
    <t>61440 Classic Margarita Mix</t>
  </si>
  <si>
    <t>Total for 61400 Mixers</t>
  </si>
  <si>
    <t>61500 Sets</t>
  </si>
  <si>
    <t>61600 Faire Sales</t>
  </si>
  <si>
    <t>64000 Online Sales</t>
  </si>
  <si>
    <t>65000 Amazon Seller Central Sales</t>
  </si>
  <si>
    <t>65100 Amazon US Market Sales</t>
  </si>
  <si>
    <t>Total for 65000 Amazon Seller Central Sales</t>
  </si>
  <si>
    <t>Total for 61000 Sales</t>
  </si>
  <si>
    <t>66000 Other Income</t>
  </si>
  <si>
    <t>67000 Uncategorized Income</t>
  </si>
  <si>
    <t>Shipping Income</t>
  </si>
  <si>
    <t>Total for Income</t>
  </si>
  <si>
    <t>Cost of Goods Sold</t>
  </si>
  <si>
    <t>71000 Cost of Sales (COS)</t>
  </si>
  <si>
    <t>71100 Shipping &amp; Delivery - COS</t>
  </si>
  <si>
    <t>71200 Other Costs - COS</t>
  </si>
  <si>
    <t>71300 Ingredients - COS</t>
  </si>
  <si>
    <t>71400 Co-Packer - COGS</t>
  </si>
  <si>
    <t>71500 Materials - COS</t>
  </si>
  <si>
    <t>Inventory Adjustment</t>
  </si>
  <si>
    <t>Inventory Shrinkage</t>
  </si>
  <si>
    <t>Marketing Allowance</t>
  </si>
  <si>
    <t>On-Invoice Discounts</t>
  </si>
  <si>
    <t>Pass Thru Deduction</t>
  </si>
  <si>
    <t>QuickBooks Payments Fees</t>
  </si>
  <si>
    <t>Spoilage Allowance</t>
  </si>
  <si>
    <t>Swell Discount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</si>
  <si>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</si>
  <si>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</si>
  <si>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</si>
  <si>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</si>
  <si>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</si>
  <si>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</si>
  <si>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</si>
  <si>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</si>
  <si>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</si>
  <si>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Gas</t>
  </si>
  <si>
    <t>Total for 72400 Travel</t>
  </si>
  <si>
    <t>72500 Events/Shows</t>
  </si>
  <si>
    <t>72600 In Store Marketing</t>
  </si>
  <si>
    <t>Total for 72000 Marketing/Advertising</t>
  </si>
  <si>
    <t>73000 Overhead Expenses (G&amp;A)</t>
  </si>
  <si>
    <t>73100 Rent or Lease</t>
  </si>
  <si>
    <t>73200 Office Expenses</t>
  </si>
  <si>
    <t>73210 Shipping Supplies</t>
  </si>
  <si>
    <t>73220 Food Expense</t>
  </si>
  <si>
    <t>Total for 73200 Office Expenses</t>
  </si>
  <si>
    <t>73300 Utilities</t>
  </si>
  <si>
    <t>73400 Financial Fees</t>
  </si>
  <si>
    <t>73410 Bank Fees</t>
  </si>
  <si>
    <t>73430 PayPal Fees</t>
  </si>
  <si>
    <t>73450 Interest Expense</t>
  </si>
  <si>
    <t>Faire Fees</t>
  </si>
  <si>
    <t>Late Penalty Fees</t>
  </si>
  <si>
    <t>Merchant Fees</t>
  </si>
  <si>
    <t>Total for 73400 Financial Fees</t>
  </si>
  <si>
    <t>73500 Dues &amp; Subscriptions</t>
  </si>
  <si>
    <t>73600 Insurance</t>
  </si>
  <si>
    <t>73620 Insurance - Liability</t>
  </si>
  <si>
    <t>73640 Insurance - Health</t>
  </si>
  <si>
    <t>Total for 73600 Insurance</t>
  </si>
  <si>
    <t>73700 Professional Fees</t>
  </si>
  <si>
    <t>73800 Taxes &amp; Licenses</t>
  </si>
  <si>
    <t>73900 1099 Non-Employee Compensation</t>
  </si>
  <si>
    <t>73910 Payroll Expenses</t>
  </si>
  <si>
    <t>73901 Payroll Taxes</t>
  </si>
  <si>
    <t>73902 Salaries &amp; Wages</t>
  </si>
  <si>
    <t>Total for 73910 Payroll Expenses</t>
  </si>
  <si>
    <t>Total for 73000 Overhead Expenses (G&amp;A)</t>
  </si>
  <si>
    <t>74000 Bad Debts</t>
  </si>
  <si>
    <t>75500 Reimbursements</t>
  </si>
  <si>
    <t>76000 Repair &amp; Maintenance</t>
  </si>
  <si>
    <t>Charitable Contributions</t>
  </si>
  <si>
    <t>Melio services fee</t>
  </si>
  <si>
    <t>Remittance Discrepancy</t>
  </si>
  <si>
    <t>Total for Expenses</t>
  </si>
  <si>
    <t>Net Operating Income</t>
  </si>
  <si>
    <t>Other Income</t>
  </si>
  <si>
    <t>80000 Interest Earned</t>
  </si>
  <si>
    <t>80001 Other Misc Income</t>
  </si>
  <si>
    <t>Total for Other Income</t>
  </si>
  <si>
    <t>Net Other Income</t>
  </si>
  <si>
    <t>Net Income</t>
  </si>
  <si>
    <t/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</si>
  <si>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</si>
  <si>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</si>
  <si>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</si>
  <si>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</si>
  <si>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</si>
  <si>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</si>
  <si>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</si>
  <si>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</si>
  <si>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</si>
  <si>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</si>
  <si>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</si>
  <si>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</si>
  <si>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</si>
  <si>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Accrual Basis Monday, August 24, 2026 09:13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</si>
</sst>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18"/>
  <sheetViews>
    <sheetView tabSelected="1" workbookViewId="0" topLeftCell="A1"/>
  </sheetViews>
  <sheetFormatPr defaultColWidth="11.255" defaultRowHeight="16"/>
  <cols>
    <col min="1" max="1" width="40.125" style="43" customWidth="1"/>
    <col min="2" max="2" width="17" style="43" customWidth="1"/>
    <col min="3" max="4" width="16.125" style="43" customWidth="1"/>
    <col min="5" max="6" width="17" style="43" customWidth="1"/>
    <col min="7" max="7" width="16.125" style="43" customWidth="1"/>
    <col min="8" max="10" width="17" style="43" customWidth="1"/>
    <col min="11" max="13" width="16.125" style="43" customWidth="1"/>
    <col min="14" max="14" width="17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111</v>
      </c>
      <c r="B5" s="51" t="s">
        <v>112</v>
      </c>
      <c r="C5" s="51" t="s">
        <v>113</v>
      </c>
      <c r="D5" s="51" t="s">
        <v>114</v>
      </c>
      <c r="E5" s="51" t="s">
        <v>115</v>
      </c>
      <c r="F5" s="51" t="s">
        <v>116</v>
      </c>
      <c r="G5" s="51" t="s">
        <v>117</v>
      </c>
      <c r="H5" s="51" t="s">
        <v>118</v>
      </c>
      <c r="I5" s="51" t="s">
        <v>119</v>
      </c>
      <c r="J5" s="51" t="s">
        <v>120</v>
      </c>
      <c r="K5" s="51" t="s">
        <v>121</v>
      </c>
      <c r="L5" s="51" t="s">
        <v>122</v>
      </c>
      <c r="M5" s="51" t="s">
        <v>123</v>
      </c>
      <c r="N5" s="51" t="s">
        <v>124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6"/>
      <c r="C7" s="47">
        <v>0</v>
      </c>
      <c r="D7" s="47">
        <v>0</v>
      </c>
      <c r="E7" s="47">
        <v>0</v>
      </c>
      <c r="F7" s="47">
        <v>0</v>
      </c>
      <c r="G7" s="47">
        <v>0</v>
      </c>
      <c r="H7" s="47">
        <v>0</v>
      </c>
      <c r="I7" s="47">
        <v>0</v>
      </c>
      <c r="J7" s="47">
        <v>0</v>
      </c>
      <c r="K7" s="47">
        <v>0</v>
      </c>
      <c r="L7" s="47">
        <v>0</v>
      </c>
      <c r="M7" s="47">
        <v>0</v>
      </c>
      <c r="N7" s="47">
        <f>B7+C7+D7+E7+F7+G7+H7+I7+J7+K7+L7+M7</f>
        <v>0.0</v>
      </c>
    </row>
    <row r="8" spans="1:14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6">
      <c r="A9" s="39" t="s">
        <v>6</v>
      </c>
      <c r="B9" s="47">
        <v>2322.9</v>
      </c>
      <c r="C9" s="47">
        <v>2948.88</v>
      </c>
      <c r="D9" s="47">
        <v>2598.12</v>
      </c>
      <c r="E9" s="47">
        <v>4607.88</v>
      </c>
      <c r="F9" s="47">
        <v>3492.0</v>
      </c>
      <c r="G9" s="47">
        <v>2381.58</v>
      </c>
      <c r="H9" s="47">
        <v>10317.42</v>
      </c>
      <c r="I9" s="47">
        <v>294.33</v>
      </c>
      <c r="J9" s="47">
        <v>7213.56</v>
      </c>
      <c r="K9" s="47">
        <v>700.41</v>
      </c>
      <c r="L9" s="47">
        <v>965.01</v>
      </c>
      <c r="M9" s="47">
        <v>3623.04</v>
      </c>
      <c r="N9" s="47">
        <f>B9+C9+D9+E9+F9+G9+H9+I9+J9+K9+L9+M9</f>
        <v>41465.130000000005</v>
      </c>
    </row>
    <row r="10" spans="1:14" ht="16">
      <c r="A10" s="39" t="s">
        <v>7</v>
      </c>
      <c r="B10" s="47">
        <v>409.2</v>
      </c>
      <c r="C10" s="47">
        <v>1464.8</v>
      </c>
      <c r="D10" s="46"/>
      <c r="E10" s="47">
        <v>409.2</v>
      </c>
      <c r="F10" s="47">
        <v>389.4</v>
      </c>
      <c r="G10" s="47">
        <v>509.04</v>
      </c>
      <c r="H10" s="47">
        <v>668.88</v>
      </c>
      <c r="I10" s="47">
        <v>231.12</v>
      </c>
      <c r="J10" s="47">
        <v>832.68</v>
      </c>
      <c r="K10" s="47">
        <v>267.4</v>
      </c>
      <c r="L10" s="47">
        <v>156.48</v>
      </c>
      <c r="M10" s="47">
        <v>394.8</v>
      </c>
      <c r="N10" s="47">
        <f>B10+C10+D10+E10+F10+G10+H10+I10+J10+K10+L10+M10</f>
        <v>5732.999999999999</v>
      </c>
    </row>
    <row r="11" spans="1:14" ht="16">
      <c r="A11" s="39" t="s">
        <v>8</v>
      </c>
      <c r="B11" s="47">
        <v>3380.1</v>
      </c>
      <c r="C11" s="47">
        <v>5292.48</v>
      </c>
      <c r="D11" s="47">
        <v>2441.34</v>
      </c>
      <c r="E11" s="47">
        <v>5798.04</v>
      </c>
      <c r="F11" s="47">
        <v>6547.68</v>
      </c>
      <c r="G11" s="47">
        <v>2407.5</v>
      </c>
      <c r="H11" s="47">
        <v>7907.76</v>
      </c>
      <c r="I11" s="47">
        <v>1348.23</v>
      </c>
      <c r="J11" s="47">
        <v>5098.8</v>
      </c>
      <c r="K11" s="47">
        <v>1652.91</v>
      </c>
      <c r="L11" s="47">
        <v>4879.05</v>
      </c>
      <c r="M11" s="47">
        <v>8497.7</v>
      </c>
      <c r="N11" s="47">
        <f>B11+C11+D11+E11+F11+G11+H11+I11+J11+K11+L11+M11</f>
        <v>55251.59000000001</v>
      </c>
    </row>
    <row r="12" spans="1:14" ht="16">
      <c r="A12" s="39" t="s">
        <v>9</v>
      </c>
      <c r="B12" s="46"/>
      <c r="C12" s="46"/>
      <c r="D12" s="46"/>
      <c r="E12" s="46"/>
      <c r="F12" s="46"/>
      <c r="G12" s="46"/>
      <c r="H12" s="46"/>
      <c r="I12" s="46"/>
      <c r="J12" s="47">
        <v>132.0</v>
      </c>
      <c r="K12" s="46"/>
      <c r="L12" s="46"/>
      <c r="M12" s="46"/>
      <c r="N12" s="47">
        <f>B12+C12+D12+E12+F12+G12+H12+I12+J12+K12+L12+M12</f>
        <v>132.0</v>
      </c>
    </row>
    <row r="13" spans="1:14" ht="16">
      <c r="A13" s="39" t="s">
        <v>10</v>
      </c>
      <c r="B13" s="46"/>
      <c r="C13" s="46"/>
      <c r="D13" s="46"/>
      <c r="E13" s="46"/>
      <c r="F13" s="46"/>
      <c r="G13" s="46"/>
      <c r="H13" s="46"/>
      <c r="I13" s="47">
        <v>60.0</v>
      </c>
      <c r="J13" s="47">
        <v>1036.5</v>
      </c>
      <c r="K13" s="47">
        <v>441.75</v>
      </c>
      <c r="L13" s="47">
        <v>333.0</v>
      </c>
      <c r="M13" s="47">
        <v>676.5</v>
      </c>
      <c r="N13" s="47">
        <f>B13+C13+D13+E13+F13+G13+H13+I13+J13+K13+L13+M13</f>
        <v>2547.75</v>
      </c>
    </row>
    <row r="14" spans="1:14" ht="16">
      <c r="A14" s="39" t="s">
        <v>11</v>
      </c>
      <c r="B14" s="46"/>
      <c r="C14" s="46"/>
      <c r="D14" s="47">
        <v>890.16</v>
      </c>
      <c r="E14" s="46"/>
      <c r="F14" s="46"/>
      <c r="G14" s="47">
        <v>691.44</v>
      </c>
      <c r="H14" s="46"/>
      <c r="I14" s="47">
        <v>154.08</v>
      </c>
      <c r="J14" s="47">
        <v>979.2</v>
      </c>
      <c r="K14" s="47">
        <v>275.64</v>
      </c>
      <c r="L14" s="47">
        <v>661.55</v>
      </c>
      <c r="M14" s="47">
        <v>355.08</v>
      </c>
      <c r="N14" s="47">
        <f>B14+C14+D14+E14+F14+G14+H14+I14+J14+K14+L14+M14</f>
        <v>4007.1499999999996</v>
      </c>
    </row>
    <row r="15" spans="1:14" ht="16">
      <c r="A15" s="39" t="s">
        <v>12</v>
      </c>
      <c r="B15" s="47">
        <v>13402.32</v>
      </c>
      <c r="C15" s="47">
        <v>4683.9</v>
      </c>
      <c r="D15" s="47">
        <v>2561.52</v>
      </c>
      <c r="E15" s="47">
        <v>4159.8</v>
      </c>
      <c r="F15" s="47">
        <v>7378.86</v>
      </c>
      <c r="G15" s="47">
        <v>4088.76</v>
      </c>
      <c r="H15" s="47">
        <v>5012.94</v>
      </c>
      <c r="I15" s="47">
        <v>1386.61</v>
      </c>
      <c r="J15" s="47">
        <v>4192.32</v>
      </c>
      <c r="K15" s="47">
        <v>1115.58</v>
      </c>
      <c r="L15" s="47">
        <v>4032.91</v>
      </c>
      <c r="M15" s="47">
        <v>6080.94</v>
      </c>
      <c r="N15" s="47">
        <f>B15+C15+D15+E15+F15+G15+H15+I15+J15+K15+L15+M15</f>
        <v>58096.46000000001</v>
      </c>
    </row>
    <row r="16" spans="1:14" ht="16">
      <c r="A16" s="39" t="s">
        <v>13</v>
      </c>
      <c r="B16" s="47">
        <v>62.64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7">
        <f>B16+C16+D16+E16+F16+G16+H16+I16+J16+K16+L16+M16</f>
        <v>62.64</v>
      </c>
    </row>
    <row r="17" spans="1:14" ht="16">
      <c r="A17" s="39" t="s">
        <v>14</v>
      </c>
      <c r="B17" s="47">
        <v>51.48</v>
      </c>
      <c r="C17" s="47">
        <v>2779.26</v>
      </c>
      <c r="D17" s="47">
        <v>1333.26</v>
      </c>
      <c r="E17" s="47">
        <v>359.64</v>
      </c>
      <c r="F17" s="47">
        <v>2000.7</v>
      </c>
      <c r="G17" s="47">
        <v>1839.36</v>
      </c>
      <c r="H17" s="47">
        <v>1761.72</v>
      </c>
      <c r="I17" s="47">
        <v>836.52</v>
      </c>
      <c r="J17" s="47">
        <v>1881.48</v>
      </c>
      <c r="K17" s="47">
        <v>1300.38</v>
      </c>
      <c r="L17" s="47">
        <v>2142.59</v>
      </c>
      <c r="M17" s="47">
        <v>2490.96</v>
      </c>
      <c r="N17" s="47">
        <f>B17+C17+D17+E17+F17+G17+H17+I17+J17+K17+L17+M17</f>
        <v>18777.35</v>
      </c>
    </row>
    <row r="18" spans="1:14" ht="16">
      <c r="A18" s="39" t="s">
        <v>15</v>
      </c>
      <c r="B18" s="47">
        <v>448.92</v>
      </c>
      <c r="C18" s="47">
        <v>12040.08</v>
      </c>
      <c r="D18" s="47">
        <v>4099.48</v>
      </c>
      <c r="E18" s="47">
        <v>2902.24</v>
      </c>
      <c r="F18" s="47">
        <v>7219.52</v>
      </c>
      <c r="G18" s="47">
        <v>5978.44</v>
      </c>
      <c r="H18" s="47">
        <v>7773.72</v>
      </c>
      <c r="I18" s="47">
        <v>3143.4</v>
      </c>
      <c r="J18" s="47">
        <v>5437.16</v>
      </c>
      <c r="K18" s="47">
        <v>4923.4</v>
      </c>
      <c r="L18" s="47">
        <v>9531.6</v>
      </c>
      <c r="M18" s="47">
        <v>6355.92</v>
      </c>
      <c r="N18" s="47">
        <f>B18+C18+D18+E18+F18+G18+H18+I18+J18+K18+L18+M18</f>
        <v>69853.88</v>
      </c>
    </row>
    <row r="19" spans="1:14" ht="16">
      <c r="A19" s="39" t="s">
        <v>16</v>
      </c>
      <c r="B19" s="47">
        <v>276.9</v>
      </c>
      <c r="C19" s="47">
        <v>1574.32</v>
      </c>
      <c r="D19" s="47">
        <v>311.88</v>
      </c>
      <c r="E19" s="47">
        <v>226.5</v>
      </c>
      <c r="F19" s="47">
        <v>2301.9</v>
      </c>
      <c r="G19" s="47">
        <v>1552.96</v>
      </c>
      <c r="H19" s="47">
        <v>8076.9</v>
      </c>
      <c r="I19" s="47">
        <v>411.72</v>
      </c>
      <c r="J19" s="47">
        <v>3872.26</v>
      </c>
      <c r="K19" s="47">
        <v>526.38</v>
      </c>
      <c r="L19" s="47">
        <v>2435.19</v>
      </c>
      <c r="M19" s="47">
        <v>623.34</v>
      </c>
      <c r="N19" s="47">
        <f>B19+C19+D19+E19+F19+G19+H19+I19+J19+K19+L19+M19</f>
        <v>22190.25</v>
      </c>
    </row>
    <row r="20" spans="1:14" ht="16">
      <c r="A20" s="39" t="s">
        <v>17</v>
      </c>
      <c r="B20" s="47">
        <v>149.27</v>
      </c>
      <c r="C20" s="47">
        <v>1943.12</v>
      </c>
      <c r="D20" s="47">
        <v>232.8</v>
      </c>
      <c r="E20" s="46"/>
      <c r="F20" s="47">
        <v>389.4</v>
      </c>
      <c r="G20" s="47">
        <v>1548.24</v>
      </c>
      <c r="H20" s="47">
        <v>1114.84</v>
      </c>
      <c r="I20" s="47">
        <v>625.92</v>
      </c>
      <c r="J20" s="47">
        <v>2525.4</v>
      </c>
      <c r="K20" s="47">
        <v>1043.44</v>
      </c>
      <c r="L20" s="47">
        <v>2834.76</v>
      </c>
      <c r="M20" s="47">
        <v>698.16</v>
      </c>
      <c r="N20" s="47">
        <f>B20+C20+D20+E20+F20+G20+H20+I20+J20+K20+L20+M20</f>
        <v>13105.35</v>
      </c>
    </row>
    <row r="21" spans="1:14" ht="16">
      <c r="A21" s="40" t="s">
        <v>18</v>
      </c>
      <c r="B21" s="48">
        <f>B8+B9+B10+B11+B12+B13+B14+B15+B16+B17+B18+B19+B20</f>
        <v>20503.73</v>
      </c>
      <c r="C21" s="48">
        <f>C8+C9+C10+C11+C12+C13+C14+C15+C16+C17+C18+C19+C20</f>
        <v>32726.84</v>
      </c>
      <c r="D21" s="48">
        <f>D8+D9+D10+D11+D12+D13+D14+D15+D16+D17+D18+D19+D20</f>
        <v>14468.559999999998</v>
      </c>
      <c r="E21" s="48">
        <f>E8+E9+E10+E11+E12+E13+E14+E15+E16+E17+E18+E19+E20</f>
        <v>18463.299999999996</v>
      </c>
      <c r="F21" s="48">
        <f>F8+F9+F10+F11+F12+F13+F14+F15+F16+F17+F18+F19+F20</f>
        <v>29719.460000000003</v>
      </c>
      <c r="G21" s="48">
        <f>G8+G9+G10+G11+G12+G13+G14+G15+G16+G17+G18+G19+G20</f>
        <v>20997.32</v>
      </c>
      <c r="H21" s="48">
        <f>H8+H9+H10+H11+H12+H13+H14+H15+H16+H17+H18+H19+H20</f>
        <v>42634.17999999999</v>
      </c>
      <c r="I21" s="48">
        <f>I8+I9+I10+I11+I12+I13+I14+I15+I16+I17+I18+I19+I20</f>
        <v>8491.929999999998</v>
      </c>
      <c r="J21" s="48">
        <f>J8+J9+J10+J11+J12+J13+J14+J15+J16+J17+J18+J19+J20</f>
        <v>33201.36</v>
      </c>
      <c r="K21" s="48">
        <f>K8+K9+K10+K11+K12+K13+K14+K15+K16+K17+K18+K19+K20</f>
        <v>12247.29</v>
      </c>
      <c r="L21" s="48">
        <f>L8+L9+L10+L11+L12+L13+L14+L15+L16+L17+L18+L19+L20</f>
        <v>27972.14</v>
      </c>
      <c r="M21" s="48">
        <f>M8+M9+M10+M11+M12+M13+M14+M15+M16+M17+M18+M19+M20</f>
        <v>29796.440000000002</v>
      </c>
      <c r="N21" s="49">
        <f>B21+C21+D21+E21+F21+G21+H21+I21+J21+K21+L21+M21</f>
        <v>291222.55</v>
      </c>
    </row>
    <row r="22" spans="1:14" ht="16">
      <c r="A22" s="38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ht="16">
      <c r="A23" s="39" t="s">
        <v>20</v>
      </c>
      <c r="B23" s="46"/>
      <c r="C23" s="47">
        <v>575.04</v>
      </c>
      <c r="D23" s="46"/>
      <c r="E23" s="46"/>
      <c r="F23" s="47">
        <v>190.27</v>
      </c>
      <c r="G23" s="47">
        <v>287.52</v>
      </c>
      <c r="H23" s="47">
        <v>251.64</v>
      </c>
      <c r="I23" s="47">
        <v>135.88</v>
      </c>
      <c r="J23" s="47">
        <v>808.8</v>
      </c>
      <c r="K23" s="47">
        <v>335.52</v>
      </c>
      <c r="L23" s="47">
        <v>293.64</v>
      </c>
      <c r="M23" s="47">
        <v>83.88</v>
      </c>
      <c r="N23" s="47">
        <f>B23+C23+D23+E23+F23+G23+H23+I23+J23+K23+L23+M23</f>
        <v>2962.1899999999996</v>
      </c>
    </row>
    <row r="24" spans="1:14" ht="16">
      <c r="A24" s="39" t="s">
        <v>21</v>
      </c>
      <c r="B24" s="46"/>
      <c r="C24" s="46"/>
      <c r="D24" s="46"/>
      <c r="E24" s="46"/>
      <c r="F24" s="47">
        <v>64.99</v>
      </c>
      <c r="G24" s="46"/>
      <c r="H24" s="50">
        <v>0</v>
      </c>
      <c r="I24" s="47">
        <v>77.88</v>
      </c>
      <c r="J24" s="47">
        <v>155.76</v>
      </c>
      <c r="K24" s="47">
        <v>311.52</v>
      </c>
      <c r="L24" s="46"/>
      <c r="M24" s="47">
        <v>77.88</v>
      </c>
      <c r="N24" s="47">
        <f>B24+C24+D24+E24+F24+G24+H24+I24+J24+K24+L24+M24</f>
        <v>688.03</v>
      </c>
    </row>
    <row r="25" spans="1:14" ht="16">
      <c r="A25" s="40" t="s">
        <v>22</v>
      </c>
      <c r="B25" s="49">
        <f>B22+B23+B24</f>
        <v>0.0</v>
      </c>
      <c r="C25" s="48">
        <f>C22+C23+C24</f>
        <v>575.04</v>
      </c>
      <c r="D25" s="49">
        <f>D22+D23+D24</f>
        <v>0.0</v>
      </c>
      <c r="E25" s="49">
        <f>E22+E23+E24</f>
        <v>0.0</v>
      </c>
      <c r="F25" s="48">
        <f>F22+F23+F24</f>
        <v>255.26</v>
      </c>
      <c r="G25" s="48">
        <f>G22+G23+G24</f>
        <v>287.52</v>
      </c>
      <c r="H25" s="48">
        <f>H22+H23+H24</f>
        <v>251.64</v>
      </c>
      <c r="I25" s="48">
        <f>I22+I23+I24</f>
        <v>213.76</v>
      </c>
      <c r="J25" s="48">
        <f>J22+J23+J24</f>
        <v>964.56</v>
      </c>
      <c r="K25" s="48">
        <f>K22+K23+K24</f>
        <v>647.04</v>
      </c>
      <c r="L25" s="48">
        <f>L22+L23+L24</f>
        <v>293.64</v>
      </c>
      <c r="M25" s="48">
        <f>M22+M23+M24</f>
        <v>161.76</v>
      </c>
      <c r="N25" s="49">
        <f>B25+C25+D25+E25+F25+G25+H25+I25+J25+K25+L25+M25</f>
        <v>3650.2199999999993</v>
      </c>
    </row>
    <row r="26" spans="1:14" ht="16">
      <c r="A26" s="38" t="s">
        <v>23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ht="16">
      <c r="A27" s="39" t="s">
        <v>24</v>
      </c>
      <c r="B27" s="47">
        <v>1170.0</v>
      </c>
      <c r="C27" s="47">
        <v>390.0</v>
      </c>
      <c r="D27" s="47">
        <v>601.8</v>
      </c>
      <c r="E27" s="47">
        <v>1170.0</v>
      </c>
      <c r="F27" s="47">
        <v>37.74</v>
      </c>
      <c r="G27" s="47">
        <v>1950.0</v>
      </c>
      <c r="H27" s="47">
        <v>596.76</v>
      </c>
      <c r="I27" s="47">
        <v>115.48</v>
      </c>
      <c r="J27" s="47">
        <v>57.54</v>
      </c>
      <c r="K27" s="47">
        <v>172.62</v>
      </c>
      <c r="L27" s="47">
        <v>130.98</v>
      </c>
      <c r="M27" s="47">
        <v>397.2</v>
      </c>
      <c r="N27" s="47">
        <f>B27+C27+D27+E27+F27+G27+H27+I27+J27+K27+L27+M27</f>
        <v>6790.119999999999</v>
      </c>
    </row>
    <row r="28" spans="1:14" ht="16">
      <c r="A28" s="39" t="s">
        <v>25</v>
      </c>
      <c r="B28" s="46"/>
      <c r="C28" s="47">
        <v>1794.0</v>
      </c>
      <c r="D28" s="46"/>
      <c r="E28" s="46"/>
      <c r="F28" s="46"/>
      <c r="G28" s="46"/>
      <c r="H28" s="47">
        <v>427.74</v>
      </c>
      <c r="I28" s="47">
        <v>133.02</v>
      </c>
      <c r="J28" s="46"/>
      <c r="K28" s="47">
        <v>248.1</v>
      </c>
      <c r="L28" s="47">
        <v>53.75</v>
      </c>
      <c r="M28" s="46"/>
      <c r="N28" s="47">
        <f>B28+C28+D28+E28+F28+G28+H28+I28+J28+K28+L28+M28</f>
        <v>2656.6099999999997</v>
      </c>
    </row>
    <row r="29" spans="1:14" ht="16">
      <c r="A29" s="39" t="s">
        <v>26</v>
      </c>
      <c r="B29" s="46"/>
      <c r="C29" s="46"/>
      <c r="D29" s="46"/>
      <c r="E29" s="46"/>
      <c r="F29" s="46"/>
      <c r="G29" s="46"/>
      <c r="H29" s="47">
        <v>36.0</v>
      </c>
      <c r="I29" s="47">
        <v>89.94</v>
      </c>
      <c r="J29" s="46"/>
      <c r="K29" s="47">
        <v>118.2</v>
      </c>
      <c r="L29" s="46"/>
      <c r="M29" s="46"/>
      <c r="N29" s="47">
        <f>B29+C29+D29+E29+F29+G29+H29+I29+J29+K29+L29+M29</f>
        <v>244.14</v>
      </c>
    </row>
    <row r="30" spans="1:14" ht="16">
      <c r="A30" s="39" t="s">
        <v>27</v>
      </c>
      <c r="B30" s="46"/>
      <c r="C30" s="46"/>
      <c r="D30" s="46"/>
      <c r="E30" s="46"/>
      <c r="F30" s="46"/>
      <c r="G30" s="47">
        <v>780.0</v>
      </c>
      <c r="H30" s="47">
        <v>911.52</v>
      </c>
      <c r="I30" s="46"/>
      <c r="J30" s="47">
        <v>1560.0</v>
      </c>
      <c r="K30" s="47">
        <v>179.82</v>
      </c>
      <c r="L30" s="47">
        <v>277.5</v>
      </c>
      <c r="M30" s="47">
        <v>239.76</v>
      </c>
      <c r="N30" s="47">
        <f>B30+C30+D30+E30+F30+G30+H30+I30+J30+K30+L30+M30</f>
        <v>3948.6000000000004</v>
      </c>
    </row>
    <row r="31" spans="1:14" ht="16">
      <c r="A31" s="40" t="s">
        <v>28</v>
      </c>
      <c r="B31" s="48">
        <f>B26+B27+B28+B29+B30</f>
        <v>1170.0</v>
      </c>
      <c r="C31" s="48">
        <f>C26+C27+C28+C29+C30</f>
        <v>2184.0</v>
      </c>
      <c r="D31" s="48">
        <f>D26+D27+D28+D29+D30</f>
        <v>601.8</v>
      </c>
      <c r="E31" s="48">
        <f>E26+E27+E28+E29+E30</f>
        <v>1170.0</v>
      </c>
      <c r="F31" s="48">
        <f>F26+F27+F28+F29+F30</f>
        <v>37.74</v>
      </c>
      <c r="G31" s="48">
        <f>G26+G27+G28+G29+G30</f>
        <v>2730.0</v>
      </c>
      <c r="H31" s="48">
        <f>H26+H27+H28+H29+H30</f>
        <v>1972.02</v>
      </c>
      <c r="I31" s="48">
        <f>I26+I27+I28+I29+I30</f>
        <v>338.44</v>
      </c>
      <c r="J31" s="48">
        <f>J26+J27+J28+J29+J30</f>
        <v>1617.54</v>
      </c>
      <c r="K31" s="48">
        <f>K26+K27+K28+K29+K30</f>
        <v>718.74</v>
      </c>
      <c r="L31" s="48">
        <f>L26+L27+L28+L29+L30</f>
        <v>462.23</v>
      </c>
      <c r="M31" s="48">
        <f>M26+M27+M28+M29+M30</f>
        <v>636.96</v>
      </c>
      <c r="N31" s="49">
        <f>B31+C31+D31+E31+F31+G31+H31+I31+J31+K31+L31+M31</f>
        <v>13639.470000000001</v>
      </c>
    </row>
    <row r="32" spans="1:14" ht="16">
      <c r="A32" s="38" t="s">
        <v>29</v>
      </c>
      <c r="B32" s="47">
        <v>1797.39</v>
      </c>
      <c r="C32" s="47">
        <v>809.76</v>
      </c>
      <c r="D32" s="47">
        <v>1520.04</v>
      </c>
      <c r="E32" s="47">
        <v>1923.0</v>
      </c>
      <c r="F32" s="46"/>
      <c r="G32" s="47">
        <v>-82.69</v>
      </c>
      <c r="H32" s="47">
        <v>210.66</v>
      </c>
      <c r="I32" s="47">
        <v>206.22</v>
      </c>
      <c r="J32" s="50">
        <v>0</v>
      </c>
      <c r="K32" s="47">
        <v>425.76</v>
      </c>
      <c r="L32" s="47">
        <v>5427.18</v>
      </c>
      <c r="M32" s="47">
        <v>437.76</v>
      </c>
      <c r="N32" s="47">
        <f>B32+C32+D32+E32+F32+G32+H32+I32+J32+K32+L32+M32</f>
        <v>12675.080000000002</v>
      </c>
    </row>
    <row r="33" spans="1:14" ht="16">
      <c r="A33" s="38" t="s">
        <v>30</v>
      </c>
      <c r="B33" s="47">
        <v>2963.0</v>
      </c>
      <c r="C33" s="47">
        <v>2970.0</v>
      </c>
      <c r="D33" s="47">
        <v>6369.0</v>
      </c>
      <c r="E33" s="47">
        <v>3275.0</v>
      </c>
      <c r="F33" s="47">
        <v>3030.0</v>
      </c>
      <c r="G33" s="47">
        <v>9167.0</v>
      </c>
      <c r="H33" s="50">
        <v>0</v>
      </c>
      <c r="I33" s="46"/>
      <c r="J33" s="46"/>
      <c r="K33" s="46"/>
      <c r="L33" s="46"/>
      <c r="M33" s="46"/>
      <c r="N33" s="47">
        <f>B33+C33+D33+E33+F33+G33+H33+I33+J33+K33+L33+M33</f>
        <v>27774.0</v>
      </c>
    </row>
    <row r="34" spans="1:14" ht="16">
      <c r="A34" s="38" t="s">
        <v>31</v>
      </c>
      <c r="B34" s="47">
        <v>4435.12</v>
      </c>
      <c r="C34" s="47">
        <v>4776.3</v>
      </c>
      <c r="D34" s="47">
        <v>5589.54</v>
      </c>
      <c r="E34" s="47">
        <v>6670.48</v>
      </c>
      <c r="F34" s="47">
        <v>7127.49</v>
      </c>
      <c r="G34" s="47">
        <v>6272.61</v>
      </c>
      <c r="H34" s="47">
        <v>8584.23</v>
      </c>
      <c r="I34" s="47">
        <v>4477.58</v>
      </c>
      <c r="J34" s="47">
        <v>4072.27</v>
      </c>
      <c r="K34" s="47">
        <v>4868.98</v>
      </c>
      <c r="L34" s="47">
        <v>4423.01</v>
      </c>
      <c r="M34" s="47">
        <v>13287.41</v>
      </c>
      <c r="N34" s="47">
        <f>B34+C34+D34+E34+F34+G34+H34+I34+J34+K34+L34+M34</f>
        <v>74585.02</v>
      </c>
    </row>
    <row r="35" spans="1:14" ht="16">
      <c r="A35" s="38" t="s">
        <v>32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</row>
    <row r="36" spans="1:14" ht="16">
      <c r="A36" s="39" t="s">
        <v>33</v>
      </c>
      <c r="B36" s="47">
        <v>1589.56</v>
      </c>
      <c r="C36" s="47">
        <v>3932.09</v>
      </c>
      <c r="D36" s="47">
        <v>3085.7</v>
      </c>
      <c r="E36" s="47">
        <v>5548.11</v>
      </c>
      <c r="F36" s="47">
        <v>1105.27</v>
      </c>
      <c r="G36" s="47">
        <v>1515.44</v>
      </c>
      <c r="H36" s="47">
        <v>2054.37</v>
      </c>
      <c r="I36" s="47">
        <v>3331.51</v>
      </c>
      <c r="J36" s="47">
        <v>3073.9</v>
      </c>
      <c r="K36" s="47">
        <v>3683.66</v>
      </c>
      <c r="L36" s="47">
        <v>3280.21</v>
      </c>
      <c r="M36" s="47">
        <v>7689.1</v>
      </c>
      <c r="N36" s="47">
        <f>B36+C36+D36+E36+F36+G36+H36+I36+J36+K36+L36+M36</f>
        <v>39888.92</v>
      </c>
    </row>
    <row r="37" spans="1:14" ht="16">
      <c r="A37" s="40" t="s">
        <v>34</v>
      </c>
      <c r="B37" s="48">
        <f>B35+B36</f>
        <v>1589.56</v>
      </c>
      <c r="C37" s="48">
        <f>C35+C36</f>
        <v>3932.09</v>
      </c>
      <c r="D37" s="48">
        <f>D35+D36</f>
        <v>3085.7</v>
      </c>
      <c r="E37" s="48">
        <f>E35+E36</f>
        <v>5548.11</v>
      </c>
      <c r="F37" s="48">
        <f>F35+F36</f>
        <v>1105.27</v>
      </c>
      <c r="G37" s="48">
        <f>G35+G36</f>
        <v>1515.44</v>
      </c>
      <c r="H37" s="48">
        <f>H35+H36</f>
        <v>2054.37</v>
      </c>
      <c r="I37" s="48">
        <f>I35+I36</f>
        <v>3331.51</v>
      </c>
      <c r="J37" s="48">
        <f>J35+J36</f>
        <v>3073.9</v>
      </c>
      <c r="K37" s="48">
        <f>K35+K36</f>
        <v>3683.66</v>
      </c>
      <c r="L37" s="48">
        <f>L35+L36</f>
        <v>3280.21</v>
      </c>
      <c r="M37" s="48">
        <f>M35+M36</f>
        <v>7689.1</v>
      </c>
      <c r="N37" s="49">
        <f>B37+C37+D37+E37+F37+G37+H37+I37+J37+K37+L37+M37</f>
        <v>39888.92</v>
      </c>
    </row>
    <row r="38" spans="1:14" ht="16">
      <c r="A38" s="41" t="s">
        <v>35</v>
      </c>
      <c r="B38" s="48">
        <f>B7+B21+B25+B31+B32+B33+B34+B37</f>
        <v>32458.8</v>
      </c>
      <c r="C38" s="48">
        <f>C7+C21+C25+C31+C32+C33+C34+C37</f>
        <v>47974.03</v>
      </c>
      <c r="D38" s="48">
        <f>D7+D21+D25+D31+D32+D33+D34+D37</f>
        <v>31634.64</v>
      </c>
      <c r="E38" s="48">
        <f>E7+E21+E25+E31+E32+E33+E34+E37</f>
        <v>37049.88999999999</v>
      </c>
      <c r="F38" s="48">
        <f>F7+F21+F25+F31+F32+F33+F34+F37</f>
        <v>41275.22</v>
      </c>
      <c r="G38" s="48">
        <f>G7+G21+G25+G31+G32+G33+G34+G37</f>
        <v>40887.200000000004</v>
      </c>
      <c r="H38" s="48">
        <f>H7+H21+H25+H31+H32+H33+H34+H37</f>
        <v>55707.1</v>
      </c>
      <c r="I38" s="48">
        <f>I7+I21+I25+I31+I32+I33+I34+I37</f>
        <v>17059.44</v>
      </c>
      <c r="J38" s="48">
        <f>J7+J21+J25+J31+J32+J33+J34+J37</f>
        <v>42929.63</v>
      </c>
      <c r="K38" s="48">
        <f>K7+K21+K25+K31+K32+K33+K34+K37</f>
        <v>22591.47</v>
      </c>
      <c r="L38" s="48">
        <f>L7+L21+L25+L31+L32+L33+L34+L37</f>
        <v>41858.41</v>
      </c>
      <c r="M38" s="48">
        <f>M7+M21+M25+M31+M32+M33+M34+M37</f>
        <v>52009.43</v>
      </c>
      <c r="N38" s="49">
        <f>B38+C38+D38+E38+F38+G38+H38+I38+J38+K38+L38+M38</f>
        <v>463435.26000000007</v>
      </c>
    </row>
    <row r="39" spans="1:14" ht="16">
      <c r="A39" s="37" t="s">
        <v>36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7">
        <v>31.96</v>
      </c>
      <c r="M39" s="47">
        <v>30.07</v>
      </c>
      <c r="N39" s="47">
        <f>B39+C39+D39+E39+F39+G39+H39+I39+J39+K39+L39+M39</f>
        <v>62.03</v>
      </c>
    </row>
    <row r="40" spans="1:14" ht="16">
      <c r="A40" s="37" t="s">
        <v>37</v>
      </c>
      <c r="B40" s="50">
        <v>0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7">
        <v>1500.0</v>
      </c>
      <c r="N40" s="47">
        <f>B40+C40+D40+E40+F40+G40+H40+I40+J40+K40+L40+M40</f>
        <v>1500.0</v>
      </c>
    </row>
    <row r="41" spans="1:14" ht="16">
      <c r="A41" s="37" t="s">
        <v>38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50">
        <v>0</v>
      </c>
      <c r="M41" s="50">
        <v>0</v>
      </c>
      <c r="N41" s="50">
        <f>B41+C41+D41+E41+F41+G41+H41+I41+J41+K41+L41+M41</f>
        <v>0.0</v>
      </c>
    </row>
    <row r="42" spans="1:14" ht="16">
      <c r="A42" s="42" t="s">
        <v>39</v>
      </c>
      <c r="B42" s="48">
        <f>B6+B38+B39+B40+B41</f>
        <v>32458.8</v>
      </c>
      <c r="C42" s="48">
        <f>C6+C38+C39+C40+C41</f>
        <v>47974.03</v>
      </c>
      <c r="D42" s="48">
        <f>D6+D38+D39+D40+D41</f>
        <v>31634.64</v>
      </c>
      <c r="E42" s="48">
        <f>E6+E38+E39+E40+E41</f>
        <v>37049.88999999999</v>
      </c>
      <c r="F42" s="48">
        <f>F6+F38+F39+F40+F41</f>
        <v>41275.22</v>
      </c>
      <c r="G42" s="48">
        <f>G6+G38+G39+G40+G41</f>
        <v>40887.200000000004</v>
      </c>
      <c r="H42" s="48">
        <f>H6+H38+H39+H40+H41</f>
        <v>55707.1</v>
      </c>
      <c r="I42" s="48">
        <f>I6+I38+I39+I40+I41</f>
        <v>17059.44</v>
      </c>
      <c r="J42" s="48">
        <f>J6+J38+J39+J40+J41</f>
        <v>42929.63</v>
      </c>
      <c r="K42" s="48">
        <f>K6+K38+K39+K40+K41</f>
        <v>22591.47</v>
      </c>
      <c r="L42" s="48">
        <f>L6+L38+L39+L40+L41</f>
        <v>41890.37</v>
      </c>
      <c r="M42" s="48">
        <f>M6+M38+M39+M40+M41</f>
        <v>53539.5</v>
      </c>
      <c r="N42" s="49">
        <f>B42+C42+D42+E42+F42+G42+H42+I42+J42+K42+L42+M42</f>
        <v>464997.29000000004</v>
      </c>
    </row>
    <row r="43" spans="1:13" ht="16">
      <c r="A43" s="36" t="s">
        <v>40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 spans="1:14" ht="16">
      <c r="A44" s="37" t="s">
        <v>41</v>
      </c>
      <c r="B44" s="50">
        <v>0</v>
      </c>
      <c r="C44" s="50">
        <v>0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50">
        <f>B44+C44+D44+E44+F44+G44+H44+I44+J44+K44+L44+M44</f>
        <v>0.0</v>
      </c>
    </row>
    <row r="45" spans="1:14" ht="16">
      <c r="A45" s="38" t="s">
        <v>42</v>
      </c>
      <c r="B45" s="47">
        <v>3477.6</v>
      </c>
      <c r="C45" s="47">
        <v>7464.72</v>
      </c>
      <c r="D45" s="47">
        <v>6637.66</v>
      </c>
      <c r="E45" s="47">
        <v>6882.8</v>
      </c>
      <c r="F45" s="47">
        <v>4572.13</v>
      </c>
      <c r="G45" s="47">
        <v>8038.07</v>
      </c>
      <c r="H45" s="47">
        <v>3091.44</v>
      </c>
      <c r="I45" s="47">
        <v>3149.13</v>
      </c>
      <c r="J45" s="47">
        <v>2990.66</v>
      </c>
      <c r="K45" s="47">
        <v>3792.82</v>
      </c>
      <c r="L45" s="47">
        <v>3605.37</v>
      </c>
      <c r="M45" s="47">
        <v>7519.68</v>
      </c>
      <c r="N45" s="47">
        <f>B45+C45+D45+E45+F45+G45+H45+I45+J45+K45+L45+M45</f>
        <v>61222.079999999994</v>
      </c>
    </row>
    <row r="46" spans="1:14" ht="16">
      <c r="A46" s="38" t="s">
        <v>43</v>
      </c>
      <c r="B46" s="47">
        <v>2002.1</v>
      </c>
      <c r="C46" s="47">
        <v>1318.02</v>
      </c>
      <c r="D46" s="47">
        <v>927.55</v>
      </c>
      <c r="E46" s="47">
        <v>488.99</v>
      </c>
      <c r="F46" s="47">
        <v>2118.15</v>
      </c>
      <c r="G46" s="47">
        <v>4341.43</v>
      </c>
      <c r="H46" s="47">
        <v>2478.43</v>
      </c>
      <c r="I46" s="47">
        <v>2310.16</v>
      </c>
      <c r="J46" s="47">
        <v>380.01</v>
      </c>
      <c r="K46" s="47">
        <v>2771.4</v>
      </c>
      <c r="L46" s="47">
        <v>2315.9</v>
      </c>
      <c r="M46" s="47">
        <v>3109.15</v>
      </c>
      <c r="N46" s="47">
        <f>B46+C46+D46+E46+F46+G46+H46+I46+J46+K46+L46+M46</f>
        <v>24561.290000000005</v>
      </c>
    </row>
    <row r="47" spans="1:14" ht="16">
      <c r="A47" s="38" t="s">
        <v>44</v>
      </c>
      <c r="B47" s="47">
        <v>13858.32</v>
      </c>
      <c r="C47" s="47">
        <v>1959.84</v>
      </c>
      <c r="D47" s="47">
        <v>5093.54</v>
      </c>
      <c r="E47" s="47">
        <v>8831.68</v>
      </c>
      <c r="F47" s="47">
        <v>8715.07</v>
      </c>
      <c r="G47" s="47">
        <v>-34.97</v>
      </c>
      <c r="H47" s="47">
        <v>751.02</v>
      </c>
      <c r="I47" s="46"/>
      <c r="J47" s="47">
        <v>16.8</v>
      </c>
      <c r="K47" s="47">
        <v>-2182.6</v>
      </c>
      <c r="L47" s="47">
        <v>1575.0</v>
      </c>
      <c r="M47" s="47">
        <v>7888.08</v>
      </c>
      <c r="N47" s="47">
        <f>B47+C47+D47+E47+F47+G47+H47+I47+J47+K47+L47+M47</f>
        <v>46471.78</v>
      </c>
    </row>
    <row r="48" spans="1:14" ht="16">
      <c r="A48" s="38" t="s">
        <v>45</v>
      </c>
      <c r="B48" s="47">
        <v>10051.75</v>
      </c>
      <c r="C48" s="47">
        <v>1762.34</v>
      </c>
      <c r="D48" s="47">
        <v>12259.51</v>
      </c>
      <c r="E48" s="47">
        <v>9674.12</v>
      </c>
      <c r="F48" s="47">
        <v>11030.09</v>
      </c>
      <c r="G48" s="47">
        <v>9916.47</v>
      </c>
      <c r="H48" s="47">
        <v>40802.26</v>
      </c>
      <c r="I48" s="47">
        <v>-813.97</v>
      </c>
      <c r="J48" s="47">
        <v>25039.16</v>
      </c>
      <c r="K48" s="47">
        <v>-8464.01</v>
      </c>
      <c r="L48" s="47">
        <v>13195.85</v>
      </c>
      <c r="M48" s="47">
        <v>16923.15</v>
      </c>
      <c r="N48" s="47">
        <f>B48+C48+D48+E48+F48+G48+H48+I48+J48+K48+L48+M48</f>
        <v>141376.72000000003</v>
      </c>
    </row>
    <row r="49" spans="1:14" ht="16">
      <c r="A49" s="38" t="s">
        <v>46</v>
      </c>
      <c r="B49" s="46"/>
      <c r="C49" s="46"/>
      <c r="D49" s="46"/>
      <c r="E49" s="46"/>
      <c r="F49" s="46"/>
      <c r="G49" s="46"/>
      <c r="H49" s="46"/>
      <c r="I49" s="47">
        <v>-387.09</v>
      </c>
      <c r="J49" s="46"/>
      <c r="K49" s="46"/>
      <c r="L49" s="46"/>
      <c r="M49" s="46"/>
      <c r="N49" s="47">
        <f>B49+C49+D49+E49+F49+G49+H49+I49+J49+K49+L49+M49</f>
        <v>-387.09</v>
      </c>
    </row>
    <row r="50" spans="1:14" ht="16">
      <c r="A50" s="38" t="s">
        <v>47</v>
      </c>
      <c r="B50" s="47">
        <v>5172.05</v>
      </c>
      <c r="C50" s="47">
        <v>-2152.53</v>
      </c>
      <c r="D50" s="47">
        <v>-17970.13</v>
      </c>
      <c r="E50" s="47">
        <v>-1776.7</v>
      </c>
      <c r="F50" s="47">
        <v>19277.03</v>
      </c>
      <c r="G50" s="47">
        <v>733.6</v>
      </c>
      <c r="H50" s="47">
        <v>-3366.49</v>
      </c>
      <c r="I50" s="47">
        <v>520.86</v>
      </c>
      <c r="J50" s="47">
        <v>-286.33</v>
      </c>
      <c r="K50" s="47">
        <v>-172.16</v>
      </c>
      <c r="L50" s="47">
        <v>-350.22</v>
      </c>
      <c r="M50" s="47">
        <v>-337.12</v>
      </c>
      <c r="N50" s="47">
        <f>B50+C50+D50+E50+F50+G50+H50+I50+J50+K50+L50+M50</f>
        <v>-708.1400000000024</v>
      </c>
    </row>
    <row r="51" spans="1:14" ht="16">
      <c r="A51" s="38" t="s">
        <v>48</v>
      </c>
      <c r="B51" s="46"/>
      <c r="C51" s="46"/>
      <c r="D51" s="50">
        <v>0</v>
      </c>
      <c r="E51" s="50">
        <v>0</v>
      </c>
      <c r="F51" s="50">
        <v>0</v>
      </c>
      <c r="G51" s="46"/>
      <c r="H51" s="46"/>
      <c r="I51" s="46"/>
      <c r="J51" s="46"/>
      <c r="K51" s="46"/>
      <c r="L51" s="46"/>
      <c r="M51" s="46"/>
      <c r="N51" s="50">
        <f>B51+C51+D51+E51+F51+G51+H51+I51+J51+K51+L51+M51</f>
        <v>0.0</v>
      </c>
    </row>
    <row r="52" spans="1:14" ht="16">
      <c r="A52" s="38" t="s">
        <v>49</v>
      </c>
      <c r="B52" s="47">
        <v>64.0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>
        <f>B52+C52+D52+E52+F52+G52+H52+I52+J52+K52+L52+M52</f>
        <v>64.0</v>
      </c>
    </row>
    <row r="53" spans="1:14" ht="16">
      <c r="A53" s="38" t="s">
        <v>50</v>
      </c>
      <c r="B53" s="47">
        <v>8.46</v>
      </c>
      <c r="C53" s="47">
        <v>392.59</v>
      </c>
      <c r="D53" s="47">
        <v>1010.48</v>
      </c>
      <c r="E53" s="47">
        <v>53.24</v>
      </c>
      <c r="F53" s="47">
        <v>75.76</v>
      </c>
      <c r="G53" s="47">
        <v>187.22</v>
      </c>
      <c r="H53" s="47">
        <v>272.59</v>
      </c>
      <c r="I53" s="47">
        <v>106.18</v>
      </c>
      <c r="J53" s="47">
        <v>335.35</v>
      </c>
      <c r="K53" s="47">
        <v>74.69</v>
      </c>
      <c r="L53" s="47">
        <v>265.25</v>
      </c>
      <c r="M53" s="47">
        <v>300.86</v>
      </c>
      <c r="N53" s="47">
        <f>B53+C53+D53+E53+F53+G53+H53+I53+J53+K53+L53+M53</f>
        <v>3082.67</v>
      </c>
    </row>
    <row r="54" spans="1:14" ht="16">
      <c r="A54" s="38" t="s">
        <v>51</v>
      </c>
      <c r="B54" s="47">
        <v>980.05</v>
      </c>
      <c r="C54" s="46"/>
      <c r="D54" s="47">
        <v>269.7</v>
      </c>
      <c r="E54" s="47">
        <v>481.96</v>
      </c>
      <c r="F54" s="47">
        <v>255.19</v>
      </c>
      <c r="G54" s="46"/>
      <c r="H54" s="47">
        <v>86.44</v>
      </c>
      <c r="I54" s="47">
        <v>439.04</v>
      </c>
      <c r="J54" s="47">
        <v>231.07</v>
      </c>
      <c r="K54" s="47">
        <v>43.22</v>
      </c>
      <c r="L54" s="47">
        <v>511.13</v>
      </c>
      <c r="M54" s="46"/>
      <c r="N54" s="47">
        <f>B54+C54+D54+E54+F54+G54+H54+I54+J54+K54+L54+M54</f>
        <v>3297.8</v>
      </c>
    </row>
    <row r="55" spans="1:14" ht="16">
      <c r="A55" s="38" t="s">
        <v>52</v>
      </c>
      <c r="B55" s="47">
        <v>19.16</v>
      </c>
      <c r="C55" s="47">
        <v>46.66</v>
      </c>
      <c r="D55" s="46"/>
      <c r="E55" s="46"/>
      <c r="F55" s="46"/>
      <c r="G55" s="46"/>
      <c r="H55" s="46"/>
      <c r="I55" s="46"/>
      <c r="J55" s="46"/>
      <c r="K55" s="46"/>
      <c r="L55" s="47">
        <v>117.59</v>
      </c>
      <c r="M55" s="46"/>
      <c r="N55" s="47">
        <f>B55+C55+D55+E55+F55+G55+H55+I55+J55+K55+L55+M55</f>
        <v>183.41</v>
      </c>
    </row>
    <row r="56" spans="1:14" ht="16">
      <c r="A56" s="38" t="s">
        <v>53</v>
      </c>
      <c r="B56" s="47">
        <v>173.41</v>
      </c>
      <c r="C56" s="47">
        <v>15.97</v>
      </c>
      <c r="D56" s="47">
        <v>8.21</v>
      </c>
      <c r="E56" s="47">
        <v>26.47</v>
      </c>
      <c r="F56" s="47">
        <v>34.64</v>
      </c>
      <c r="G56" s="46"/>
      <c r="H56" s="47">
        <v>71.96</v>
      </c>
      <c r="I56" s="47">
        <v>18.55</v>
      </c>
      <c r="J56" s="47">
        <v>36.96</v>
      </c>
      <c r="K56" s="47">
        <v>4.7</v>
      </c>
      <c r="L56" s="47">
        <v>47.0</v>
      </c>
      <c r="M56" s="46"/>
      <c r="N56" s="47">
        <f>B56+C56+D56+E56+F56+G56+H56+I56+J56+K56+L56+M56</f>
        <v>437.86999999999995</v>
      </c>
    </row>
    <row r="57" spans="1:14" ht="16">
      <c r="A57" s="38" t="s">
        <v>54</v>
      </c>
      <c r="B57" s="47">
        <v>8349.46</v>
      </c>
      <c r="C57" s="47">
        <v>5096.15</v>
      </c>
      <c r="D57" s="47">
        <v>140.88</v>
      </c>
      <c r="E57" s="47">
        <v>4329.26</v>
      </c>
      <c r="F57" s="47">
        <v>7320.68</v>
      </c>
      <c r="G57" s="47">
        <v>56.64</v>
      </c>
      <c r="H57" s="47">
        <v>3921.14</v>
      </c>
      <c r="I57" s="47">
        <v>2222.67</v>
      </c>
      <c r="J57" s="47">
        <v>1427.44</v>
      </c>
      <c r="K57" s="47">
        <v>60.49</v>
      </c>
      <c r="L57" s="47">
        <v>1204.63</v>
      </c>
      <c r="M57" s="47">
        <v>407.04</v>
      </c>
      <c r="N57" s="47">
        <f>B57+C57+D57+E57+F57+G57+H57+I57+J57+K57+L57+M57</f>
        <v>34536.479999999996</v>
      </c>
    </row>
    <row r="58" spans="1:14" ht="16">
      <c r="A58" s="41" t="s">
        <v>55</v>
      </c>
      <c r="B58" s="48">
        <f>B44+B45+B46+B47+B48+B49+B50+B51+B52+B53+B54+B55+B56+B57</f>
        <v>44156.36000000001</v>
      </c>
      <c r="C58" s="48">
        <f>C44+C45+C46+C47+C48+C49+C50+C51+C52+C53+C54+C55+C56+C57</f>
        <v>15903.759999999998</v>
      </c>
      <c r="D58" s="48">
        <f>D44+D45+D46+D47+D48+D49+D50+D51+D52+D53+D54+D55+D56+D57</f>
        <v>8377.4</v>
      </c>
      <c r="E58" s="48">
        <f>E44+E45+E46+E47+E48+E49+E50+E51+E52+E53+E54+E55+E56+E57</f>
        <v>28991.820000000007</v>
      </c>
      <c r="F58" s="48">
        <f>F44+F45+F46+F47+F48+F49+F50+F51+F52+F53+F54+F55+F56+F57</f>
        <v>53398.740000000005</v>
      </c>
      <c r="G58" s="48">
        <f>G44+G45+G46+G47+G48+G49+G50+G51+G52+G53+G54+G55+G56+G57</f>
        <v>23238.46</v>
      </c>
      <c r="H58" s="48">
        <f>H44+H45+H46+H47+H48+H49+H50+H51+H52+H53+H54+H55+H56+H57</f>
        <v>48108.79</v>
      </c>
      <c r="I58" s="48">
        <f>I44+I45+I46+I47+I48+I49+I50+I51+I52+I53+I54+I55+I56+I57</f>
        <v>7565.53</v>
      </c>
      <c r="J58" s="48">
        <f>J44+J45+J46+J47+J48+J49+J50+J51+J52+J53+J54+J55+J56+J57</f>
        <v>30171.119999999995</v>
      </c>
      <c r="K58" s="48">
        <f>K44+K45+K46+K47+K48+K49+K50+K51+K52+K53+K54+K55+K56+K57</f>
        <v>-4071.45</v>
      </c>
      <c r="L58" s="48">
        <f>L44+L45+L46+L47+L48+L49+L50+L51+L52+L53+L54+L55+L56+L57</f>
        <v>22487.500000000004</v>
      </c>
      <c r="M58" s="48">
        <f>M44+M45+M46+M47+M48+M49+M50+M51+M52+M53+M54+M55+M56+M57</f>
        <v>35810.84</v>
      </c>
      <c r="N58" s="49">
        <f>B58+C58+D58+E58+F58+G58+H58+I58+J58+K58+L58+M58</f>
        <v>314138.87</v>
      </c>
    </row>
    <row r="59" spans="1:14" ht="16">
      <c r="A59" s="37" t="s">
        <v>40</v>
      </c>
      <c r="B59" s="50">
        <v>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f>B59+C59+D59+E59+F59+G59+H59+I59+J59+K59+L59+M59</f>
        <v>0.0</v>
      </c>
    </row>
    <row r="60" spans="1:14" ht="16">
      <c r="A60" s="42" t="s">
        <v>56</v>
      </c>
      <c r="B60" s="48">
        <f>B43+B58+B59</f>
        <v>44156.36000000001</v>
      </c>
      <c r="C60" s="48">
        <f>C43+C58+C59</f>
        <v>15903.759999999998</v>
      </c>
      <c r="D60" s="48">
        <f>D43+D58+D59</f>
        <v>8377.4</v>
      </c>
      <c r="E60" s="48">
        <f>E43+E58+E59</f>
        <v>28991.820000000007</v>
      </c>
      <c r="F60" s="48">
        <f>F43+F58+F59</f>
        <v>53398.740000000005</v>
      </c>
      <c r="G60" s="48">
        <f>G43+G58+G59</f>
        <v>23238.46</v>
      </c>
      <c r="H60" s="48">
        <f>H43+H58+H59</f>
        <v>48108.79</v>
      </c>
      <c r="I60" s="48">
        <f>I43+I58+I59</f>
        <v>7565.53</v>
      </c>
      <c r="J60" s="48">
        <f>J43+J58+J59</f>
        <v>30171.119999999995</v>
      </c>
      <c r="K60" s="48">
        <f>K43+K58+K59</f>
        <v>-4071.45</v>
      </c>
      <c r="L60" s="48">
        <f>L43+L58+L59</f>
        <v>22487.500000000004</v>
      </c>
      <c r="M60" s="48">
        <f>M43+M58+M59</f>
        <v>35810.84</v>
      </c>
      <c r="N60" s="49">
        <f>B60+C60+D60+E60+F60+G60+H60+I60+J60+K60+L60+M60</f>
        <v>314138.87</v>
      </c>
    </row>
    <row r="61" spans="1:14" ht="16">
      <c r="A61" s="42" t="s">
        <v>57</v>
      </c>
      <c r="B61" s="48">
        <f>B42-B60</f>
        <v>-11697.560000000009</v>
      </c>
      <c r="C61" s="48">
        <f>C42-C60</f>
        <v>32070.27</v>
      </c>
      <c r="D61" s="48">
        <f>D42-D60</f>
        <v>23257.239999999998</v>
      </c>
      <c r="E61" s="48">
        <f>E42-E60</f>
        <v>8058.069999999985</v>
      </c>
      <c r="F61" s="48">
        <f>F42-F60</f>
        <v>-12123.520000000004</v>
      </c>
      <c r="G61" s="48">
        <f>G42-G60</f>
        <v>17648.740000000005</v>
      </c>
      <c r="H61" s="48">
        <f>H42-H60</f>
        <v>7598.309999999998</v>
      </c>
      <c r="I61" s="48">
        <f>I42-I60</f>
        <v>9493.91</v>
      </c>
      <c r="J61" s="48">
        <f>J42-J60</f>
        <v>12758.510000000002</v>
      </c>
      <c r="K61" s="48">
        <f>K42-K60</f>
        <v>26662.920000000002</v>
      </c>
      <c r="L61" s="48">
        <f>L42-L60</f>
        <v>19402.87</v>
      </c>
      <c r="M61" s="48">
        <f>M42-M60</f>
        <v>17728.660000000003</v>
      </c>
      <c r="N61" s="49">
        <f>B61+C61+D61+E61+F61+G61+H61+I61+J61+K61+L61+M61</f>
        <v>150858.41999999998</v>
      </c>
    </row>
    <row r="62" spans="1:13" ht="16">
      <c r="A62" s="36" t="s">
        <v>58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</row>
    <row r="63" spans="1:14" ht="16">
      <c r="A63" s="37" t="s">
        <v>59</v>
      </c>
      <c r="B63" s="47">
        <v>283.23</v>
      </c>
      <c r="C63" s="47">
        <v>170.76</v>
      </c>
      <c r="D63" s="47">
        <v>42.14</v>
      </c>
      <c r="E63" s="47">
        <v>60.81</v>
      </c>
      <c r="F63" s="47">
        <v>18.24</v>
      </c>
      <c r="G63" s="47">
        <v>9.12</v>
      </c>
      <c r="H63" s="47">
        <v>1027.11</v>
      </c>
      <c r="I63" s="47">
        <v>716.23</v>
      </c>
      <c r="J63" s="47">
        <v>426.4</v>
      </c>
      <c r="K63" s="47">
        <v>2036.36</v>
      </c>
      <c r="L63" s="47">
        <v>2038.9</v>
      </c>
      <c r="M63" s="47">
        <v>-375.56</v>
      </c>
      <c r="N63" s="47">
        <f>B63+C63+D63+E63+F63+G63+H63+I63+J63+K63+L63+M63</f>
        <v>6453.739999999999</v>
      </c>
    </row>
    <row r="64" spans="1:14" ht="16">
      <c r="A64" s="38" t="s">
        <v>60</v>
      </c>
      <c r="B64" s="46"/>
      <c r="C64" s="47">
        <v>293.34</v>
      </c>
      <c r="D64" s="47">
        <v>525.0</v>
      </c>
      <c r="E64" s="46"/>
      <c r="F64" s="47">
        <v>1095.0</v>
      </c>
      <c r="G64" s="46"/>
      <c r="H64" s="46"/>
      <c r="I64" s="46"/>
      <c r="J64" s="46"/>
      <c r="K64" s="46"/>
      <c r="L64" s="46"/>
      <c r="M64" s="46"/>
      <c r="N64" s="47">
        <f>B64+C64+D64+E64+F64+G64+H64+I64+J64+K64+L64+M64</f>
        <v>1913.34</v>
      </c>
    </row>
    <row r="65" spans="1:14" ht="16">
      <c r="A65" s="38" t="s">
        <v>61</v>
      </c>
      <c r="B65" s="47">
        <v>0.16</v>
      </c>
      <c r="C65" s="47">
        <v>19.23</v>
      </c>
      <c r="D65" s="47">
        <v>19.84</v>
      </c>
      <c r="E65" s="47">
        <v>106.01</v>
      </c>
      <c r="F65" s="47">
        <v>57.95</v>
      </c>
      <c r="G65" s="47">
        <v>22.15</v>
      </c>
      <c r="H65" s="46"/>
      <c r="I65" s="47">
        <v>29.44</v>
      </c>
      <c r="J65" s="47">
        <v>87.98</v>
      </c>
      <c r="K65" s="47">
        <v>12.49</v>
      </c>
      <c r="L65" s="46"/>
      <c r="M65" s="46"/>
      <c r="N65" s="47">
        <f>B65+C65+D65+E65+F65+G65+H65+I65+J65+K65+L65+M65</f>
        <v>355.25</v>
      </c>
    </row>
    <row r="66" spans="1:14" ht="16">
      <c r="A66" s="38" t="s">
        <v>62</v>
      </c>
      <c r="B66" s="47">
        <v>300.0</v>
      </c>
      <c r="C66" s="47">
        <v>362.78</v>
      </c>
      <c r="D66" s="47">
        <v>39.24</v>
      </c>
      <c r="E66" s="47">
        <v>60.99</v>
      </c>
      <c r="F66" s="47">
        <v>62.81</v>
      </c>
      <c r="G66" s="47">
        <v>38.48</v>
      </c>
      <c r="H66" s="47">
        <v>99.18</v>
      </c>
      <c r="I66" s="47">
        <v>37.24</v>
      </c>
      <c r="J66" s="47">
        <v>205.93</v>
      </c>
      <c r="K66" s="47">
        <v>166.12</v>
      </c>
      <c r="L66" s="47">
        <v>484.55</v>
      </c>
      <c r="M66" s="47">
        <v>194.71</v>
      </c>
      <c r="N66" s="47">
        <f>B66+C66+D66+E66+F66+G66+H66+I66+J66+K66+L66+M66</f>
        <v>2052.0299999999997</v>
      </c>
    </row>
    <row r="67" spans="1:14" ht="16">
      <c r="A67" s="38" t="s">
        <v>63</v>
      </c>
      <c r="B67" s="47">
        <v>-3571.58</v>
      </c>
      <c r="C67" s="47">
        <v>442.82</v>
      </c>
      <c r="D67" s="47">
        <v>558.26</v>
      </c>
      <c r="E67" s="47">
        <v>672.67</v>
      </c>
      <c r="F67" s="47">
        <v>1129.34</v>
      </c>
      <c r="G67" s="47">
        <v>1618.52</v>
      </c>
      <c r="H67" s="47">
        <v>848.59</v>
      </c>
      <c r="I67" s="47">
        <v>1053.7</v>
      </c>
      <c r="J67" s="47">
        <v>1228.33</v>
      </c>
      <c r="K67" s="47">
        <v>377.48</v>
      </c>
      <c r="L67" s="47">
        <v>450.44</v>
      </c>
      <c r="M67" s="47">
        <v>454.5</v>
      </c>
      <c r="N67" s="47">
        <f>B67+C67+D67+E67+F67+G67+H67+I67+J67+K67+L67+M67</f>
        <v>5263.069999999999</v>
      </c>
    </row>
    <row r="68" spans="1:14" ht="16">
      <c r="A68" s="39" t="s">
        <v>64</v>
      </c>
      <c r="B68" s="46"/>
      <c r="C68" s="47">
        <v>20.13</v>
      </c>
      <c r="D68" s="46"/>
      <c r="E68" s="46"/>
      <c r="F68" s="46"/>
      <c r="G68" s="46"/>
      <c r="H68" s="46"/>
      <c r="I68" s="46"/>
      <c r="J68" s="46"/>
      <c r="K68" s="47">
        <v>85.41</v>
      </c>
      <c r="L68" s="46"/>
      <c r="M68" s="46"/>
      <c r="N68" s="47">
        <f>B68+C68+D68+E68+F68+G68+H68+I68+J68+K68+L68+M68</f>
        <v>105.53999999999999</v>
      </c>
    </row>
    <row r="69" spans="1:14" ht="16">
      <c r="A69" s="40" t="s">
        <v>65</v>
      </c>
      <c r="B69" s="48">
        <f>B67+B68</f>
        <v>-3571.58</v>
      </c>
      <c r="C69" s="48">
        <f>C67+C68</f>
        <v>462.95</v>
      </c>
      <c r="D69" s="48">
        <f>D67+D68</f>
        <v>558.26</v>
      </c>
      <c r="E69" s="48">
        <f>E67+E68</f>
        <v>672.67</v>
      </c>
      <c r="F69" s="48">
        <f>F67+F68</f>
        <v>1129.34</v>
      </c>
      <c r="G69" s="48">
        <f>G67+G68</f>
        <v>1618.52</v>
      </c>
      <c r="H69" s="48">
        <f>H67+H68</f>
        <v>848.59</v>
      </c>
      <c r="I69" s="48">
        <f>I67+I68</f>
        <v>1053.7</v>
      </c>
      <c r="J69" s="48">
        <f>J67+J68</f>
        <v>1228.33</v>
      </c>
      <c r="K69" s="48">
        <f>K67+K68</f>
        <v>462.89</v>
      </c>
      <c r="L69" s="48">
        <f>L67+L68</f>
        <v>450.44</v>
      </c>
      <c r="M69" s="48">
        <f>M67+M68</f>
        <v>454.5</v>
      </c>
      <c r="N69" s="49">
        <f>B69+C69+D69+E69+F69+G69+H69+I69+J69+K69+L69+M69</f>
        <v>5368.61</v>
      </c>
    </row>
    <row r="70" spans="1:14" ht="16">
      <c r="A70" s="38" t="s">
        <v>66</v>
      </c>
      <c r="B70" s="46"/>
      <c r="C70" s="47">
        <v>240.0</v>
      </c>
      <c r="D70" s="47">
        <v>196.8</v>
      </c>
      <c r="E70" s="46"/>
      <c r="F70" s="47">
        <v>9.99</v>
      </c>
      <c r="G70" s="46"/>
      <c r="H70" s="46"/>
      <c r="I70" s="46"/>
      <c r="J70" s="47">
        <v>27.42</v>
      </c>
      <c r="K70" s="47">
        <v>30.0</v>
      </c>
      <c r="L70" s="47">
        <v>30.0</v>
      </c>
      <c r="M70" s="47">
        <v>30.0</v>
      </c>
      <c r="N70" s="47">
        <f>B70+C70+D70+E70+F70+G70+H70+I70+J70+K70+L70+M70</f>
        <v>564.21</v>
      </c>
    </row>
    <row r="71" spans="1:14" ht="16">
      <c r="A71" s="38" t="s">
        <v>67</v>
      </c>
      <c r="B71" s="47">
        <v>465.16</v>
      </c>
      <c r="C71" s="46"/>
      <c r="D71" s="46"/>
      <c r="E71" s="47">
        <v>24.07</v>
      </c>
      <c r="F71" s="47">
        <v>10.0</v>
      </c>
      <c r="G71" s="46"/>
      <c r="H71" s="46"/>
      <c r="I71" s="46"/>
      <c r="J71" s="46"/>
      <c r="K71" s="46"/>
      <c r="L71" s="47">
        <v>40.0</v>
      </c>
      <c r="M71" s="47">
        <v>3.45</v>
      </c>
      <c r="N71" s="47">
        <f>B71+C71+D71+E71+F71+G71+H71+I71+J71+K71+L71+M71</f>
        <v>542.6800000000001</v>
      </c>
    </row>
    <row r="72" spans="1:14" ht="16">
      <c r="A72" s="41" t="s">
        <v>68</v>
      </c>
      <c r="B72" s="48">
        <f>B63+B64+B65+B66+B69+B70+B71</f>
        <v>-2523.0299999999997</v>
      </c>
      <c r="C72" s="48">
        <f>C63+C64+C65+C66+C69+C70+C71</f>
        <v>1549.06</v>
      </c>
      <c r="D72" s="48">
        <f>D63+D64+D65+D66+D69+D70+D71</f>
        <v>1381.28</v>
      </c>
      <c r="E72" s="48">
        <f>E63+E64+E65+E66+E69+E70+E71</f>
        <v>924.5500000000001</v>
      </c>
      <c r="F72" s="48">
        <f>F63+F64+F65+F66+F69+F70+F71</f>
        <v>2383.33</v>
      </c>
      <c r="G72" s="48">
        <f>G63+G64+G65+G66+G69+G70+G71</f>
        <v>1688.27</v>
      </c>
      <c r="H72" s="48">
        <f>H63+H64+H65+H66+H69+H70+H71</f>
        <v>1974.88</v>
      </c>
      <c r="I72" s="48">
        <f>I63+I64+I65+I66+I69+I70+I71</f>
        <v>1836.6100000000001</v>
      </c>
      <c r="J72" s="48">
        <f>J63+J64+J65+J66+J69+J70+J71</f>
        <v>1976.06</v>
      </c>
      <c r="K72" s="48">
        <f>K63+K64+K65+K66+K69+K70+K71</f>
        <v>2707.8599999999997</v>
      </c>
      <c r="L72" s="48">
        <f>L63+L64+L65+L66+L69+L70+L71</f>
        <v>3043.8900000000003</v>
      </c>
      <c r="M72" s="48">
        <f>M63+M64+M65+M66+M69+M70+M71</f>
        <v>307.09999999999997</v>
      </c>
      <c r="N72" s="49">
        <f>B72+C72+D72+E72+F72+G72+H72+I72+J72+K72+L72+M72</f>
        <v>17249.859999999997</v>
      </c>
    </row>
    <row r="73" spans="1:14" ht="16">
      <c r="A73" s="37" t="s">
        <v>69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</row>
    <row r="74" spans="1:14" ht="16">
      <c r="A74" s="38" t="s">
        <v>70</v>
      </c>
      <c r="B74" s="47">
        <v>4660.0</v>
      </c>
      <c r="C74" s="47">
        <v>2330.0</v>
      </c>
      <c r="D74" s="47">
        <v>2330.0</v>
      </c>
      <c r="E74" s="47">
        <v>2330.0</v>
      </c>
      <c r="F74" s="47">
        <v>2330.0</v>
      </c>
      <c r="G74" s="47">
        <v>2330.0</v>
      </c>
      <c r="H74" s="47">
        <v>2330.0</v>
      </c>
      <c r="I74" s="47">
        <v>2330.0</v>
      </c>
      <c r="J74" s="47">
        <v>2330.0</v>
      </c>
      <c r="K74" s="47">
        <v>2614.96</v>
      </c>
      <c r="L74" s="47">
        <v>2330.0</v>
      </c>
      <c r="M74" s="47">
        <v>2330.0</v>
      </c>
      <c r="N74" s="47">
        <f>B74+C74+D74+E74+F74+G74+H74+I74+J74+K74+L74+M74</f>
        <v>30574.96</v>
      </c>
    </row>
    <row r="75" spans="1:14" ht="16">
      <c r="A75" s="38" t="s">
        <v>71</v>
      </c>
      <c r="B75" s="47">
        <v>819.41</v>
      </c>
      <c r="C75" s="47">
        <v>276.44</v>
      </c>
      <c r="D75" s="47">
        <v>838.15</v>
      </c>
      <c r="E75" s="47">
        <v>145.7</v>
      </c>
      <c r="F75" s="47">
        <v>644.34</v>
      </c>
      <c r="G75" s="47">
        <v>558.64</v>
      </c>
      <c r="H75" s="47">
        <v>386.4</v>
      </c>
      <c r="I75" s="47">
        <v>200.02</v>
      </c>
      <c r="J75" s="47">
        <v>139.99</v>
      </c>
      <c r="K75" s="47">
        <v>1529.73</v>
      </c>
      <c r="L75" s="47">
        <v>564.84</v>
      </c>
      <c r="M75" s="47">
        <v>896.2</v>
      </c>
      <c r="N75" s="47">
        <f>B75+C75+D75+E75+F75+G75+H75+I75+J75+K75+L75+M75</f>
        <v>6999.86</v>
      </c>
    </row>
    <row r="76" spans="1:14" ht="16">
      <c r="A76" s="39" t="s">
        <v>72</v>
      </c>
      <c r="B76" s="46"/>
      <c r="C76" s="47">
        <v>112.27</v>
      </c>
      <c r="D76" s="46"/>
      <c r="E76" s="46"/>
      <c r="F76" s="46"/>
      <c r="G76" s="46"/>
      <c r="H76" s="46"/>
      <c r="I76" s="46"/>
      <c r="J76" s="46"/>
      <c r="K76" s="47">
        <v>141.79</v>
      </c>
      <c r="L76" s="46"/>
      <c r="M76" s="46"/>
      <c r="N76" s="47">
        <f>B76+C76+D76+E76+F76+G76+H76+I76+J76+K76+L76+M76</f>
        <v>254.06</v>
      </c>
    </row>
    <row r="77" spans="1:14" ht="16">
      <c r="A77" s="39" t="s">
        <v>73</v>
      </c>
      <c r="B77" s="47">
        <v>113.55</v>
      </c>
      <c r="C77" s="47">
        <v>90.2</v>
      </c>
      <c r="D77" s="47">
        <v>88.89</v>
      </c>
      <c r="E77" s="47">
        <v>50.47</v>
      </c>
      <c r="F77" s="47">
        <v>189.35</v>
      </c>
      <c r="G77" s="47">
        <v>194.4</v>
      </c>
      <c r="H77" s="47">
        <v>125.24</v>
      </c>
      <c r="I77" s="47">
        <v>328.33</v>
      </c>
      <c r="J77" s="47">
        <v>123.97</v>
      </c>
      <c r="K77" s="47">
        <v>135.37</v>
      </c>
      <c r="L77" s="47">
        <v>155.21</v>
      </c>
      <c r="M77" s="47">
        <v>255.13</v>
      </c>
      <c r="N77" s="47">
        <f>B77+C77+D77+E77+F77+G77+H77+I77+J77+K77+L77+M77</f>
        <v>1850.1100000000001</v>
      </c>
    </row>
    <row r="78" spans="1:14" ht="16">
      <c r="A78" s="40" t="s">
        <v>74</v>
      </c>
      <c r="B78" s="48">
        <f>B75+B76+B77</f>
        <v>932.9599999999999</v>
      </c>
      <c r="C78" s="48">
        <f>C75+C76+C77</f>
        <v>478.90999999999997</v>
      </c>
      <c r="D78" s="48">
        <f>D75+D76+D77</f>
        <v>927.04</v>
      </c>
      <c r="E78" s="48">
        <f>E75+E76+E77</f>
        <v>196.17</v>
      </c>
      <c r="F78" s="48">
        <f>F75+F76+F77</f>
        <v>833.69</v>
      </c>
      <c r="G78" s="48">
        <f>G75+G76+G77</f>
        <v>753.04</v>
      </c>
      <c r="H78" s="48">
        <f>H75+H76+H77</f>
        <v>511.64</v>
      </c>
      <c r="I78" s="48">
        <f>I75+I76+I77</f>
        <v>528.35</v>
      </c>
      <c r="J78" s="48">
        <f>J75+J76+J77</f>
        <v>263.96000000000004</v>
      </c>
      <c r="K78" s="48">
        <f>K75+K76+K77</f>
        <v>1806.8899999999999</v>
      </c>
      <c r="L78" s="48">
        <f>L75+L76+L77</f>
        <v>720.0500000000001</v>
      </c>
      <c r="M78" s="48">
        <f>M75+M76+M77</f>
        <v>1151.33</v>
      </c>
      <c r="N78" s="49">
        <f>B78+C78+D78+E78+F78+G78+H78+I78+J78+K78+L78+M78</f>
        <v>9104.029999999999</v>
      </c>
    </row>
    <row r="79" spans="1:14" ht="16">
      <c r="A79" s="38" t="s">
        <v>75</v>
      </c>
      <c r="B79" s="47">
        <v>300.95</v>
      </c>
      <c r="C79" s="47">
        <v>278.98</v>
      </c>
      <c r="D79" s="47">
        <v>278.98</v>
      </c>
      <c r="E79" s="47">
        <v>278.98</v>
      </c>
      <c r="F79" s="47">
        <v>450.36</v>
      </c>
      <c r="G79" s="47">
        <v>278.9</v>
      </c>
      <c r="H79" s="47">
        <v>278.9</v>
      </c>
      <c r="I79" s="47">
        <v>278.82</v>
      </c>
      <c r="J79" s="47">
        <v>650.95</v>
      </c>
      <c r="K79" s="47">
        <v>194.29</v>
      </c>
      <c r="L79" s="47">
        <v>686.54</v>
      </c>
      <c r="M79" s="47">
        <v>227.2</v>
      </c>
      <c r="N79" s="47">
        <f>B79+C79+D79+E79+F79+G79+H79+I79+J79+K79+L79+M79</f>
        <v>4183.85</v>
      </c>
    </row>
    <row r="80" spans="1:14" ht="16">
      <c r="A80" s="38" t="s">
        <v>76</v>
      </c>
      <c r="B80" s="47">
        <v>100.0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7">
        <f>B80+C80+D80+E80+F80+G80+H80+I80+J80+K80+L80+M80</f>
        <v>100.0</v>
      </c>
    </row>
    <row r="81" spans="1:14" ht="16">
      <c r="A81" s="39" t="s">
        <v>77</v>
      </c>
      <c r="B81" s="47">
        <v>95.0</v>
      </c>
      <c r="C81" s="47">
        <v>127.53</v>
      </c>
      <c r="D81" s="47">
        <v>249.01</v>
      </c>
      <c r="E81" s="47">
        <v>184.0</v>
      </c>
      <c r="F81" s="47">
        <v>455.87</v>
      </c>
      <c r="G81" s="47">
        <v>62.44</v>
      </c>
      <c r="H81" s="47">
        <v>228.15</v>
      </c>
      <c r="I81" s="47">
        <v>269.58</v>
      </c>
      <c r="J81" s="47">
        <v>134.0</v>
      </c>
      <c r="K81" s="47">
        <v>189.12</v>
      </c>
      <c r="L81" s="47">
        <v>523.0</v>
      </c>
      <c r="M81" s="47">
        <v>239.42</v>
      </c>
      <c r="N81" s="47">
        <f>B81+C81+D81+E81+F81+G81+H81+I81+J81+K81+L81+M81</f>
        <v>2757.12</v>
      </c>
    </row>
    <row r="82" spans="1:14" ht="16">
      <c r="A82" s="39" t="s">
        <v>78</v>
      </c>
      <c r="B82" s="46"/>
      <c r="C82" s="47">
        <v>34.01</v>
      </c>
      <c r="D82" s="47">
        <v>54.88</v>
      </c>
      <c r="E82" s="47">
        <v>28.07</v>
      </c>
      <c r="F82" s="47">
        <v>24.79</v>
      </c>
      <c r="G82" s="47">
        <v>23.84</v>
      </c>
      <c r="H82" s="47">
        <v>22.02</v>
      </c>
      <c r="I82" s="47">
        <v>33.76</v>
      </c>
      <c r="J82" s="47">
        <v>9.69</v>
      </c>
      <c r="K82" s="50">
        <v>0</v>
      </c>
      <c r="L82" s="50">
        <v>0</v>
      </c>
      <c r="M82" s="50">
        <v>0</v>
      </c>
      <c r="N82" s="47">
        <f>B82+C82+D82+E82+F82+G82+H82+I82+J82+K82+L82+M82</f>
        <v>231.06</v>
      </c>
    </row>
    <row r="83" spans="1:14" ht="16">
      <c r="A83" s="39" t="s">
        <v>79</v>
      </c>
      <c r="B83" s="47">
        <v>3440.27</v>
      </c>
      <c r="C83" s="47">
        <v>1656.55</v>
      </c>
      <c r="D83" s="47">
        <v>374.35</v>
      </c>
      <c r="E83" s="47">
        <v>517.57</v>
      </c>
      <c r="F83" s="47">
        <v>495.45</v>
      </c>
      <c r="G83" s="47">
        <v>-173.52</v>
      </c>
      <c r="H83" s="47">
        <v>2284.6</v>
      </c>
      <c r="I83" s="47">
        <v>1247.58</v>
      </c>
      <c r="J83" s="47">
        <v>1185.63</v>
      </c>
      <c r="K83" s="47">
        <v>1186.85</v>
      </c>
      <c r="L83" s="47">
        <v>1744.86</v>
      </c>
      <c r="M83" s="47">
        <v>1307.81</v>
      </c>
      <c r="N83" s="47">
        <f>B83+C83+D83+E83+F83+G83+H83+I83+J83+K83+L83+M83</f>
        <v>15268.0</v>
      </c>
    </row>
    <row r="84" spans="1:14" ht="16">
      <c r="A84" s="39" t="s">
        <v>80</v>
      </c>
      <c r="B84" s="47">
        <v>72.53</v>
      </c>
      <c r="C84" s="47">
        <v>112.29</v>
      </c>
      <c r="D84" s="47">
        <v>219.42</v>
      </c>
      <c r="E84" s="47">
        <v>130.6</v>
      </c>
      <c r="F84" s="47">
        <v>121.34</v>
      </c>
      <c r="G84" s="47">
        <v>276.18</v>
      </c>
      <c r="H84" s="47">
        <v>362.35</v>
      </c>
      <c r="I84" s="47">
        <v>107.74</v>
      </c>
      <c r="J84" s="47">
        <v>143.15</v>
      </c>
      <c r="K84" s="47">
        <v>346.42</v>
      </c>
      <c r="L84" s="47">
        <v>324.7</v>
      </c>
      <c r="M84" s="47">
        <v>170.22</v>
      </c>
      <c r="N84" s="47">
        <f>B84+C84+D84+E84+F84+G84+H84+I84+J84+K84+L84+M84</f>
        <v>2386.94</v>
      </c>
    </row>
    <row r="85" spans="1:14" ht="16">
      <c r="A85" s="39" t="s">
        <v>81</v>
      </c>
      <c r="B85" s="47">
        <v>721.89</v>
      </c>
      <c r="C85" s="46"/>
      <c r="D85" s="47">
        <v>190.63</v>
      </c>
      <c r="E85" s="46"/>
      <c r="F85" s="46"/>
      <c r="G85" s="46"/>
      <c r="H85" s="46"/>
      <c r="I85" s="46"/>
      <c r="J85" s="46"/>
      <c r="K85" s="46"/>
      <c r="L85" s="50">
        <v>0</v>
      </c>
      <c r="M85" s="50">
        <v>0</v>
      </c>
      <c r="N85" s="47">
        <f>B85+C85+D85+E85+F85+G85+H85+I85+J85+K85+L85+M85</f>
        <v>912.52</v>
      </c>
    </row>
    <row r="86" spans="1:14" ht="16">
      <c r="A86" s="39" t="s">
        <v>82</v>
      </c>
      <c r="B86" s="47">
        <v>777.33</v>
      </c>
      <c r="C86" s="47">
        <v>37.29</v>
      </c>
      <c r="D86" s="47">
        <v>71.12</v>
      </c>
      <c r="E86" s="47">
        <v>20.46</v>
      </c>
      <c r="F86" s="47">
        <v>356.93</v>
      </c>
      <c r="G86" s="47">
        <v>12.28</v>
      </c>
      <c r="H86" s="47">
        <v>234.85</v>
      </c>
      <c r="I86" s="47">
        <v>17.23</v>
      </c>
      <c r="J86" s="47">
        <v>22.08</v>
      </c>
      <c r="K86" s="47">
        <v>67.9</v>
      </c>
      <c r="L86" s="47">
        <v>22.46</v>
      </c>
      <c r="M86" s="47">
        <v>158.98</v>
      </c>
      <c r="N86" s="47">
        <f>B86+C86+D86+E86+F86+G86+H86+I86+J86+K86+L86+M86</f>
        <v>1798.91</v>
      </c>
    </row>
    <row r="87" spans="1:14" ht="16">
      <c r="A87" s="40" t="s">
        <v>83</v>
      </c>
      <c r="B87" s="48">
        <f>B80+B81+B82+B83+B84+B85+B86</f>
        <v>5207.02</v>
      </c>
      <c r="C87" s="48">
        <f>C80+C81+C82+C83+C84+C85+C86</f>
        <v>1967.6699999999998</v>
      </c>
      <c r="D87" s="48">
        <f>D80+D81+D82+D83+D84+D85+D86</f>
        <v>1159.4099999999999</v>
      </c>
      <c r="E87" s="48">
        <f>E80+E81+E82+E83+E84+E85+E86</f>
        <v>880.7000000000002</v>
      </c>
      <c r="F87" s="48">
        <f>F80+F81+F82+F83+F84+F85+F86</f>
        <v>1454.38</v>
      </c>
      <c r="G87" s="48">
        <f>G80+G81+G82+G83+G84+G85+G86</f>
        <v>201.22</v>
      </c>
      <c r="H87" s="48">
        <f>H80+H81+H82+H83+H84+H85+H86</f>
        <v>3131.97</v>
      </c>
      <c r="I87" s="48">
        <f>I80+I81+I82+I83+I84+I85+I86</f>
        <v>1675.8899999999999</v>
      </c>
      <c r="J87" s="48">
        <f>J80+J81+J82+J83+J84+J85+J86</f>
        <v>1494.5500000000002</v>
      </c>
      <c r="K87" s="48">
        <f>K80+K81+K82+K83+K84+K85+K86</f>
        <v>1790.29</v>
      </c>
      <c r="L87" s="48">
        <f>L80+L81+L82+L83+L84+L85+L86</f>
        <v>2615.0199999999995</v>
      </c>
      <c r="M87" s="48">
        <f>M80+M81+M82+M83+M84+M85+M86</f>
        <v>1876.43</v>
      </c>
      <c r="N87" s="49">
        <f>B87+C87+D87+E87+F87+G87+H87+I87+J87+K87+L87+M87</f>
        <v>23454.55</v>
      </c>
    </row>
    <row r="88" spans="1:14" ht="16">
      <c r="A88" s="38" t="s">
        <v>84</v>
      </c>
      <c r="B88" s="47">
        <v>2210.45</v>
      </c>
      <c r="C88" s="47">
        <v>869.12</v>
      </c>
      <c r="D88" s="47">
        <v>2446.52</v>
      </c>
      <c r="E88" s="47">
        <v>1150.76</v>
      </c>
      <c r="F88" s="47">
        <v>1881.2</v>
      </c>
      <c r="G88" s="47">
        <v>954.81</v>
      </c>
      <c r="H88" s="47">
        <v>1268.83</v>
      </c>
      <c r="I88" s="47">
        <v>1729.45</v>
      </c>
      <c r="J88" s="47">
        <v>1828.18</v>
      </c>
      <c r="K88" s="47">
        <v>4359.91</v>
      </c>
      <c r="L88" s="47">
        <v>2892.32</v>
      </c>
      <c r="M88" s="47">
        <v>3393.74</v>
      </c>
      <c r="N88" s="47">
        <f>B88+C88+D88+E88+F88+G88+H88+I88+J88+K88+L88+M88</f>
        <v>24985.29</v>
      </c>
    </row>
    <row r="89" spans="1:14" ht="16">
      <c r="A89" s="38" t="s">
        <v>85</v>
      </c>
      <c r="B89" s="47">
        <v>119.5</v>
      </c>
      <c r="C89" s="47">
        <v>308.34</v>
      </c>
      <c r="D89" s="47">
        <v>309.99</v>
      </c>
      <c r="E89" s="47">
        <v>238.97</v>
      </c>
      <c r="F89" s="47">
        <v>131.64</v>
      </c>
      <c r="G89" s="47">
        <v>334.76</v>
      </c>
      <c r="H89" s="47">
        <v>239.18</v>
      </c>
      <c r="I89" s="47">
        <v>711.09</v>
      </c>
      <c r="J89" s="47">
        <v>738.19</v>
      </c>
      <c r="K89" s="47">
        <v>738.19</v>
      </c>
      <c r="L89" s="47">
        <v>738.19</v>
      </c>
      <c r="M89" s="47">
        <v>738.19</v>
      </c>
      <c r="N89" s="47">
        <f>B89+C89+D89+E89+F89+G89+H89+I89+J89+K89+L89+M89</f>
        <v>5346.230000000001</v>
      </c>
    </row>
    <row r="90" spans="1:14" ht="16">
      <c r="A90" s="39" t="s">
        <v>86</v>
      </c>
      <c r="B90" s="47">
        <v>3522.98</v>
      </c>
      <c r="C90" s="46"/>
      <c r="D90" s="46"/>
      <c r="E90" s="47">
        <v>3634.01</v>
      </c>
      <c r="F90" s="46"/>
      <c r="G90" s="46"/>
      <c r="H90" s="47">
        <v>-651.91</v>
      </c>
      <c r="I90" s="46"/>
      <c r="J90" s="46"/>
      <c r="K90" s="46"/>
      <c r="L90" s="46"/>
      <c r="M90" s="46"/>
      <c r="N90" s="47">
        <f>B90+C90+D90+E90+F90+G90+H90+I90+J90+K90+L90+M90</f>
        <v>6505.08</v>
      </c>
    </row>
    <row r="91" spans="1:14" ht="16">
      <c r="A91" s="39" t="s">
        <v>87</v>
      </c>
      <c r="B91" s="47">
        <v>-1849.99</v>
      </c>
      <c r="C91" s="47">
        <v>1262.1</v>
      </c>
      <c r="D91" s="47">
        <v>37.74</v>
      </c>
      <c r="E91" s="47">
        <v>1262.1</v>
      </c>
      <c r="F91" s="47">
        <v>1450.94</v>
      </c>
      <c r="G91" s="47">
        <v>26.44</v>
      </c>
      <c r="H91" s="47">
        <v>1356.52</v>
      </c>
      <c r="I91" s="47">
        <v>1338.58</v>
      </c>
      <c r="J91" s="47">
        <v>-1063.46</v>
      </c>
      <c r="K91" s="47">
        <v>1356.52</v>
      </c>
      <c r="L91" s="47">
        <v>1356.52</v>
      </c>
      <c r="M91" s="47">
        <v>-290.56</v>
      </c>
      <c r="N91" s="47">
        <f>B91+C91+D91+E91+F91+G91+H91+I91+J91+K91+L91+M91</f>
        <v>6243.45</v>
      </c>
    </row>
    <row r="92" spans="1:14" ht="16">
      <c r="A92" s="40" t="s">
        <v>88</v>
      </c>
      <c r="B92" s="48">
        <f>B89+B90+B91</f>
        <v>1792.49</v>
      </c>
      <c r="C92" s="48">
        <f>C89+C90+C91</f>
        <v>1570.4399999999998</v>
      </c>
      <c r="D92" s="48">
        <f>D89+D90+D91</f>
        <v>347.73</v>
      </c>
      <c r="E92" s="48">
        <f>E89+E90+E91</f>
        <v>5135.08</v>
      </c>
      <c r="F92" s="48">
        <f>F89+F90+F91</f>
        <v>1582.58</v>
      </c>
      <c r="G92" s="48">
        <f>G89+G90+G91</f>
        <v>361.2</v>
      </c>
      <c r="H92" s="48">
        <f>H89+H90+H91</f>
        <v>943.79</v>
      </c>
      <c r="I92" s="48">
        <f>I89+I90+I91</f>
        <v>2049.67</v>
      </c>
      <c r="J92" s="48">
        <f>J89+J90+J91</f>
        <v>-325.27</v>
      </c>
      <c r="K92" s="48">
        <f>K89+K90+K91</f>
        <v>2094.71</v>
      </c>
      <c r="L92" s="48">
        <f>L89+L90+L91</f>
        <v>2094.71</v>
      </c>
      <c r="M92" s="48">
        <f>M89+M90+M91</f>
        <v>447.63000000000005</v>
      </c>
      <c r="N92" s="49">
        <f>B92+C92+D92+E92+F92+G92+H92+I92+J92+K92+L92+M92</f>
        <v>18094.760000000002</v>
      </c>
    </row>
    <row r="93" spans="1:14" ht="16">
      <c r="A93" s="38" t="s">
        <v>89</v>
      </c>
      <c r="B93" s="47">
        <v>8362.3</v>
      </c>
      <c r="C93" s="47">
        <v>5713.42</v>
      </c>
      <c r="D93" s="47">
        <v>4119.77</v>
      </c>
      <c r="E93" s="47">
        <v>4119.77</v>
      </c>
      <c r="F93" s="47">
        <v>6069.77</v>
      </c>
      <c r="G93" s="47">
        <v>4119.77</v>
      </c>
      <c r="H93" s="47">
        <v>7119.77</v>
      </c>
      <c r="I93" s="47">
        <v>4119.77</v>
      </c>
      <c r="J93" s="47">
        <v>6506.77</v>
      </c>
      <c r="K93" s="47">
        <v>3317.77</v>
      </c>
      <c r="L93" s="47">
        <v>1619.77</v>
      </c>
      <c r="M93" s="47">
        <v>2933.37</v>
      </c>
      <c r="N93" s="47">
        <f>B93+C93+D93+E93+F93+G93+H93+I93+J93+K93+L93+M93</f>
        <v>58122.02</v>
      </c>
    </row>
    <row r="94" spans="1:14" ht="16">
      <c r="A94" s="38" t="s">
        <v>90</v>
      </c>
      <c r="B94" s="50">
        <v>0</v>
      </c>
      <c r="C94" s="46"/>
      <c r="D94" s="47">
        <v>102.51</v>
      </c>
      <c r="E94" s="46"/>
      <c r="F94" s="47">
        <v>53.0</v>
      </c>
      <c r="G94" s="46"/>
      <c r="H94" s="46"/>
      <c r="I94" s="46"/>
      <c r="J94" s="46"/>
      <c r="K94" s="47">
        <v>27.68</v>
      </c>
      <c r="L94" s="46"/>
      <c r="M94" s="46"/>
      <c r="N94" s="47">
        <f>B94+C94+D94+E94+F94+G94+H94+I94+J94+K94+L94+M94</f>
        <v>183.19</v>
      </c>
    </row>
    <row r="95" spans="1:14" ht="16">
      <c r="A95" s="38" t="s">
        <v>91</v>
      </c>
      <c r="B95" s="47">
        <v>4997.12</v>
      </c>
      <c r="C95" s="47">
        <v>4869.38</v>
      </c>
      <c r="D95" s="47">
        <v>800.0</v>
      </c>
      <c r="E95" s="47">
        <v>800.0</v>
      </c>
      <c r="F95" s="47">
        <v>1600.0</v>
      </c>
      <c r="G95" s="47">
        <v>800.0</v>
      </c>
      <c r="H95" s="47">
        <v>1600.0</v>
      </c>
      <c r="I95" s="46"/>
      <c r="J95" s="47">
        <v>1010.0</v>
      </c>
      <c r="K95" s="47">
        <v>1727.0</v>
      </c>
      <c r="L95" s="47">
        <v>800.0</v>
      </c>
      <c r="M95" s="46"/>
      <c r="N95" s="47">
        <f>B95+C95+D95+E95+F95+G95+H95+I95+J95+K95+L95+M95</f>
        <v>19003.5</v>
      </c>
    </row>
    <row r="96" spans="1:14" ht="16">
      <c r="A96" s="38" t="s">
        <v>92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</row>
    <row r="97" spans="1:14" ht="16">
      <c r="A97" s="39" t="s">
        <v>93</v>
      </c>
      <c r="B97" s="47">
        <v>1081.69</v>
      </c>
      <c r="C97" s="47">
        <v>1256.8</v>
      </c>
      <c r="D97" s="47">
        <v>1245.63</v>
      </c>
      <c r="E97" s="47">
        <v>1479.33</v>
      </c>
      <c r="F97" s="47">
        <v>1328.49</v>
      </c>
      <c r="G97" s="47">
        <v>824.87</v>
      </c>
      <c r="H97" s="47">
        <v>753.95</v>
      </c>
      <c r="I97" s="47">
        <v>1337.82</v>
      </c>
      <c r="J97" s="47">
        <v>1156.11</v>
      </c>
      <c r="K97" s="47">
        <v>753.94</v>
      </c>
      <c r="L97" s="47">
        <v>753.96</v>
      </c>
      <c r="M97" s="47">
        <v>753.94</v>
      </c>
      <c r="N97" s="47">
        <f>B97+C97+D97+E97+F97+G97+H97+I97+J97+K97+L97+M97</f>
        <v>12726.53</v>
      </c>
    </row>
    <row r="98" spans="1:14" ht="16">
      <c r="A98" s="39" t="s">
        <v>94</v>
      </c>
      <c r="B98" s="47">
        <v>9573.8</v>
      </c>
      <c r="C98" s="47">
        <v>9573.8</v>
      </c>
      <c r="D98" s="47">
        <v>12609.42</v>
      </c>
      <c r="E98" s="47">
        <v>10663.83</v>
      </c>
      <c r="F98" s="47">
        <v>10404.43</v>
      </c>
      <c r="G98" s="47">
        <v>10298.88</v>
      </c>
      <c r="H98" s="47">
        <v>10298.88</v>
      </c>
      <c r="I98" s="47">
        <v>14487.38</v>
      </c>
      <c r="J98" s="47">
        <v>13145.03</v>
      </c>
      <c r="K98" s="47">
        <v>10298.88</v>
      </c>
      <c r="L98" s="47">
        <v>10298.88</v>
      </c>
      <c r="M98" s="47">
        <v>79331.88</v>
      </c>
      <c r="N98" s="47">
        <f>B98+C98+D98+E98+F98+G98+H98+I98+J98+K98+L98+M98</f>
        <v>200985.09000000003</v>
      </c>
    </row>
    <row r="99" spans="1:14" ht="16">
      <c r="A99" s="40" t="s">
        <v>95</v>
      </c>
      <c r="B99" s="48">
        <f>B96+B97+B98</f>
        <v>10655.49</v>
      </c>
      <c r="C99" s="48">
        <f>C96+C97+C98</f>
        <v>10830.599999999999</v>
      </c>
      <c r="D99" s="48">
        <f>D96+D97+D98</f>
        <v>13855.05</v>
      </c>
      <c r="E99" s="48">
        <f>E96+E97+E98</f>
        <v>12143.16</v>
      </c>
      <c r="F99" s="48">
        <f>F96+F97+F98</f>
        <v>11732.92</v>
      </c>
      <c r="G99" s="48">
        <f>G96+G97+G98</f>
        <v>11123.75</v>
      </c>
      <c r="H99" s="48">
        <f>H96+H97+H98</f>
        <v>11052.83</v>
      </c>
      <c r="I99" s="48">
        <f>I96+I97+I98</f>
        <v>15825.199999999999</v>
      </c>
      <c r="J99" s="48">
        <f>J96+J97+J98</f>
        <v>14301.140000000001</v>
      </c>
      <c r="K99" s="48">
        <f>K96+K97+K98</f>
        <v>11052.82</v>
      </c>
      <c r="L99" s="48">
        <f>L96+L97+L98</f>
        <v>11052.84</v>
      </c>
      <c r="M99" s="48">
        <f>M96+M97+M98</f>
        <v>80085.82</v>
      </c>
      <c r="N99" s="49">
        <f>B99+C99+D99+E99+F99+G99+H99+I99+J99+K99+L99+M99</f>
        <v>213711.62</v>
      </c>
    </row>
    <row r="100" spans="1:14" ht="16">
      <c r="A100" s="41" t="s">
        <v>96</v>
      </c>
      <c r="B100" s="48">
        <f>B73+B74+B78+B79+B87+B88+B92+B93+B94+B95+B99</f>
        <v>39118.78</v>
      </c>
      <c r="C100" s="48">
        <f>C73+C74+C78+C79+C87+C88+C92+C93+C94+C95+C99</f>
        <v>28908.519999999997</v>
      </c>
      <c r="D100" s="48">
        <f>D73+D74+D78+D79+D87+D88+D92+D93+D94+D95+D99</f>
        <v>26367.010000000002</v>
      </c>
      <c r="E100" s="48">
        <f>E73+E74+E78+E79+E87+E88+E92+E93+E94+E95+E99</f>
        <v>27034.620000000003</v>
      </c>
      <c r="F100" s="48">
        <f>F73+F74+F78+F79+F87+F88+F92+F93+F94+F95+F99</f>
        <v>27987.9</v>
      </c>
      <c r="G100" s="48">
        <f>G73+G74+G78+G79+G87+G88+G92+G93+G94+G95+G99</f>
        <v>20922.69</v>
      </c>
      <c r="H100" s="48">
        <f>H73+H74+H78+H79+H87+H88+H92+H93+H94+H95+H99</f>
        <v>28237.730000000003</v>
      </c>
      <c r="I100" s="48">
        <f>I73+I74+I78+I79+I87+I88+I92+I93+I94+I95+I99</f>
        <v>28537.15</v>
      </c>
      <c r="J100" s="48">
        <f>J73+J74+J78+J79+J87+J88+J92+J93+J94+J95+J99</f>
        <v>28060.280000000002</v>
      </c>
      <c r="K100" s="48">
        <f>K73+K74+K78+K79+K87+K88+K92+K93+K94+K95+K99</f>
        <v>28986.32</v>
      </c>
      <c r="L100" s="48">
        <f>L73+L74+L78+L79+L87+L88+L92+L93+L94+L95+L99</f>
        <v>24811.25</v>
      </c>
      <c r="M100" s="48">
        <f>M73+M74+M78+M79+M87+M88+M92+M93+M94+M95+M99</f>
        <v>92445.52</v>
      </c>
      <c r="N100" s="49">
        <f>B100+C100+D100+E100+F100+G100+H100+I100+J100+K100+L100+M100</f>
        <v>401417.77</v>
      </c>
    </row>
    <row r="101" spans="1:14" ht="16">
      <c r="A101" s="37" t="s">
        <v>97</v>
      </c>
      <c r="B101" s="46"/>
      <c r="C101" s="46"/>
      <c r="D101" s="46"/>
      <c r="E101" s="46"/>
      <c r="F101" s="47">
        <v>271.44</v>
      </c>
      <c r="G101" s="47">
        <v>577.8</v>
      </c>
      <c r="H101" s="46"/>
      <c r="I101" s="46"/>
      <c r="J101" s="46"/>
      <c r="K101" s="46"/>
      <c r="L101" s="46"/>
      <c r="M101" s="46"/>
      <c r="N101" s="47">
        <f>B101+C101+D101+E101+F101+G101+H101+I101+J101+K101+L101+M101</f>
        <v>849.24</v>
      </c>
    </row>
    <row r="102" spans="1:14" ht="16">
      <c r="A102" s="37" t="s">
        <v>98</v>
      </c>
      <c r="B102" s="50">
        <v>0</v>
      </c>
      <c r="C102" s="50">
        <v>0</v>
      </c>
      <c r="D102" s="50">
        <v>0</v>
      </c>
      <c r="E102" s="46"/>
      <c r="F102" s="46"/>
      <c r="G102" s="46"/>
      <c r="H102" s="46"/>
      <c r="I102" s="46"/>
      <c r="J102" s="46"/>
      <c r="K102" s="46"/>
      <c r="L102" s="46"/>
      <c r="M102" s="46"/>
      <c r="N102" s="50">
        <f>B102+C102+D102+E102+F102+G102+H102+I102+J102+K102+L102+M102</f>
        <v>0.0</v>
      </c>
    </row>
    <row r="103" spans="1:14" ht="16">
      <c r="A103" s="37" t="s">
        <v>99</v>
      </c>
      <c r="B103" s="47">
        <v>214.58</v>
      </c>
      <c r="C103" s="47">
        <v>400.0</v>
      </c>
      <c r="D103" s="47">
        <v>62.4</v>
      </c>
      <c r="E103" s="47">
        <v>400.0</v>
      </c>
      <c r="F103" s="46"/>
      <c r="G103" s="47">
        <v>400.0</v>
      </c>
      <c r="H103" s="46"/>
      <c r="I103" s="46"/>
      <c r="J103" s="47">
        <v>505.0</v>
      </c>
      <c r="K103" s="46"/>
      <c r="L103" s="46"/>
      <c r="M103" s="46"/>
      <c r="N103" s="47">
        <f>B103+C103+D103+E103+F103+G103+H103+I103+J103+K103+L103+M103</f>
        <v>1981.98</v>
      </c>
    </row>
    <row r="104" spans="1:14" ht="16">
      <c r="A104" s="37" t="s">
        <v>100</v>
      </c>
      <c r="B104" s="46"/>
      <c r="C104" s="46"/>
      <c r="D104" s="46"/>
      <c r="E104" s="46"/>
      <c r="F104" s="46"/>
      <c r="G104" s="46"/>
      <c r="H104" s="47">
        <v>500.0</v>
      </c>
      <c r="I104" s="46"/>
      <c r="J104" s="46"/>
      <c r="K104" s="47">
        <v>400.0</v>
      </c>
      <c r="L104" s="46"/>
      <c r="M104" s="46"/>
      <c r="N104" s="47">
        <f>B104+C104+D104+E104+F104+G104+H104+I104+J104+K104+L104+M104</f>
        <v>900.0</v>
      </c>
    </row>
    <row r="105" spans="1:14" ht="16">
      <c r="A105" s="37" t="s">
        <v>101</v>
      </c>
      <c r="B105" s="47">
        <v>1.5</v>
      </c>
      <c r="C105" s="47">
        <v>25.5</v>
      </c>
      <c r="D105" s="47">
        <v>25.0</v>
      </c>
      <c r="E105" s="47">
        <v>25.0</v>
      </c>
      <c r="F105" s="47">
        <v>26.5</v>
      </c>
      <c r="G105" s="47">
        <v>25.0</v>
      </c>
      <c r="H105" s="47">
        <v>25.0</v>
      </c>
      <c r="I105" s="47">
        <v>25.0</v>
      </c>
      <c r="J105" s="47">
        <v>25.0</v>
      </c>
      <c r="K105" s="47">
        <v>25.0</v>
      </c>
      <c r="L105" s="47">
        <v>25.0</v>
      </c>
      <c r="M105" s="47">
        <v>25.0</v>
      </c>
      <c r="N105" s="47">
        <f>B105+C105+D105+E105+F105+G105+H105+I105+J105+K105+L105+M105</f>
        <v>278.5</v>
      </c>
    </row>
    <row r="106" spans="1:14" ht="16">
      <c r="A106" s="37" t="s">
        <v>102</v>
      </c>
      <c r="B106" s="47">
        <v>-1.74</v>
      </c>
      <c r="C106" s="46"/>
      <c r="D106" s="47">
        <v>14.69</v>
      </c>
      <c r="E106" s="46"/>
      <c r="F106" s="46"/>
      <c r="G106" s="46"/>
      <c r="H106" s="46"/>
      <c r="I106" s="46"/>
      <c r="J106" s="46"/>
      <c r="K106" s="46"/>
      <c r="L106" s="46"/>
      <c r="M106" s="46"/>
      <c r="N106" s="47">
        <f>B106+C106+D106+E106+F106+G106+H106+I106+J106+K106+L106+M106</f>
        <v>12.95</v>
      </c>
    </row>
    <row r="107" spans="1:14" ht="16">
      <c r="A107" s="42" t="s">
        <v>103</v>
      </c>
      <c r="B107" s="48">
        <f>B62+B72+B100+B101+B102+B103+B104+B105+B106</f>
        <v>36810.090000000004</v>
      </c>
      <c r="C107" s="48">
        <f>C62+C72+C100+C101+C102+C103+C104+C105+C106</f>
        <v>30883.079999999998</v>
      </c>
      <c r="D107" s="48">
        <f>D62+D72+D100+D101+D102+D103+D104+D105+D106</f>
        <v>27850.38</v>
      </c>
      <c r="E107" s="48">
        <f>E62+E72+E100+E101+E102+E103+E104+E105+E106</f>
        <v>28384.170000000002</v>
      </c>
      <c r="F107" s="48">
        <f>F62+F72+F100+F101+F102+F103+F104+F105+F106</f>
        <v>30669.170000000002</v>
      </c>
      <c r="G107" s="48">
        <f>G62+G72+G100+G101+G102+G103+G104+G105+G106</f>
        <v>23613.76</v>
      </c>
      <c r="H107" s="48">
        <f>H62+H72+H100+H101+H102+H103+H104+H105+H106</f>
        <v>30737.610000000004</v>
      </c>
      <c r="I107" s="48">
        <f>I62+I72+I100+I101+I102+I103+I104+I105+I106</f>
        <v>30398.760000000002</v>
      </c>
      <c r="J107" s="48">
        <f>J62+J72+J100+J101+J102+J103+J104+J105+J106</f>
        <v>30566.340000000004</v>
      </c>
      <c r="K107" s="48">
        <f>K62+K72+K100+K101+K102+K103+K104+K105+K106</f>
        <v>32119.18</v>
      </c>
      <c r="L107" s="48">
        <f>L62+L72+L100+L101+L102+L103+L104+L105+L106</f>
        <v>27880.14</v>
      </c>
      <c r="M107" s="48">
        <f>M62+M72+M100+M101+M102+M103+M104+M105+M106</f>
        <v>92777.62000000001</v>
      </c>
      <c r="N107" s="49">
        <f>B107+C107+D107+E107+F107+G107+H107+I107+J107+K107+L107+M107</f>
        <v>422690.30000000005</v>
      </c>
    </row>
    <row r="108" spans="1:14" ht="16">
      <c r="A108" s="42" t="s">
        <v>104</v>
      </c>
      <c r="B108" s="48">
        <f>B61-B107</f>
        <v>-48507.65000000001</v>
      </c>
      <c r="C108" s="48">
        <f>C61-C107</f>
        <v>1187.1900000000023</v>
      </c>
      <c r="D108" s="48">
        <f>D61-D107</f>
        <v>-4593.140000000003</v>
      </c>
      <c r="E108" s="48">
        <f>E61-E107</f>
        <v>-20326.100000000017</v>
      </c>
      <c r="F108" s="48">
        <f>F61-F107</f>
        <v>-42792.69</v>
      </c>
      <c r="G108" s="48">
        <f>G61-G107</f>
        <v>-5965.019999999993</v>
      </c>
      <c r="H108" s="48">
        <f>H61-H107</f>
        <v>-23139.300000000007</v>
      </c>
      <c r="I108" s="48">
        <f>I61-I107</f>
        <v>-20904.850000000002</v>
      </c>
      <c r="J108" s="48">
        <f>J61-J107</f>
        <v>-17807.83</v>
      </c>
      <c r="K108" s="48">
        <f>K61-K107</f>
        <v>-5456.259999999998</v>
      </c>
      <c r="L108" s="48">
        <f>L61-L107</f>
        <v>-8477.27</v>
      </c>
      <c r="M108" s="48">
        <f>M61-M107</f>
        <v>-75048.96</v>
      </c>
      <c r="N108" s="49">
        <f>B108+C108+D108+E108+F108+G108+H108+I108+J108+K108+L108+M108</f>
        <v>-271831.88</v>
      </c>
    </row>
    <row r="109" spans="1:13" ht="16">
      <c r="A109" s="36" t="s">
        <v>105</v>
      </c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</row>
    <row r="110" spans="1:14" ht="16">
      <c r="A110" s="37" t="s">
        <v>106</v>
      </c>
      <c r="B110" s="47">
        <v>0.13</v>
      </c>
      <c r="C110" s="47">
        <v>0.09</v>
      </c>
      <c r="D110" s="47">
        <v>0.04</v>
      </c>
      <c r="E110" s="47">
        <v>0.05</v>
      </c>
      <c r="F110" s="47">
        <v>0.05</v>
      </c>
      <c r="G110" s="47">
        <v>0.08</v>
      </c>
      <c r="H110" s="47">
        <v>0.12</v>
      </c>
      <c r="I110" s="47">
        <v>0.08</v>
      </c>
      <c r="J110" s="47">
        <v>0.16</v>
      </c>
      <c r="K110" s="47">
        <v>0.09</v>
      </c>
      <c r="L110" s="47">
        <v>0.02</v>
      </c>
      <c r="M110" s="47">
        <v>0.01</v>
      </c>
      <c r="N110" s="47">
        <f>B110+C110+D110+E110+F110+G110+H110+I110+J110+K110+L110+M110</f>
        <v>0.92</v>
      </c>
    </row>
    <row r="111" spans="1:14" ht="16">
      <c r="A111" s="37" t="s">
        <v>107</v>
      </c>
      <c r="B111" s="47">
        <v>17248.74</v>
      </c>
      <c r="C111" s="46"/>
      <c r="D111" s="47">
        <v>7329.17</v>
      </c>
      <c r="E111" s="46"/>
      <c r="F111" s="47">
        <v>63179.29</v>
      </c>
      <c r="G111" s="47">
        <v>51405.43</v>
      </c>
      <c r="H111" s="46"/>
      <c r="I111" s="46"/>
      <c r="J111" s="46"/>
      <c r="K111" s="47">
        <v>3034.9</v>
      </c>
      <c r="L111" s="46"/>
      <c r="M111" s="47">
        <v>14443.33</v>
      </c>
      <c r="N111" s="47">
        <f>B111+C111+D111+E111+F111+G111+H111+I111+J111+K111+L111+M111</f>
        <v>156640.86</v>
      </c>
    </row>
    <row r="112" spans="1:14" ht="16">
      <c r="A112" s="42" t="s">
        <v>108</v>
      </c>
      <c r="B112" s="48">
        <f>B109+B110+B111</f>
        <v>17248.870000000003</v>
      </c>
      <c r="C112" s="48">
        <f>C109+C110+C111</f>
        <v>0.09</v>
      </c>
      <c r="D112" s="48">
        <f>D109+D110+D111</f>
        <v>7329.21</v>
      </c>
      <c r="E112" s="48">
        <f>E109+E110+E111</f>
        <v>0.05</v>
      </c>
      <c r="F112" s="48">
        <f>F109+F110+F111</f>
        <v>63179.340000000004</v>
      </c>
      <c r="G112" s="48">
        <f>G109+G110+G111</f>
        <v>51405.51</v>
      </c>
      <c r="H112" s="48">
        <f>H109+H110+H111</f>
        <v>0.12</v>
      </c>
      <c r="I112" s="48">
        <f>I109+I110+I111</f>
        <v>0.08</v>
      </c>
      <c r="J112" s="48">
        <f>J109+J110+J111</f>
        <v>0.16</v>
      </c>
      <c r="K112" s="48">
        <f>K109+K110+K111</f>
        <v>3034.9900000000002</v>
      </c>
      <c r="L112" s="48">
        <f>L109+L110+L111</f>
        <v>0.02</v>
      </c>
      <c r="M112" s="48">
        <f>M109+M110+M111</f>
        <v>14443.34</v>
      </c>
      <c r="N112" s="49">
        <f>B112+C112+D112+E112+F112+G112+H112+I112+J112+K112+L112+M112</f>
        <v>156641.77999999997</v>
      </c>
    </row>
    <row r="113" spans="1:14" ht="16">
      <c r="A113" s="42" t="s">
        <v>109</v>
      </c>
      <c r="B113" s="48">
        <f>B112-0</f>
        <v>17248.870000000003</v>
      </c>
      <c r="C113" s="48">
        <f>C112-0</f>
        <v>0.09</v>
      </c>
      <c r="D113" s="48">
        <f>D112-0</f>
        <v>7329.21</v>
      </c>
      <c r="E113" s="48">
        <f>E112-0</f>
        <v>0.05</v>
      </c>
      <c r="F113" s="48">
        <f>F112-0</f>
        <v>63179.340000000004</v>
      </c>
      <c r="G113" s="48">
        <f>G112-0</f>
        <v>51405.51</v>
      </c>
      <c r="H113" s="48">
        <f>H112-0</f>
        <v>0.12</v>
      </c>
      <c r="I113" s="48">
        <f>I112-0</f>
        <v>0.08</v>
      </c>
      <c r="J113" s="48">
        <f>J112-0</f>
        <v>0.16</v>
      </c>
      <c r="K113" s="48">
        <f>K112-0</f>
        <v>3034.9900000000002</v>
      </c>
      <c r="L113" s="48">
        <f>L112-0</f>
        <v>0.02</v>
      </c>
      <c r="M113" s="48">
        <f>M112-0</f>
        <v>14443.34</v>
      </c>
      <c r="N113" s="49">
        <f>B113+C113+D113+E113+F113+G113+H113+I113+J113+K113+L113+M113</f>
        <v>156641.77999999997</v>
      </c>
    </row>
    <row r="114" spans="1:14" ht="16">
      <c r="A114" s="42" t="s">
        <v>110</v>
      </c>
      <c r="B114" s="48">
        <f>B108+B113</f>
        <v>-31258.780000000006</v>
      </c>
      <c r="C114" s="48">
        <f>C108+C113</f>
        <v>1187.2800000000022</v>
      </c>
      <c r="D114" s="48">
        <f>D108+D113</f>
        <v>2736.069999999997</v>
      </c>
      <c r="E114" s="48">
        <f>E108+E113</f>
        <v>-20326.050000000017</v>
      </c>
      <c r="F114" s="48">
        <f>F108+F113</f>
        <v>20386.65</v>
      </c>
      <c r="G114" s="48">
        <f>G108+G113</f>
        <v>45440.490000000005</v>
      </c>
      <c r="H114" s="48">
        <f>H108+H113</f>
        <v>-23139.180000000008</v>
      </c>
      <c r="I114" s="48">
        <f>I108+I113</f>
        <v>-20904.77</v>
      </c>
      <c r="J114" s="48">
        <f>J108+J113</f>
        <v>-17807.670000000002</v>
      </c>
      <c r="K114" s="48">
        <f>K108+K113</f>
        <v>-2421.269999999998</v>
      </c>
      <c r="L114" s="48">
        <f>L108+L113</f>
        <v>-8477.25</v>
      </c>
      <c r="M114" s="48">
        <f>M108+M113</f>
        <v>-60605.62000000001</v>
      </c>
      <c r="N114" s="49">
        <f>B114+C114+D114+E114+F114+G114+H114+I114+J114+K114+L114+M114</f>
        <v>-115190.10000000003</v>
      </c>
    </row>
    <row r="118" spans="1:1" ht="16">
      <c r="A118" s="52" t="s">
        <v>125</v>
      </c>
    </row>
  </sheetData>
  <mergeCells count="4">
    <mergeCell ref="A1:N1"/>
    <mergeCell ref="A2:N2"/>
    <mergeCell ref="A3:N3"/>
    <mergeCell ref="A118:N11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