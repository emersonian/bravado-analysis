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R129" i="1" l="1"/>
</calcChain>
</file>

<file path=xl/sharedStrings.xml><?xml version="1.0" encoding="utf-8"?>
<sst xmlns="http://schemas.openxmlformats.org/spreadsheetml/2006/main" count="276" uniqueCount="276">
  <si>
    <t>BRAVADO SPICE LLC</t>
  </si>
  <si>
    <t>Balance Sheet</t>
  </si>
  <si>
    <t>All Dates</t>
  </si>
  <si>
    <t>Assets</t>
  </si>
  <si>
    <t>Current Assets</t>
  </si>
  <si>
    <t>Bank Accounts</t>
  </si>
  <si>
    <t>1071 Bill.com Money In Clearing</t>
  </si>
  <si>
    <t>1072 Bill.com Money Out Clearing</t>
  </si>
  <si>
    <t>11000 Bank Accounts (deleted)</t>
  </si>
  <si>
    <t>11100 Chase Savings 3580</t>
  </si>
  <si>
    <t>11200 Chase Checking 5189</t>
  </si>
  <si>
    <t>11500 Cash on hand</t>
  </si>
  <si>
    <t>1862 Found Chase Bank</t>
  </si>
  <si>
    <t>Chase, Checking ...8733</t>
  </si>
  <si>
    <t>Paypal</t>
  </si>
  <si>
    <t>QuickBooks Checking Account</t>
  </si>
  <si>
    <t>Total for Bank Accounts</t>
  </si>
  <si>
    <t>Accounts Receivable</t>
  </si>
  <si>
    <t>12000 Accounts Receivable</t>
  </si>
  <si>
    <t>Total for Accounts Receivable</t>
  </si>
  <si>
    <t>Other Current Assets</t>
  </si>
  <si>
    <t>13000 Prepaid Expenses</t>
  </si>
  <si>
    <t>14000 Uncategorized Asset</t>
  </si>
  <si>
    <t>15000 Undeposited Funds</t>
  </si>
  <si>
    <t>20000 Inventory Asset</t>
  </si>
  <si>
    <t>Amazon Inventory</t>
  </si>
  <si>
    <t>Ecomm Inventory</t>
  </si>
  <si>
    <t>Shopify/ Web Inventory</t>
  </si>
  <si>
    <t>Web Inventory</t>
  </si>
  <si>
    <t>Total for Ecomm Inventory</t>
  </si>
  <si>
    <t>Faire Inventory</t>
  </si>
  <si>
    <t>Katana ERP Inventory</t>
  </si>
  <si>
    <t>Katana Inventory_Materials</t>
  </si>
  <si>
    <t>Katana Inventory_Product</t>
  </si>
  <si>
    <t>Total for Katana ERP Inventory</t>
  </si>
  <si>
    <t>Total for 20000 Inventory Asset</t>
  </si>
  <si>
    <t>BlockFi Investment</t>
  </si>
  <si>
    <t>Due from James</t>
  </si>
  <si>
    <t>Due from Jer</t>
  </si>
  <si>
    <t>Faire Clearing Account</t>
  </si>
  <si>
    <t>Loan Receivable - Specialty Bottling Group</t>
  </si>
  <si>
    <t>Total for Other Current Assets</t>
  </si>
  <si>
    <t>Total for Current Assets</t>
  </si>
  <si>
    <t>Fixed Assets</t>
  </si>
  <si>
    <t>27000 Machinery &amp; Equipment</t>
  </si>
  <si>
    <t>28000 Company Vehicle - Chevrolet</t>
  </si>
  <si>
    <t>28500 Company Vehicle - Ford Explorer</t>
  </si>
  <si>
    <t>29000 Company Vehicle - Box Truck</t>
  </si>
  <si>
    <t>Accumulated Depreciation</t>
  </si>
  <si>
    <t>Total for Fixed Assets</t>
  </si>
  <si>
    <t>Other Assets</t>
  </si>
  <si>
    <t>Security Deposits</t>
  </si>
  <si>
    <t>Total for Other Assets</t>
  </si>
  <si>
    <t>Total for Assets</t>
  </si>
  <si>
    <t>Liabilities and Equity</t>
  </si>
  <si>
    <t>Liabilities</t>
  </si>
  <si>
    <t>Current Liabilities</t>
  </si>
  <si>
    <t>Accounts Payable</t>
  </si>
  <si>
    <t>31000 Accounts Payable</t>
  </si>
  <si>
    <t>Total for Accounts Payable</t>
  </si>
  <si>
    <t>Credit Cards</t>
  </si>
  <si>
    <t>32000 Credit Cards</t>
  </si>
  <si>
    <t>32100 Plum Card (deleted)</t>
  </si>
  <si>
    <t>32200 SimplyCash(SM) Business Card (deleted)</t>
  </si>
  <si>
    <t>32300 Credit Card (deleted)</t>
  </si>
  <si>
    <t>32500 Chase Amazon CC (deleted)</t>
  </si>
  <si>
    <t>32700 Vince's Southwest Airlines Rapid Rewards 7528</t>
  </si>
  <si>
    <t>Total for 32000 Credit Cards</t>
  </si>
  <si>
    <t>32400 Spark Business Credit Card - 4964</t>
  </si>
  <si>
    <t>32600 Southwest Airlines Rapid Rewards Credit Card 7510</t>
  </si>
  <si>
    <t>32800 James's Chase Ink Card</t>
  </si>
  <si>
    <t>Business AMEX Card_3007</t>
  </si>
  <si>
    <t>Chase 5039</t>
  </si>
  <si>
    <t>Chase 7084</t>
  </si>
  <si>
    <t>Credit card (9532)</t>
  </si>
  <si>
    <t>Shopify Credit</t>
  </si>
  <si>
    <t>Total for Credit Cards</t>
  </si>
  <si>
    <t>Other Current Liabilities</t>
  </si>
  <si>
    <t>33000 Lines of Credit</t>
  </si>
  <si>
    <t>33100 Anthony Tallerine LOC</t>
  </si>
  <si>
    <t>33200 BlueVine LOC</t>
  </si>
  <si>
    <t>33300 Fundbox Invoice Advances</t>
  </si>
  <si>
    <t>33400 Amazon LOC</t>
  </si>
  <si>
    <t>Total for 33000 Lines of Credit</t>
  </si>
  <si>
    <t>33500 Due to Jeremiah</t>
  </si>
  <si>
    <t>34100 Employer Benefit Liabilities</t>
  </si>
  <si>
    <t>34300 Tax Deferral</t>
  </si>
  <si>
    <t>34310 Social Security</t>
  </si>
  <si>
    <t>Total for 34300 Tax Deferral</t>
  </si>
  <si>
    <t>Accrued Expense</t>
  </si>
  <si>
    <t>Debt to Equity - Hugh and Christy Nguyen</t>
  </si>
  <si>
    <t>Debt to Equity - Mark Clark</t>
  </si>
  <si>
    <t>Forward Financing Loan</t>
  </si>
  <si>
    <t>Loan From Mark Clark</t>
  </si>
  <si>
    <t>Out Of Scope Agency Payable</t>
  </si>
  <si>
    <t>Texas State Comptroller Payable</t>
  </si>
  <si>
    <t>Wages Due to Jeremiah</t>
  </si>
  <si>
    <t>Total for Other Current Liabilities</t>
  </si>
  <si>
    <t>Total for Current Liabilities</t>
  </si>
  <si>
    <t>Long-term Liabilities</t>
  </si>
  <si>
    <t>35000 Loan Payable - Chevrolet</t>
  </si>
  <si>
    <t>Amazon Loan</t>
  </si>
  <si>
    <t>Everist Loan</t>
  </si>
  <si>
    <t>Funding Circle Loan</t>
  </si>
  <si>
    <t>Loan - Intuit Financing</t>
  </si>
  <si>
    <t>Loan From Nguyen</t>
  </si>
  <si>
    <t>Loan from Shopify</t>
  </si>
  <si>
    <t>Parafin Capital</t>
  </si>
  <si>
    <t>PPP Loan</t>
  </si>
  <si>
    <t>Quickbooks Capital Loan</t>
  </si>
  <si>
    <t>SBA Disaster Loan</t>
  </si>
  <si>
    <t>Shopify Capital</t>
  </si>
  <si>
    <t>Total for Long-term Liabilities</t>
  </si>
  <si>
    <t>Total for Liabilities</t>
  </si>
  <si>
    <t>Equity</t>
  </si>
  <si>
    <t>51000 Opening Balance Equity</t>
  </si>
  <si>
    <t>53000 Jer's Draw</t>
  </si>
  <si>
    <t>54000 James' Draw</t>
  </si>
  <si>
    <t>Member Equity - Clark</t>
  </si>
  <si>
    <t>Member Equity - Coinbase</t>
  </si>
  <si>
    <t>Member Equity - Nelson</t>
  </si>
  <si>
    <t>Member Equity - Nguyen</t>
  </si>
  <si>
    <t>Member Equity - Tallerine</t>
  </si>
  <si>
    <t>52000 Retained Earnings</t>
  </si>
  <si>
    <t>Net Income</t>
  </si>
  <si>
    <t>Total for Equity</t>
  </si>
  <si>
    <t>Total for Liabilities and Equity</t>
  </si>
  <si>
    <t/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</si>
  <si>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</si>
  <si>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</si>
  <si>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</si>
  <si>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</si>
  <si>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</si>
  <si>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</si>
  <si>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</si>
  <si>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</si>
  <si>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</si>
  <si>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</si>
  <si>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</si>
  <si>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</si>
  <si>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</si>
  <si>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</si>
  <si>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</si>
  <si>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</si>
  <si>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</si>
  <si>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</si>
  <si>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</si>
  <si>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</si>
  <si>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</si>
  <si>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</si>
  <si>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</si>
  <si>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</si>
  <si>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</si>
  <si>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</si>
  <si>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</si>
  <si>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</si>
  <si>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</si>
  <si>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</si>
  <si>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</si>
  <si>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</si>
  <si>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</si>
  <si>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</si>
  <si>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</si>
  <si>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</si>
  <si>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</si>
  <si>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</si>
  <si>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</si>
  <si>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</si>
  <si>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</si>
  <si>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</si>
  <si>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</si>
  <si>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</si>
  <si>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</si>
  <si>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</si>
  <si>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</si>
  <si>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</si>
  <si>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</si>
  <si>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</si>
  <si>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</si>
  <si>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</si>
  <si>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</si>
  <si>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</si>
  <si>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</si>
  <si>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</si>
  <si>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</si>
  <si>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</si>
  <si>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</si>
  <si>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</si>
  <si>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</si>
  <si>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</si>
  <si>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</si>
  <si>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</si>
  <si>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</si>
  <si>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</si>
  <si>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</si>
  <si>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</si>
  <si>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</si>
  <si>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</si>
  <si>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</si>
  <si>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</si>
  <si>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</si>
  <si>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</si>
  <si>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</si>
  <si>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</si>
  <si>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</si>
  <si>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</si>
  <si>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</si>
  <si>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</si>
  <si>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</si>
  <si>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</si>
  <si>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</si>
  <si>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</si>
  <si>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</si>
  <si>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</si>
  <si>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</si>
  <si>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</si>
  <si>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</si>
  <si>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</si>
  <si>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</si>
  <si>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</si>
  <si>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</si>
  <si>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</si>
  <si>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</si>
  <si>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</si>
  <si>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</si>
  <si>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</si>
  <si>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</si>
  <si>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</si>
  <si>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</si>
  <si>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</si>
  <si>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</si>
  <si>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</si>
  <si>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</si>
  <si>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</si>
  <si>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</si>
  <si>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</si>
  <si>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</si>
  <si>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</si>
  <si>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</si>
  <si>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</si>
  <si>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</si>
  <si>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</si>
  <si>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</si>
  <si>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</si>
  <si>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</si>
  <si>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</si>
  <si>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</si>
  <si>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</si>
  <si>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</si>
  <si>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</si>
  <si>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</si>
  <si>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</si>
  <si>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</si>
  <si>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</si>
  <si>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</si>
  <si>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</si>
  <si>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</si>
  <si>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</si>
  <si>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</si>
  <si>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</si>
  <si>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</si>
  <si>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</si>
  <si>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</si>
  <si>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</si>
  <si>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</si>
  <si>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</si>
  <si>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</si>
  <si>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</si>
  <si>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</si>
  <si>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</si>
  <si>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</si>
  <si>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</si>
  <si>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</si>
  <si>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</si>
  <si>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</si>
  <si>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Accrual Basis Monday, August 24, 2026 09:24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</si>
</sst>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8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7" fontId="0" fillId="0" borderId="0" xfId="0" applyNumberFormat="1"/>
    <xf numFmtId="177" fontId="3" fillId="0" borderId="0" xfId="0" applyNumberFormat="1" applyFont="1"/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0" fillId="0" borderId="0" xfId="0" applyAlignment="1">
      <alignment horizontal="left" indent="5"/>
    </xf>
    <xf numFmtId="0" fontId="3" fillId="0" borderId="0" xfId="0" applyFont="1" applyAlignment="1">
      <alignment horizontal="left" indent="5"/>
    </xf>
    <xf numFmtId="0" fontId="2" fillId="0" borderId="0" xfId="0" applyFont="1" applyAlignment="1">
      <alignment horizontal="left" indent="4"/>
    </xf>
    <xf numFmtId="0" fontId="5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4"/>
    </xf>
    <xf numFmtId="0" fontId="3" fillId="0" borderId="0" xfId="0" applyFont="1" applyAlignment="1">
      <alignment horizontal="left" wrapText="1" indent="5"/>
    </xf>
    <xf numFmtId="0" fontId="5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7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ER133"/>
  <sheetViews>
    <sheetView tabSelected="1" workbookViewId="0" topLeftCell="A1"/>
  </sheetViews>
  <sheetFormatPr defaultColWidth="11.255" defaultRowHeight="16"/>
  <cols>
    <col min="1" max="1" width="47.875" style="50" customWidth="1"/>
    <col min="2" max="2" width="7.5" style="50" customWidth="1"/>
    <col min="3" max="3" width="16.125" style="50" customWidth="1"/>
    <col min="4" max="12" width="17" style="50" customWidth="1"/>
    <col min="13" max="13" width="19.5" style="50" customWidth="1"/>
    <col min="14" max="14" width="16.125" style="50" customWidth="1"/>
    <col min="15" max="15" width="17" style="50" customWidth="1"/>
    <col min="16" max="16" width="16.125" style="50" customWidth="1"/>
    <col min="17" max="148" width="20.375" style="50" customWidth="1"/>
  </cols>
  <sheetData>
    <row r="1" spans="1:1" ht="16">
      <c r="A1" s="35" t="s">
        <v>0</v>
      </c>
    </row>
    <row r="2" spans="1:1" ht="16">
      <c r="A2" s="36" t="s">
        <v>1</v>
      </c>
    </row>
    <row r="3" spans="1:1" ht="16">
      <c r="A3" s="37" t="s">
        <v>2</v>
      </c>
    </row>
    <row r="5" spans="1:148" ht="16">
      <c r="A5" s="52" t="s">
        <v>127</v>
      </c>
      <c r="B5" s="56" t="s">
        <v>128</v>
      </c>
      <c r="C5" s="56" t="s">
        <v>129</v>
      </c>
      <c r="D5" s="56" t="s">
        <v>130</v>
      </c>
      <c r="E5" s="56" t="s">
        <v>131</v>
      </c>
      <c r="F5" s="56" t="s">
        <v>132</v>
      </c>
      <c r="G5" s="56" t="s">
        <v>133</v>
      </c>
      <c r="H5" s="56" t="s">
        <v>134</v>
      </c>
      <c r="I5" s="56" t="s">
        <v>135</v>
      </c>
      <c r="J5" s="56" t="s">
        <v>136</v>
      </c>
      <c r="K5" s="56" t="s">
        <v>137</v>
      </c>
      <c r="L5" s="56" t="s">
        <v>138</v>
      </c>
      <c r="M5" s="56" t="s">
        <v>139</v>
      </c>
      <c r="N5" s="56" t="s">
        <v>140</v>
      </c>
      <c r="O5" s="56" t="s">
        <v>141</v>
      </c>
      <c r="P5" s="56" t="s">
        <v>142</v>
      </c>
      <c r="Q5" s="56" t="s">
        <v>143</v>
      </c>
      <c r="R5" s="56" t="s">
        <v>144</v>
      </c>
      <c r="S5" s="56" t="s">
        <v>145</v>
      </c>
      <c r="T5" s="56" t="s">
        <v>146</v>
      </c>
      <c r="U5" s="56" t="s">
        <v>147</v>
      </c>
      <c r="V5" s="56" t="s">
        <v>148</v>
      </c>
      <c r="W5" s="56" t="s">
        <v>149</v>
      </c>
      <c r="X5" s="56" t="s">
        <v>150</v>
      </c>
      <c r="Y5" s="56" t="s">
        <v>151</v>
      </c>
      <c r="Z5" s="56" t="s">
        <v>152</v>
      </c>
      <c r="AA5" s="56" t="s">
        <v>153</v>
      </c>
      <c r="AB5" s="56" t="s">
        <v>154</v>
      </c>
      <c r="AC5" s="56" t="s">
        <v>155</v>
      </c>
      <c r="AD5" s="56" t="s">
        <v>156</v>
      </c>
      <c r="AE5" s="56" t="s">
        <v>157</v>
      </c>
      <c r="AF5" s="56" t="s">
        <v>158</v>
      </c>
      <c r="AG5" s="56" t="s">
        <v>159</v>
      </c>
      <c r="AH5" s="56" t="s">
        <v>160</v>
      </c>
      <c r="AI5" s="56" t="s">
        <v>161</v>
      </c>
      <c r="AJ5" s="56" t="s">
        <v>162</v>
      </c>
      <c r="AK5" s="56" t="s">
        <v>163</v>
      </c>
      <c r="AL5" s="56" t="s">
        <v>164</v>
      </c>
      <c r="AM5" s="56" t="s">
        <v>165</v>
      </c>
      <c r="AN5" s="56" t="s">
        <v>166</v>
      </c>
      <c r="AO5" s="56" t="s">
        <v>167</v>
      </c>
      <c r="AP5" s="56" t="s">
        <v>168</v>
      </c>
      <c r="AQ5" s="56" t="s">
        <v>169</v>
      </c>
      <c r="AR5" s="56" t="s">
        <v>170</v>
      </c>
      <c r="AS5" s="56" t="s">
        <v>171</v>
      </c>
      <c r="AT5" s="56" t="s">
        <v>172</v>
      </c>
      <c r="AU5" s="56" t="s">
        <v>173</v>
      </c>
      <c r="AV5" s="56" t="s">
        <v>174</v>
      </c>
      <c r="AW5" s="56" t="s">
        <v>175</v>
      </c>
      <c r="AX5" s="56" t="s">
        <v>176</v>
      </c>
      <c r="AY5" s="56" t="s">
        <v>177</v>
      </c>
      <c r="AZ5" s="56" t="s">
        <v>178</v>
      </c>
      <c r="BA5" s="56" t="s">
        <v>179</v>
      </c>
      <c r="BB5" s="56" t="s">
        <v>180</v>
      </c>
      <c r="BC5" s="56" t="s">
        <v>181</v>
      </c>
      <c r="BD5" s="56" t="s">
        <v>182</v>
      </c>
      <c r="BE5" s="56" t="s">
        <v>183</v>
      </c>
      <c r="BF5" s="56" t="s">
        <v>184</v>
      </c>
      <c r="BG5" s="56" t="s">
        <v>185</v>
      </c>
      <c r="BH5" s="56" t="s">
        <v>186</v>
      </c>
      <c r="BI5" s="56" t="s">
        <v>187</v>
      </c>
      <c r="BJ5" s="56" t="s">
        <v>188</v>
      </c>
      <c r="BK5" s="56" t="s">
        <v>189</v>
      </c>
      <c r="BL5" s="56" t="s">
        <v>190</v>
      </c>
      <c r="BM5" s="56" t="s">
        <v>191</v>
      </c>
      <c r="BN5" s="56" t="s">
        <v>192</v>
      </c>
      <c r="BO5" s="56" t="s">
        <v>193</v>
      </c>
      <c r="BP5" s="56" t="s">
        <v>194</v>
      </c>
      <c r="BQ5" s="56" t="s">
        <v>195</v>
      </c>
      <c r="BR5" s="56" t="s">
        <v>196</v>
      </c>
      <c r="BS5" s="56" t="s">
        <v>197</v>
      </c>
      <c r="BT5" s="56" t="s">
        <v>198</v>
      </c>
      <c r="BU5" s="56" t="s">
        <v>199</v>
      </c>
      <c r="BV5" s="56" t="s">
        <v>200</v>
      </c>
      <c r="BW5" s="56" t="s">
        <v>201</v>
      </c>
      <c r="BX5" s="56" t="s">
        <v>202</v>
      </c>
      <c r="BY5" s="56" t="s">
        <v>203</v>
      </c>
      <c r="BZ5" s="56" t="s">
        <v>204</v>
      </c>
      <c r="CA5" s="56" t="s">
        <v>205</v>
      </c>
      <c r="CB5" s="56" t="s">
        <v>206</v>
      </c>
      <c r="CC5" s="56" t="s">
        <v>207</v>
      </c>
      <c r="CD5" s="56" t="s">
        <v>208</v>
      </c>
      <c r="CE5" s="56" t="s">
        <v>209</v>
      </c>
      <c r="CF5" s="56" t="s">
        <v>210</v>
      </c>
      <c r="CG5" s="56" t="s">
        <v>211</v>
      </c>
      <c r="CH5" s="56" t="s">
        <v>212</v>
      </c>
      <c r="CI5" s="56" t="s">
        <v>213</v>
      </c>
      <c r="CJ5" s="56" t="s">
        <v>214</v>
      </c>
      <c r="CK5" s="56" t="s">
        <v>215</v>
      </c>
      <c r="CL5" s="56" t="s">
        <v>216</v>
      </c>
      <c r="CM5" s="56" t="s">
        <v>217</v>
      </c>
      <c r="CN5" s="56" t="s">
        <v>218</v>
      </c>
      <c r="CO5" s="56" t="s">
        <v>219</v>
      </c>
      <c r="CP5" s="56" t="s">
        <v>220</v>
      </c>
      <c r="CQ5" s="56" t="s">
        <v>221</v>
      </c>
      <c r="CR5" s="56" t="s">
        <v>222</v>
      </c>
      <c r="CS5" s="56" t="s">
        <v>223</v>
      </c>
      <c r="CT5" s="56" t="s">
        <v>224</v>
      </c>
      <c r="CU5" s="56" t="s">
        <v>225</v>
      </c>
      <c r="CV5" s="56" t="s">
        <v>226</v>
      </c>
      <c r="CW5" s="56" t="s">
        <v>227</v>
      </c>
      <c r="CX5" s="56" t="s">
        <v>228</v>
      </c>
      <c r="CY5" s="56" t="s">
        <v>229</v>
      </c>
      <c r="CZ5" s="56" t="s">
        <v>230</v>
      </c>
      <c r="DA5" s="56" t="s">
        <v>231</v>
      </c>
      <c r="DB5" s="56" t="s">
        <v>232</v>
      </c>
      <c r="DC5" s="56" t="s">
        <v>233</v>
      </c>
      <c r="DD5" s="56" t="s">
        <v>234</v>
      </c>
      <c r="DE5" s="56" t="s">
        <v>235</v>
      </c>
      <c r="DF5" s="56" t="s">
        <v>236</v>
      </c>
      <c r="DG5" s="56" t="s">
        <v>237</v>
      </c>
      <c r="DH5" s="56" t="s">
        <v>238</v>
      </c>
      <c r="DI5" s="56" t="s">
        <v>239</v>
      </c>
      <c r="DJ5" s="56" t="s">
        <v>240</v>
      </c>
      <c r="DK5" s="56" t="s">
        <v>241</v>
      </c>
      <c r="DL5" s="56" t="s">
        <v>242</v>
      </c>
      <c r="DM5" s="56" t="s">
        <v>243</v>
      </c>
      <c r="DN5" s="56" t="s">
        <v>244</v>
      </c>
      <c r="DO5" s="56" t="s">
        <v>245</v>
      </c>
      <c r="DP5" s="56" t="s">
        <v>246</v>
      </c>
      <c r="DQ5" s="56" t="s">
        <v>247</v>
      </c>
      <c r="DR5" s="56" t="s">
        <v>248</v>
      </c>
      <c r="DS5" s="56" t="s">
        <v>249</v>
      </c>
      <c r="DT5" s="56" t="s">
        <v>250</v>
      </c>
      <c r="DU5" s="56" t="s">
        <v>251</v>
      </c>
      <c r="DV5" s="56" t="s">
        <v>252</v>
      </c>
      <c r="DW5" s="56" t="s">
        <v>253</v>
      </c>
      <c r="DX5" s="56" t="s">
        <v>254</v>
      </c>
      <c r="DY5" s="56" t="s">
        <v>255</v>
      </c>
      <c r="DZ5" s="56" t="s">
        <v>256</v>
      </c>
      <c r="EA5" s="56" t="s">
        <v>257</v>
      </c>
      <c r="EB5" s="56" t="s">
        <v>258</v>
      </c>
      <c r="EC5" s="56" t="s">
        <v>259</v>
      </c>
      <c r="ED5" s="56" t="s">
        <v>260</v>
      </c>
      <c r="EE5" s="56" t="s">
        <v>261</v>
      </c>
      <c r="EF5" s="56" t="s">
        <v>262</v>
      </c>
      <c r="EG5" s="56" t="s">
        <v>263</v>
      </c>
      <c r="EH5" s="56" t="s">
        <v>264</v>
      </c>
      <c r="EI5" s="56" t="s">
        <v>265</v>
      </c>
      <c r="EJ5" s="56" t="s">
        <v>266</v>
      </c>
      <c r="EK5" s="56" t="s">
        <v>267</v>
      </c>
      <c r="EL5" s="56" t="s">
        <v>268</v>
      </c>
      <c r="EM5" s="56" t="s">
        <v>269</v>
      </c>
      <c r="EN5" s="56" t="s">
        <v>270</v>
      </c>
      <c r="EO5" s="56" t="s">
        <v>271</v>
      </c>
      <c r="EP5" s="56" t="s">
        <v>272</v>
      </c>
      <c r="EQ5" s="56" t="s">
        <v>273</v>
      </c>
      <c r="ER5" s="56" t="s">
        <v>274</v>
      </c>
    </row>
    <row r="6" spans="1:148" ht="16">
      <c r="A6" s="39" t="s">
        <v>3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</row>
    <row r="7" spans="1:148" ht="16">
      <c r="A7" s="40" t="s">
        <v>4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</row>
    <row r="8" spans="1:148" ht="16">
      <c r="A8" s="41" t="s">
        <v>5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</row>
    <row r="9" spans="1:148" ht="16">
      <c r="A9" s="42" t="s">
        <v>6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4">
        <v>30240.0</v>
      </c>
      <c r="DE9" s="54">
        <v>0</v>
      </c>
      <c r="DF9" s="54">
        <v>0</v>
      </c>
      <c r="DG9" s="54">
        <v>0</v>
      </c>
      <c r="DH9" s="54">
        <v>0</v>
      </c>
      <c r="DI9" s="54">
        <v>0</v>
      </c>
      <c r="DJ9" s="54">
        <v>0</v>
      </c>
      <c r="DK9" s="54">
        <v>0</v>
      </c>
      <c r="DL9" s="54">
        <v>0</v>
      </c>
      <c r="DM9" s="54">
        <v>0</v>
      </c>
      <c r="DN9" s="54">
        <v>0</v>
      </c>
      <c r="DO9" s="54">
        <v>0</v>
      </c>
      <c r="DP9" s="54">
        <v>0</v>
      </c>
      <c r="DQ9" s="54">
        <v>0</v>
      </c>
      <c r="DR9" s="54">
        <v>0</v>
      </c>
      <c r="DS9" s="54">
        <v>0</v>
      </c>
      <c r="DT9" s="54">
        <v>0</v>
      </c>
      <c r="DU9" s="54">
        <v>0</v>
      </c>
      <c r="DV9" s="54">
        <v>0</v>
      </c>
      <c r="DW9" s="54">
        <v>0</v>
      </c>
      <c r="DX9" s="54">
        <v>0</v>
      </c>
      <c r="DY9" s="54">
        <v>0</v>
      </c>
      <c r="DZ9" s="54">
        <v>0</v>
      </c>
      <c r="EA9" s="54">
        <v>0</v>
      </c>
      <c r="EB9" s="54">
        <v>0</v>
      </c>
      <c r="EC9" s="54">
        <v>0</v>
      </c>
      <c r="ED9" s="54">
        <v>0</v>
      </c>
      <c r="EE9" s="54">
        <v>0</v>
      </c>
      <c r="EF9" s="54">
        <v>0</v>
      </c>
      <c r="EG9" s="54">
        <v>0</v>
      </c>
      <c r="EH9" s="54">
        <v>0</v>
      </c>
      <c r="EI9" s="54">
        <v>0</v>
      </c>
      <c r="EJ9" s="54">
        <v>0</v>
      </c>
      <c r="EK9" s="54">
        <v>0</v>
      </c>
      <c r="EL9" s="54">
        <v>0</v>
      </c>
      <c r="EM9" s="54">
        <v>0</v>
      </c>
      <c r="EN9" s="54">
        <v>0</v>
      </c>
      <c r="EO9" s="54">
        <v>0</v>
      </c>
      <c r="EP9" s="54">
        <v>0</v>
      </c>
      <c r="EQ9" s="54">
        <v>0</v>
      </c>
      <c r="ER9" s="54">
        <v>0</v>
      </c>
    </row>
    <row r="10" spans="1:148" ht="16">
      <c r="A10" s="42" t="s">
        <v>7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4">
        <v>0</v>
      </c>
      <c r="BP10" s="54">
        <v>0</v>
      </c>
      <c r="BQ10" s="54">
        <v>450.0</v>
      </c>
      <c r="BR10" s="54">
        <v>535.0</v>
      </c>
      <c r="BS10" s="54">
        <v>2278.45</v>
      </c>
      <c r="BT10" s="54">
        <v>1988.4499999999998</v>
      </c>
      <c r="BU10" s="54">
        <v>159.99999999999977</v>
      </c>
      <c r="BV10" s="54">
        <v>-2.2737367544323206E-13</v>
      </c>
      <c r="BW10" s="54">
        <v>-2.2737367544323206E-13</v>
      </c>
      <c r="BX10" s="54">
        <v>-2.2737367544323206E-13</v>
      </c>
      <c r="BY10" s="54">
        <v>-2.2737367544323206E-13</v>
      </c>
      <c r="BZ10" s="54">
        <v>-2.2737367544323206E-13</v>
      </c>
      <c r="CA10" s="54">
        <v>-2.2737367544323206E-13</v>
      </c>
      <c r="CB10" s="54">
        <v>-2.2737367544323206E-13</v>
      </c>
      <c r="CC10" s="54">
        <v>-2.2737367544323206E-13</v>
      </c>
      <c r="CD10" s="54">
        <v>-2.2737367544323206E-13</v>
      </c>
      <c r="CE10" s="54">
        <v>-2.2737367544323206E-13</v>
      </c>
      <c r="CF10" s="54">
        <v>-2.2737367544323206E-13</v>
      </c>
      <c r="CG10" s="54">
        <v>-2.2737367544323206E-13</v>
      </c>
      <c r="CH10" s="54">
        <v>-2.2737367544323206E-13</v>
      </c>
      <c r="CI10" s="54">
        <v>-2.2737367544323206E-13</v>
      </c>
      <c r="CJ10" s="54">
        <v>-2.2737367544323206E-13</v>
      </c>
      <c r="CK10" s="54">
        <v>-2.2737367544323206E-13</v>
      </c>
      <c r="CL10" s="54">
        <v>-2.2737367544323206E-13</v>
      </c>
      <c r="CM10" s="54">
        <v>-2.2737367544323206E-13</v>
      </c>
      <c r="CN10" s="54">
        <v>-2.2737367544323206E-13</v>
      </c>
      <c r="CO10" s="54">
        <v>-2.2737367544323206E-13</v>
      </c>
      <c r="CP10" s="54">
        <v>-2.2737367544323206E-13</v>
      </c>
      <c r="CQ10" s="54">
        <v>-2.2737367544323206E-13</v>
      </c>
      <c r="CR10" s="54">
        <v>-2.2737367544323206E-13</v>
      </c>
      <c r="CS10" s="54">
        <v>-2.2737367544323206E-13</v>
      </c>
      <c r="CT10" s="54">
        <v>-2.2737367544323206E-13</v>
      </c>
      <c r="CU10" s="54">
        <v>-2.2737367544323206E-13</v>
      </c>
      <c r="CV10" s="54">
        <v>-2.2737367544323206E-13</v>
      </c>
      <c r="CW10" s="54">
        <v>-2.2737367544323206E-13</v>
      </c>
      <c r="CX10" s="54">
        <v>-2.2737367544323206E-13</v>
      </c>
      <c r="CY10" s="54">
        <v>-2.2737367544323206E-13</v>
      </c>
      <c r="CZ10" s="54">
        <v>-2.2737367544323206E-13</v>
      </c>
      <c r="DA10" s="54">
        <v>-2.2737367544323206E-13</v>
      </c>
      <c r="DB10" s="54">
        <v>-2.2737367544323206E-13</v>
      </c>
      <c r="DC10" s="54">
        <v>-2.2737367544323206E-13</v>
      </c>
      <c r="DD10" s="54">
        <v>-2.2737367544323206E-13</v>
      </c>
      <c r="DE10" s="54">
        <v>-2.2737367544323206E-13</v>
      </c>
      <c r="DF10" s="54">
        <v>-2.2737367544323206E-13</v>
      </c>
      <c r="DG10" s="54">
        <v>-2.2737367544323206E-13</v>
      </c>
      <c r="DH10" s="54">
        <v>-2.2737367544323206E-13</v>
      </c>
      <c r="DI10" s="54">
        <v>-2.2737367544323206E-13</v>
      </c>
      <c r="DJ10" s="54">
        <v>-2.2737367544323206E-13</v>
      </c>
      <c r="DK10" s="54">
        <v>-2.2737367544323206E-13</v>
      </c>
      <c r="DL10" s="54">
        <v>-2.2737367544323206E-13</v>
      </c>
      <c r="DM10" s="54">
        <v>-2.2737367544323206E-13</v>
      </c>
      <c r="DN10" s="54">
        <v>-2.2737367544323206E-13</v>
      </c>
      <c r="DO10" s="54">
        <v>-2.2737367544323206E-13</v>
      </c>
      <c r="DP10" s="54">
        <v>-2.2737367544323206E-13</v>
      </c>
      <c r="DQ10" s="54">
        <v>-2.2737367544323206E-13</v>
      </c>
      <c r="DR10" s="54">
        <v>-2.2737367544323206E-13</v>
      </c>
      <c r="DS10" s="54">
        <v>-2.2737367544323206E-13</v>
      </c>
      <c r="DT10" s="54">
        <v>-2.2737367544323206E-13</v>
      </c>
      <c r="DU10" s="54">
        <v>-2.2737367544323206E-13</v>
      </c>
      <c r="DV10" s="54">
        <v>-2.2737367544323206E-13</v>
      </c>
      <c r="DW10" s="54">
        <v>-2.2737367544323206E-13</v>
      </c>
      <c r="DX10" s="54">
        <v>-2.2737367544323206E-13</v>
      </c>
      <c r="DY10" s="54">
        <v>-2.2737367544323206E-13</v>
      </c>
      <c r="DZ10" s="54">
        <v>-2.2737367544323206E-13</v>
      </c>
      <c r="EA10" s="54">
        <v>-2.2737367544323206E-13</v>
      </c>
      <c r="EB10" s="54">
        <v>-2.2737367544323206E-13</v>
      </c>
      <c r="EC10" s="54">
        <v>-2.2737367544323206E-13</v>
      </c>
      <c r="ED10" s="54">
        <v>-2.2737367544323206E-13</v>
      </c>
      <c r="EE10" s="54">
        <v>-2.2737367544323206E-13</v>
      </c>
      <c r="EF10" s="54">
        <v>-2.2737367544323206E-13</v>
      </c>
      <c r="EG10" s="54">
        <v>-2.2737367544323206E-13</v>
      </c>
      <c r="EH10" s="54">
        <v>-2.2737367544323206E-13</v>
      </c>
      <c r="EI10" s="54">
        <v>-2.2737367544323206E-13</v>
      </c>
      <c r="EJ10" s="54">
        <v>-2.2737367544323206E-13</v>
      </c>
      <c r="EK10" s="54">
        <v>-2.2737367544323206E-13</v>
      </c>
      <c r="EL10" s="54">
        <v>-2.2737367544323206E-13</v>
      </c>
      <c r="EM10" s="54">
        <v>-2.2737367544323206E-13</v>
      </c>
      <c r="EN10" s="54">
        <v>-2.2737367544323206E-13</v>
      </c>
      <c r="EO10" s="54">
        <v>-2.2737367544323206E-13</v>
      </c>
      <c r="EP10" s="54">
        <v>-2.2737367544323206E-13</v>
      </c>
      <c r="EQ10" s="54">
        <v>-2.2737367544323206E-13</v>
      </c>
      <c r="ER10" s="54">
        <v>-2.2737367544323206E-13</v>
      </c>
    </row>
    <row r="11" spans="1:148" ht="16">
      <c r="A11" s="42" t="s">
        <v>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>
        <v>-125.0</v>
      </c>
      <c r="AQ11" s="54">
        <v>-125.0</v>
      </c>
      <c r="AR11" s="54">
        <v>-125.0</v>
      </c>
      <c r="AS11" s="54">
        <v>-125.0</v>
      </c>
      <c r="AT11" s="54">
        <v>-125.0</v>
      </c>
      <c r="AU11" s="54">
        <v>-125.0</v>
      </c>
      <c r="AV11" s="54">
        <v>-125.0</v>
      </c>
      <c r="AW11" s="54">
        <v>-125.0</v>
      </c>
      <c r="AX11" s="54">
        <v>-125.0</v>
      </c>
      <c r="AY11" s="54">
        <v>-125.0</v>
      </c>
      <c r="AZ11" s="54">
        <v>-125.0</v>
      </c>
      <c r="BA11" s="54">
        <v>-125.0</v>
      </c>
      <c r="BB11" s="54">
        <v>-125.0</v>
      </c>
      <c r="BC11" s="54">
        <v>-125.0</v>
      </c>
      <c r="BD11" s="54">
        <v>-125.0</v>
      </c>
      <c r="BE11" s="54">
        <v>-125.0</v>
      </c>
      <c r="BF11" s="54">
        <v>-125.0</v>
      </c>
      <c r="BG11" s="54">
        <v>-125.0</v>
      </c>
      <c r="BH11" s="54">
        <v>-125.0</v>
      </c>
      <c r="BI11" s="54">
        <v>-1348.25</v>
      </c>
      <c r="BJ11" s="54">
        <v>-1348.25</v>
      </c>
      <c r="BK11" s="54">
        <v>-1348.25</v>
      </c>
      <c r="BL11" s="54">
        <v>-1348.25</v>
      </c>
      <c r="BM11" s="54">
        <v>-1348.25</v>
      </c>
      <c r="BN11" s="54">
        <v>-1348.25</v>
      </c>
      <c r="BO11" s="54">
        <v>0</v>
      </c>
      <c r="BP11" s="54">
        <v>0</v>
      </c>
      <c r="BQ11" s="54">
        <v>0</v>
      </c>
      <c r="BR11" s="54">
        <v>0</v>
      </c>
      <c r="BS11" s="54">
        <v>0</v>
      </c>
      <c r="BT11" s="54">
        <v>0</v>
      </c>
      <c r="BU11" s="54">
        <v>0</v>
      </c>
      <c r="BV11" s="54">
        <v>0</v>
      </c>
      <c r="BW11" s="54">
        <v>0</v>
      </c>
      <c r="BX11" s="54">
        <v>0</v>
      </c>
      <c r="BY11" s="54">
        <v>0</v>
      </c>
      <c r="BZ11" s="54">
        <v>0</v>
      </c>
      <c r="CA11" s="54">
        <v>0</v>
      </c>
      <c r="CB11" s="54">
        <v>0</v>
      </c>
      <c r="CC11" s="54">
        <v>0</v>
      </c>
      <c r="CD11" s="54">
        <v>0</v>
      </c>
      <c r="CE11" s="54">
        <v>0</v>
      </c>
      <c r="CF11" s="54">
        <v>0</v>
      </c>
      <c r="CG11" s="54">
        <v>0</v>
      </c>
      <c r="CH11" s="54">
        <v>0</v>
      </c>
      <c r="CI11" s="54">
        <v>0</v>
      </c>
      <c r="CJ11" s="54">
        <v>0</v>
      </c>
      <c r="CK11" s="54">
        <v>0</v>
      </c>
      <c r="CL11" s="54">
        <v>0</v>
      </c>
      <c r="CM11" s="54">
        <v>0</v>
      </c>
      <c r="CN11" s="54">
        <v>0</v>
      </c>
      <c r="CO11" s="54">
        <v>0</v>
      </c>
      <c r="CP11" s="54">
        <v>0</v>
      </c>
      <c r="CQ11" s="54">
        <v>0</v>
      </c>
      <c r="CR11" s="54">
        <v>0</v>
      </c>
      <c r="CS11" s="54">
        <v>0</v>
      </c>
      <c r="CT11" s="54">
        <v>0</v>
      </c>
      <c r="CU11" s="54">
        <v>0</v>
      </c>
      <c r="CV11" s="54">
        <v>0</v>
      </c>
      <c r="CW11" s="54">
        <v>0</v>
      </c>
      <c r="CX11" s="54">
        <v>0</v>
      </c>
      <c r="CY11" s="54">
        <v>0</v>
      </c>
      <c r="CZ11" s="54">
        <v>0</v>
      </c>
      <c r="DA11" s="54">
        <v>0</v>
      </c>
      <c r="DB11" s="54">
        <v>0</v>
      </c>
      <c r="DC11" s="54">
        <v>0</v>
      </c>
      <c r="DD11" s="54">
        <v>0</v>
      </c>
      <c r="DE11" s="54">
        <v>0</v>
      </c>
      <c r="DF11" s="54">
        <v>0</v>
      </c>
      <c r="DG11" s="54">
        <v>0</v>
      </c>
      <c r="DH11" s="54">
        <v>0</v>
      </c>
      <c r="DI11" s="54">
        <v>0</v>
      </c>
      <c r="DJ11" s="54">
        <v>0</v>
      </c>
      <c r="DK11" s="54">
        <v>0</v>
      </c>
      <c r="DL11" s="54">
        <v>0</v>
      </c>
      <c r="DM11" s="54">
        <v>0</v>
      </c>
      <c r="DN11" s="54">
        <v>0</v>
      </c>
      <c r="DO11" s="54">
        <v>0</v>
      </c>
      <c r="DP11" s="54">
        <v>0</v>
      </c>
      <c r="DQ11" s="54">
        <v>0</v>
      </c>
      <c r="DR11" s="54">
        <v>0</v>
      </c>
      <c r="DS11" s="54">
        <v>0</v>
      </c>
      <c r="DT11" s="54">
        <v>0</v>
      </c>
      <c r="DU11" s="54">
        <v>0</v>
      </c>
      <c r="DV11" s="54">
        <v>0</v>
      </c>
      <c r="DW11" s="54">
        <v>0</v>
      </c>
      <c r="DX11" s="54">
        <v>0</v>
      </c>
      <c r="DY11" s="54">
        <v>0</v>
      </c>
      <c r="DZ11" s="54">
        <v>0</v>
      </c>
      <c r="EA11" s="54">
        <v>0</v>
      </c>
      <c r="EB11" s="54">
        <v>0</v>
      </c>
      <c r="EC11" s="54">
        <v>0</v>
      </c>
      <c r="ED11" s="54">
        <v>0</v>
      </c>
      <c r="EE11" s="54">
        <v>0</v>
      </c>
      <c r="EF11" s="54">
        <v>0</v>
      </c>
      <c r="EG11" s="54">
        <v>0</v>
      </c>
      <c r="EH11" s="54">
        <v>0</v>
      </c>
      <c r="EI11" s="54">
        <v>0</v>
      </c>
      <c r="EJ11" s="54">
        <v>0</v>
      </c>
      <c r="EK11" s="54">
        <v>0</v>
      </c>
      <c r="EL11" s="54">
        <v>0</v>
      </c>
      <c r="EM11" s="54">
        <v>0</v>
      </c>
      <c r="EN11" s="54">
        <v>0</v>
      </c>
      <c r="EO11" s="54">
        <v>0</v>
      </c>
      <c r="EP11" s="54">
        <v>0</v>
      </c>
      <c r="EQ11" s="54">
        <v>0</v>
      </c>
      <c r="ER11" s="54">
        <v>0</v>
      </c>
    </row>
    <row r="12" spans="1:148" ht="16">
      <c r="A12" s="42" t="s">
        <v>9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4">
        <v>4.29</v>
      </c>
      <c r="Q12" s="54">
        <v>1.56</v>
      </c>
      <c r="R12" s="54">
        <v>0.56</v>
      </c>
      <c r="S12" s="54">
        <v>0.56</v>
      </c>
      <c r="T12" s="54">
        <v>0.56</v>
      </c>
      <c r="U12" s="54">
        <v>0.56</v>
      </c>
      <c r="V12" s="54">
        <v>0.56</v>
      </c>
      <c r="W12" s="54">
        <v>0.56</v>
      </c>
      <c r="X12" s="54">
        <v>0.56</v>
      </c>
      <c r="Y12" s="54">
        <v>0.56</v>
      </c>
      <c r="Z12" s="54">
        <v>30000.58</v>
      </c>
      <c r="AA12" s="54">
        <v>30000.83</v>
      </c>
      <c r="AB12" s="54">
        <v>20001.07</v>
      </c>
      <c r="AC12" s="54">
        <v>14701.21</v>
      </c>
      <c r="AD12" s="54">
        <v>14701.339999999998</v>
      </c>
      <c r="AE12" s="54">
        <v>14701.46</v>
      </c>
      <c r="AF12" s="54">
        <v>14701.58</v>
      </c>
      <c r="AG12" s="54">
        <v>14834.91</v>
      </c>
      <c r="AH12" s="54">
        <v>14835.03</v>
      </c>
      <c r="AI12" s="54">
        <v>6900.1</v>
      </c>
      <c r="AJ12" s="54">
        <v>400.1100000000006</v>
      </c>
      <c r="AK12" s="54">
        <v>400.1100000000006</v>
      </c>
      <c r="AL12" s="54">
        <v>400.1100000000006</v>
      </c>
      <c r="AM12" s="54">
        <v>400.1100000000006</v>
      </c>
      <c r="AN12" s="54">
        <v>400.1100000000006</v>
      </c>
      <c r="AO12" s="54">
        <v>750.1100000000006</v>
      </c>
      <c r="AP12" s="54">
        <v>625.1100000000006</v>
      </c>
      <c r="AQ12" s="54">
        <v>1875.1200000000006</v>
      </c>
      <c r="AR12" s="54">
        <v>3032.1400000000003</v>
      </c>
      <c r="AS12" s="54">
        <v>4182.17</v>
      </c>
      <c r="AT12" s="54">
        <v>4382.2</v>
      </c>
      <c r="AU12" s="54">
        <v>5000.04</v>
      </c>
      <c r="AV12" s="54">
        <v>1000.06</v>
      </c>
      <c r="AW12" s="54">
        <v>6000.1</v>
      </c>
      <c r="AX12" s="54">
        <v>2824.4000000000005</v>
      </c>
      <c r="AY12" s="54">
        <v>2824.4200000000005</v>
      </c>
      <c r="AZ12" s="54">
        <v>2824.4400000000005</v>
      </c>
      <c r="BA12" s="54">
        <v>824.4500000000005</v>
      </c>
      <c r="BB12" s="54">
        <v>524.4600000000005</v>
      </c>
      <c r="BC12" s="54">
        <v>524.4600000000005</v>
      </c>
      <c r="BD12" s="54">
        <v>524.4600000000005</v>
      </c>
      <c r="BE12" s="54">
        <v>524.4600000000005</v>
      </c>
      <c r="BF12" s="54">
        <v>4374.4800000000005</v>
      </c>
      <c r="BG12" s="54">
        <v>5500.040000000001</v>
      </c>
      <c r="BH12" s="54">
        <v>10000.060000000001</v>
      </c>
      <c r="BI12" s="54">
        <v>15000.150000000001</v>
      </c>
      <c r="BJ12" s="54">
        <v>20000.160000000003</v>
      </c>
      <c r="BK12" s="54">
        <v>15000.290000000005</v>
      </c>
      <c r="BL12" s="54">
        <v>10000.090000000004</v>
      </c>
      <c r="BM12" s="54">
        <v>2500.1600000000035</v>
      </c>
      <c r="BN12" s="54">
        <v>2500.1800000000035</v>
      </c>
      <c r="BO12" s="54">
        <v>10000.230000000003</v>
      </c>
      <c r="BP12" s="54">
        <v>1825.8100000000031</v>
      </c>
      <c r="BQ12" s="54">
        <v>25.82000000000312</v>
      </c>
      <c r="BR12" s="54">
        <v>25.82000000000312</v>
      </c>
      <c r="BS12" s="54">
        <v>25.82000000000312</v>
      </c>
      <c r="BT12" s="54">
        <v>9990.050000000003</v>
      </c>
      <c r="BU12" s="54">
        <v>9990.140000000003</v>
      </c>
      <c r="BV12" s="54">
        <v>40000.29000000001</v>
      </c>
      <c r="BW12" s="54">
        <v>40000.59000000001</v>
      </c>
      <c r="BX12" s="54">
        <v>40000.94000000001</v>
      </c>
      <c r="BY12" s="54">
        <v>46029.02000000001</v>
      </c>
      <c r="BZ12" s="54">
        <v>54367.51000000001</v>
      </c>
      <c r="CA12" s="54">
        <v>54367.98000000001</v>
      </c>
      <c r="CB12" s="54">
        <v>21687.24000000001</v>
      </c>
      <c r="CC12" s="54">
        <v>28125.24000000001</v>
      </c>
      <c r="CD12" s="54">
        <v>28125.47000000001</v>
      </c>
      <c r="CE12" s="54">
        <v>28125.700000000008</v>
      </c>
      <c r="CF12" s="54">
        <v>50001.020000000004</v>
      </c>
      <c r="CG12" s="54">
        <v>50001.44</v>
      </c>
      <c r="CH12" s="54">
        <v>50001.83</v>
      </c>
      <c r="CI12" s="54">
        <v>75002.31</v>
      </c>
      <c r="CJ12" s="54">
        <v>74902.98</v>
      </c>
      <c r="CK12" s="54">
        <v>100003.61</v>
      </c>
      <c r="CL12" s="54">
        <v>138004.38</v>
      </c>
      <c r="CM12" s="54">
        <v>138005.61000000002</v>
      </c>
      <c r="CN12" s="54">
        <v>138006.73</v>
      </c>
      <c r="CO12" s="54">
        <v>150001.24000000002</v>
      </c>
      <c r="CP12" s="54">
        <v>50002.43000000002</v>
      </c>
      <c r="CQ12" s="54">
        <v>50003.11000000002</v>
      </c>
      <c r="CR12" s="54">
        <v>50003.97000000002</v>
      </c>
      <c r="CS12" s="54">
        <v>50004.81000000002</v>
      </c>
      <c r="CT12" s="54">
        <v>5005.040000000023</v>
      </c>
      <c r="CU12" s="54">
        <v>5005.120000000023</v>
      </c>
      <c r="CV12" s="54">
        <v>7505.210000000023</v>
      </c>
      <c r="CW12" s="54">
        <v>10000.330000000024</v>
      </c>
      <c r="CX12" s="54">
        <v>10000.500000000024</v>
      </c>
      <c r="CY12" s="54">
        <v>15000.690000000024</v>
      </c>
      <c r="CZ12" s="54">
        <v>15000.920000000024</v>
      </c>
      <c r="DA12" s="54">
        <v>10001.050000000025</v>
      </c>
      <c r="DB12" s="54">
        <v>10001.210000000025</v>
      </c>
      <c r="DC12" s="54">
        <v>501.23000000002503</v>
      </c>
      <c r="DD12" s="54">
        <v>501.240000000025</v>
      </c>
      <c r="DE12" s="54">
        <v>501.250000000025</v>
      </c>
      <c r="DF12" s="54">
        <v>501.260000000025</v>
      </c>
      <c r="DG12" s="54">
        <v>501.270000000025</v>
      </c>
      <c r="DH12" s="54">
        <v>501.280000000025</v>
      </c>
      <c r="DI12" s="54">
        <v>501.290000000025</v>
      </c>
      <c r="DJ12" s="54">
        <v>501.30000000002497</v>
      </c>
      <c r="DK12" s="54">
        <v>501.31000000002496</v>
      </c>
      <c r="DL12" s="54">
        <v>101.31000000002496</v>
      </c>
      <c r="DM12" s="54">
        <v>101.31000000002496</v>
      </c>
      <c r="DN12" s="54">
        <v>101.31000000002496</v>
      </c>
      <c r="DO12" s="54">
        <v>101.31000000002496</v>
      </c>
      <c r="DP12" s="54">
        <v>301.33000000002494</v>
      </c>
      <c r="DQ12" s="54">
        <v>201.33000000002494</v>
      </c>
      <c r="DR12" s="54">
        <v>2501.470000000025</v>
      </c>
      <c r="DS12" s="54">
        <v>2001.5100000000248</v>
      </c>
      <c r="DT12" s="54">
        <v>901.5300000000248</v>
      </c>
      <c r="DU12" s="54">
        <v>101.55000000002474</v>
      </c>
      <c r="DV12" s="54">
        <v>46.55000000002474</v>
      </c>
      <c r="DW12" s="54">
        <v>2.474109805916669E-11</v>
      </c>
      <c r="DX12" s="54">
        <v>62.33000000002474</v>
      </c>
      <c r="DY12" s="54">
        <v>1522.3400000000247</v>
      </c>
      <c r="DZ12" s="54">
        <v>4440.5800000000245</v>
      </c>
      <c r="EA12" s="54">
        <v>11084.810000000023</v>
      </c>
      <c r="EB12" s="54">
        <v>828.5400000000227</v>
      </c>
      <c r="EC12" s="54">
        <v>3617.9900000000225</v>
      </c>
      <c r="ED12" s="54">
        <v>3238.5800000000227</v>
      </c>
      <c r="EE12" s="54">
        <v>2294.7500000000227</v>
      </c>
      <c r="EF12" s="54">
        <v>1339.4600000000228</v>
      </c>
      <c r="EG12" s="54">
        <v>1975.4900000000227</v>
      </c>
      <c r="EH12" s="54">
        <v>2825.650000000023</v>
      </c>
      <c r="EI12" s="54">
        <v>1045.6900000000228</v>
      </c>
      <c r="EJ12" s="54">
        <v>2491.600000000023</v>
      </c>
      <c r="EK12" s="54">
        <v>5516.240000000023</v>
      </c>
      <c r="EL12" s="54">
        <v>931.3000000000238</v>
      </c>
      <c r="EM12" s="54">
        <v>197.2200000000238</v>
      </c>
      <c r="EN12" s="54">
        <v>26.3000000000238</v>
      </c>
      <c r="EO12" s="54">
        <v>26.4900000000238</v>
      </c>
      <c r="EP12" s="54">
        <v>58.62000000002381</v>
      </c>
      <c r="EQ12" s="54">
        <v>58.62000000002381</v>
      </c>
      <c r="ER12" s="54">
        <v>58.62000000002381</v>
      </c>
    </row>
    <row r="13" spans="1:148" ht="16">
      <c r="A13" s="42" t="s">
        <v>10</v>
      </c>
      <c r="B13" s="54">
        <v>5770.62</v>
      </c>
      <c r="C13" s="54">
        <v>1817.5499999999997</v>
      </c>
      <c r="D13" s="54">
        <v>1959.6899999999996</v>
      </c>
      <c r="E13" s="54">
        <v>590.2199999999996</v>
      </c>
      <c r="F13" s="54">
        <v>3121.459999999999</v>
      </c>
      <c r="G13" s="54">
        <v>5093.379999999999</v>
      </c>
      <c r="H13" s="54">
        <v>5256.739999999999</v>
      </c>
      <c r="I13" s="54">
        <v>3114.519999999999</v>
      </c>
      <c r="J13" s="54">
        <v>1067.4599999999991</v>
      </c>
      <c r="K13" s="54">
        <v>3952.369999999999</v>
      </c>
      <c r="L13" s="54">
        <v>4832.249999999999</v>
      </c>
      <c r="M13" s="54">
        <v>7358.57</v>
      </c>
      <c r="N13" s="54">
        <v>3259.0499999999993</v>
      </c>
      <c r="O13" s="54">
        <v>4733.119999999999</v>
      </c>
      <c r="P13" s="54">
        <v>3825.349999999999</v>
      </c>
      <c r="Q13" s="54">
        <v>715.099999999999</v>
      </c>
      <c r="R13" s="54">
        <v>1419.2599999999989</v>
      </c>
      <c r="S13" s="54">
        <v>22173.73</v>
      </c>
      <c r="T13" s="54">
        <v>4115.389999999999</v>
      </c>
      <c r="U13" s="54">
        <v>4100.669999999999</v>
      </c>
      <c r="V13" s="54">
        <v>3918.2199999999993</v>
      </c>
      <c r="W13" s="54">
        <v>36550.76</v>
      </c>
      <c r="X13" s="54">
        <v>17840.640000000003</v>
      </c>
      <c r="Y13" s="54">
        <v>5409.700000000003</v>
      </c>
      <c r="Z13" s="54">
        <v>53450.21000000001</v>
      </c>
      <c r="AA13" s="54">
        <v>29638.320000000007</v>
      </c>
      <c r="AB13" s="54">
        <v>9832.360000000008</v>
      </c>
      <c r="AC13" s="54">
        <v>32270.76000000001</v>
      </c>
      <c r="AD13" s="54">
        <v>37855.13000000001</v>
      </c>
      <c r="AE13" s="54">
        <v>31779.530000000013</v>
      </c>
      <c r="AF13" s="54">
        <v>17919.570000000014</v>
      </c>
      <c r="AG13" s="54">
        <v>30152.820000000014</v>
      </c>
      <c r="AH13" s="54">
        <v>11614.780000000013</v>
      </c>
      <c r="AI13" s="54">
        <v>3010.050000000014</v>
      </c>
      <c r="AJ13" s="54">
        <v>12296.250000000015</v>
      </c>
      <c r="AK13" s="54">
        <v>10156.270000000015</v>
      </c>
      <c r="AL13" s="54">
        <v>10081.140000000016</v>
      </c>
      <c r="AM13" s="54">
        <v>4636.150000000016</v>
      </c>
      <c r="AN13" s="54">
        <v>5074.140000000016</v>
      </c>
      <c r="AO13" s="54">
        <v>6889.720000000016</v>
      </c>
      <c r="AP13" s="54">
        <v>-1460.849999999984</v>
      </c>
      <c r="AQ13" s="54">
        <v>15752.400000000016</v>
      </c>
      <c r="AR13" s="54">
        <v>25446.480000000018</v>
      </c>
      <c r="AS13" s="54">
        <v>17832.460000000017</v>
      </c>
      <c r="AT13" s="54">
        <v>16798.00000000002</v>
      </c>
      <c r="AU13" s="54">
        <v>19502.77000000002</v>
      </c>
      <c r="AV13" s="54">
        <v>37258.93000000002</v>
      </c>
      <c r="AW13" s="54">
        <v>2778.74000000002</v>
      </c>
      <c r="AX13" s="54">
        <v>12413.19000000002</v>
      </c>
      <c r="AY13" s="54">
        <v>9407.41000000002</v>
      </c>
      <c r="AZ13" s="54">
        <v>3442.3500000000195</v>
      </c>
      <c r="BA13" s="54">
        <v>13344.97000000002</v>
      </c>
      <c r="BB13" s="54">
        <v>9593.590000000018</v>
      </c>
      <c r="BC13" s="54">
        <v>19126.690000000017</v>
      </c>
      <c r="BD13" s="54">
        <v>8413.550000000017</v>
      </c>
      <c r="BE13" s="54">
        <v>24826.280000000017</v>
      </c>
      <c r="BF13" s="54">
        <v>11469.050000000017</v>
      </c>
      <c r="BG13" s="54">
        <v>27353.95000000002</v>
      </c>
      <c r="BH13" s="54">
        <v>8482.870000000017</v>
      </c>
      <c r="BI13" s="54">
        <v>22079.070000000018</v>
      </c>
      <c r="BJ13" s="54">
        <v>15681.490000000018</v>
      </c>
      <c r="BK13" s="54">
        <v>8024.890000000018</v>
      </c>
      <c r="BL13" s="54">
        <v>25556.50000000002</v>
      </c>
      <c r="BM13" s="54">
        <v>7673.480000000018</v>
      </c>
      <c r="BN13" s="54">
        <v>5247.7200000000175</v>
      </c>
      <c r="BO13" s="54">
        <v>13159.460000000017</v>
      </c>
      <c r="BP13" s="54">
        <v>21831.230000000018</v>
      </c>
      <c r="BQ13" s="54">
        <v>-6211.999999999982</v>
      </c>
      <c r="BR13" s="54">
        <v>1892.9000000000178</v>
      </c>
      <c r="BS13" s="54">
        <v>35349.430000000015</v>
      </c>
      <c r="BT13" s="54">
        <v>30363.400000000016</v>
      </c>
      <c r="BU13" s="54">
        <v>47310.16000000002</v>
      </c>
      <c r="BV13" s="54">
        <v>39368.62000000002</v>
      </c>
      <c r="BW13" s="54">
        <v>20024.68000000002</v>
      </c>
      <c r="BX13" s="54">
        <v>53838.360000000015</v>
      </c>
      <c r="BY13" s="54">
        <v>69117.09000000001</v>
      </c>
      <c r="BZ13" s="54">
        <v>119344.59000000001</v>
      </c>
      <c r="CA13" s="54">
        <v>78759.19</v>
      </c>
      <c r="CB13" s="54">
        <v>134210.07</v>
      </c>
      <c r="CC13" s="54">
        <v>94366.98000000001</v>
      </c>
      <c r="CD13" s="54">
        <v>45285.48000000001</v>
      </c>
      <c r="CE13" s="54">
        <v>176438.47</v>
      </c>
      <c r="CF13" s="54">
        <v>152880.25</v>
      </c>
      <c r="CG13" s="54">
        <v>136630.81</v>
      </c>
      <c r="CH13" s="54">
        <v>97835.95</v>
      </c>
      <c r="CI13" s="54">
        <v>113925.86</v>
      </c>
      <c r="CJ13" s="54">
        <v>196651.3</v>
      </c>
      <c r="CK13" s="54">
        <v>118890.37</v>
      </c>
      <c r="CL13" s="54">
        <v>142666.65</v>
      </c>
      <c r="CM13" s="54">
        <v>92840.23999999999</v>
      </c>
      <c r="CN13" s="54">
        <v>223746.46999999997</v>
      </c>
      <c r="CO13" s="54">
        <v>215959.21999999997</v>
      </c>
      <c r="CP13" s="54">
        <v>134129.68</v>
      </c>
      <c r="CQ13" s="54">
        <v>79989.98999999999</v>
      </c>
      <c r="CR13" s="54">
        <v>59749.07999999999</v>
      </c>
      <c r="CS13" s="54">
        <v>47017.23999999999</v>
      </c>
      <c r="CT13" s="54">
        <v>31133.98999999999</v>
      </c>
      <c r="CU13" s="54">
        <v>66535.50999999998</v>
      </c>
      <c r="CV13" s="54">
        <v>52641.96999999998</v>
      </c>
      <c r="CW13" s="54">
        <v>52731.49999999998</v>
      </c>
      <c r="CX13" s="54">
        <v>66534.70999999998</v>
      </c>
      <c r="CY13" s="54">
        <v>37076.18999999997</v>
      </c>
      <c r="CZ13" s="54">
        <v>45400.93999999997</v>
      </c>
      <c r="DA13" s="54">
        <v>47880.949999999975</v>
      </c>
      <c r="DB13" s="54">
        <v>55718.74999999998</v>
      </c>
      <c r="DC13" s="54">
        <v>39900.60999999998</v>
      </c>
      <c r="DD13" s="54">
        <v>52091.41999999998</v>
      </c>
      <c r="DE13" s="54">
        <v>44098.339999999975</v>
      </c>
      <c r="DF13" s="54">
        <v>57720.339999999975</v>
      </c>
      <c r="DG13" s="54">
        <v>-2491.9000000000233</v>
      </c>
      <c r="DH13" s="54">
        <v>27039.649999999976</v>
      </c>
      <c r="DI13" s="54">
        <v>69959.06999999998</v>
      </c>
      <c r="DJ13" s="54">
        <v>17371.309999999976</v>
      </c>
      <c r="DK13" s="54">
        <v>30137.719999999976</v>
      </c>
      <c r="DL13" s="54">
        <v>36765.63999999998</v>
      </c>
      <c r="DM13" s="54">
        <v>4928.059999999976</v>
      </c>
      <c r="DN13" s="54">
        <v>11479.849999999977</v>
      </c>
      <c r="DO13" s="54">
        <v>4303.779999999977</v>
      </c>
      <c r="DP13" s="54">
        <v>-12570.640000000021</v>
      </c>
      <c r="DQ13" s="54">
        <v>166161.27</v>
      </c>
      <c r="DR13" s="54">
        <v>-6166.670000000013</v>
      </c>
      <c r="DS13" s="54">
        <v>-5230.620000000013</v>
      </c>
      <c r="DT13" s="54">
        <v>15646.139999999985</v>
      </c>
      <c r="DU13" s="54">
        <v>-1761.2600000000166</v>
      </c>
      <c r="DV13" s="54">
        <v>73.22999999998342</v>
      </c>
      <c r="DW13" s="54">
        <v>-898.6300000000166</v>
      </c>
      <c r="DX13" s="54">
        <v>1093.9799999999832</v>
      </c>
      <c r="DY13" s="54">
        <v>-513.4900000000168</v>
      </c>
      <c r="DZ13" s="54">
        <v>-1797.9700000000169</v>
      </c>
      <c r="EA13" s="54">
        <v>-7651.670000000016</v>
      </c>
      <c r="EB13" s="54">
        <v>-3840.7700000000164</v>
      </c>
      <c r="EC13" s="54">
        <v>362.329999999984</v>
      </c>
      <c r="ED13" s="54">
        <v>98581.58999999998</v>
      </c>
      <c r="EE13" s="54">
        <v>56188.349999999984</v>
      </c>
      <c r="EF13" s="54">
        <v>85.79999999998108</v>
      </c>
      <c r="EG13" s="54">
        <v>840.7999999999811</v>
      </c>
      <c r="EH13" s="54">
        <v>1669.1799999999812</v>
      </c>
      <c r="EI13" s="54">
        <v>674.4799999999811</v>
      </c>
      <c r="EJ13" s="54">
        <v>44784.89999999998</v>
      </c>
      <c r="EK13" s="54">
        <v>19614.80999999998</v>
      </c>
      <c r="EL13" s="54">
        <v>-2089.1600000000217</v>
      </c>
      <c r="EM13" s="54">
        <v>5.25999999997839</v>
      </c>
      <c r="EN13" s="54">
        <v>1874.7599999999784</v>
      </c>
      <c r="EO13" s="54">
        <v>698.4299999999785</v>
      </c>
      <c r="EP13" s="54">
        <v>-717.1800000000214</v>
      </c>
      <c r="EQ13" s="54">
        <v>-6811.730000000021</v>
      </c>
      <c r="ER13" s="54">
        <v>-18749.040000000023</v>
      </c>
    </row>
    <row r="14" spans="1:148" ht="16">
      <c r="A14" s="42" t="s">
        <v>11</v>
      </c>
      <c r="B14" s="54">
        <v>-2061.0</v>
      </c>
      <c r="C14" s="54">
        <v>-2211.0</v>
      </c>
      <c r="D14" s="54">
        <v>-3759.0</v>
      </c>
      <c r="E14" s="54">
        <v>-4749.0</v>
      </c>
      <c r="F14" s="54">
        <v>-6269.53</v>
      </c>
      <c r="G14" s="54">
        <v>-8519.529999999999</v>
      </c>
      <c r="H14" s="54">
        <v>-10761.529999999999</v>
      </c>
      <c r="I14" s="54">
        <v>-11814.529999999999</v>
      </c>
      <c r="J14" s="54">
        <v>-14614.529999999999</v>
      </c>
      <c r="K14" s="54">
        <v>-15836.279999999999</v>
      </c>
      <c r="L14" s="54">
        <v>-15918.279999999999</v>
      </c>
      <c r="M14" s="54">
        <v>1.8189894035458565E-12</v>
      </c>
      <c r="N14" s="54">
        <v>-899.7499999999982</v>
      </c>
      <c r="O14" s="54">
        <v>-2183.5499999999984</v>
      </c>
      <c r="P14" s="54">
        <v>-433.9999999999984</v>
      </c>
      <c r="Q14" s="54">
        <v>-1042.2499999999984</v>
      </c>
      <c r="R14" s="54">
        <v>-1920.4499999999985</v>
      </c>
      <c r="S14" s="54">
        <v>-2698.249999999998</v>
      </c>
      <c r="T14" s="54">
        <v>-4288.449999999998</v>
      </c>
      <c r="U14" s="54">
        <v>-5098.449999999998</v>
      </c>
      <c r="V14" s="54">
        <v>-0.3999999999978172</v>
      </c>
      <c r="W14" s="54">
        <v>-0.3999999999978172</v>
      </c>
      <c r="X14" s="54">
        <v>-46.449999999997814</v>
      </c>
      <c r="Y14" s="54">
        <v>-0.3999999999978172</v>
      </c>
      <c r="Z14" s="54">
        <v>1752.3000000000022</v>
      </c>
      <c r="AA14" s="54">
        <v>2365.200000000002</v>
      </c>
      <c r="AB14" s="54">
        <v>-570.4799999999977</v>
      </c>
      <c r="AC14" s="54">
        <v>-4130.169999999998</v>
      </c>
      <c r="AD14" s="54">
        <v>-4110.519999999999</v>
      </c>
      <c r="AE14" s="54">
        <v>242.76000000000113</v>
      </c>
      <c r="AF14" s="54">
        <v>-687.2399999999989</v>
      </c>
      <c r="AG14" s="54">
        <v>-1897.2399999999989</v>
      </c>
      <c r="AH14" s="54">
        <v>-1970.2399999999989</v>
      </c>
      <c r="AI14" s="54">
        <v>-2575.239999999999</v>
      </c>
      <c r="AJ14" s="54">
        <v>-2951.239999999999</v>
      </c>
      <c r="AK14" s="54">
        <v>583.420000000001</v>
      </c>
      <c r="AL14" s="54">
        <v>-981.579999999999</v>
      </c>
      <c r="AM14" s="54">
        <v>583.420000000001</v>
      </c>
      <c r="AN14" s="54">
        <v>-2077.669999999999</v>
      </c>
      <c r="AO14" s="54">
        <v>-4413.919999999999</v>
      </c>
      <c r="AP14" s="54">
        <v>858.8600000000006</v>
      </c>
      <c r="AQ14" s="54">
        <v>-788.1399999999994</v>
      </c>
      <c r="AR14" s="54">
        <v>-1052.1399999999994</v>
      </c>
      <c r="AS14" s="54">
        <v>-4223.19</v>
      </c>
      <c r="AT14" s="54">
        <v>-6868.19</v>
      </c>
      <c r="AU14" s="54">
        <v>-7148.03</v>
      </c>
      <c r="AV14" s="54">
        <v>-9866.02</v>
      </c>
      <c r="AW14" s="54">
        <v>429.4200000000001</v>
      </c>
      <c r="AX14" s="54">
        <v>-702.5799999999999</v>
      </c>
      <c r="AY14" s="54">
        <v>-905.5799999999999</v>
      </c>
      <c r="AZ14" s="54">
        <v>-3194.58</v>
      </c>
      <c r="BA14" s="54">
        <v>-6183.18</v>
      </c>
      <c r="BB14" s="54">
        <v>-9299.18</v>
      </c>
      <c r="BC14" s="54">
        <v>-9293.18</v>
      </c>
      <c r="BD14" s="54">
        <v>-9223.18</v>
      </c>
      <c r="BE14" s="54">
        <v>-12347.94</v>
      </c>
      <c r="BF14" s="54">
        <v>-1439.2000000000007</v>
      </c>
      <c r="BG14" s="54">
        <v>-2538.2000000000007</v>
      </c>
      <c r="BH14" s="54">
        <v>-1980.2000000000007</v>
      </c>
      <c r="BI14" s="54">
        <v>-1980.2000000000007</v>
      </c>
      <c r="BJ14" s="54">
        <v>-1950.2000000000007</v>
      </c>
      <c r="BK14" s="54">
        <v>-1750.2000000000007</v>
      </c>
      <c r="BL14" s="54">
        <v>-1750.2000000000007</v>
      </c>
      <c r="BM14" s="54">
        <v>-1750.2000000000007</v>
      </c>
      <c r="BN14" s="54">
        <v>-1750.2000000000007</v>
      </c>
      <c r="BO14" s="54">
        <v>-6.821210263296962E-13</v>
      </c>
      <c r="BP14" s="54">
        <v>-6.821210263296962E-13</v>
      </c>
      <c r="BQ14" s="54">
        <v>139.99999999999932</v>
      </c>
      <c r="BR14" s="54">
        <v>289.9999999999993</v>
      </c>
      <c r="BS14" s="54">
        <v>559.9999999999993</v>
      </c>
      <c r="BT14" s="54">
        <v>559.9999999999993</v>
      </c>
      <c r="BU14" s="54">
        <v>559.9999999999993</v>
      </c>
      <c r="BV14" s="54">
        <v>709.9999999999993</v>
      </c>
      <c r="BW14" s="54">
        <v>1009.9999999999993</v>
      </c>
      <c r="BX14" s="54">
        <v>1009.9999999999993</v>
      </c>
      <c r="BY14" s="54">
        <v>1009.9999999999993</v>
      </c>
      <c r="BZ14" s="54">
        <v>-6.821210263296962E-13</v>
      </c>
      <c r="CA14" s="54">
        <v>-6.821210263296962E-13</v>
      </c>
      <c r="CB14" s="54">
        <v>-6.821210263296962E-13</v>
      </c>
      <c r="CC14" s="54">
        <v>-6.821210263296962E-13</v>
      </c>
      <c r="CD14" s="54">
        <v>-6.821210263296962E-13</v>
      </c>
      <c r="CE14" s="54">
        <v>-6.821210263296962E-13</v>
      </c>
      <c r="CF14" s="54">
        <v>-6.821210263296962E-13</v>
      </c>
      <c r="CG14" s="54">
        <v>899.9999999999993</v>
      </c>
      <c r="CH14" s="54">
        <v>899.9999999999993</v>
      </c>
      <c r="CI14" s="54">
        <v>899.9999999999993</v>
      </c>
      <c r="CJ14" s="54">
        <v>899.9999999999993</v>
      </c>
      <c r="CK14" s="54">
        <v>899.9999999999993</v>
      </c>
      <c r="CL14" s="54">
        <v>899.9999999999993</v>
      </c>
      <c r="CM14" s="54">
        <v>899.9999999999993</v>
      </c>
      <c r="CN14" s="54">
        <v>899.9999999999993</v>
      </c>
      <c r="CO14" s="54">
        <v>899.9999999999993</v>
      </c>
      <c r="CP14" s="54">
        <v>899.9999999999993</v>
      </c>
      <c r="CQ14" s="54">
        <v>899.9999999999993</v>
      </c>
      <c r="CR14" s="54">
        <v>899.9999999999993</v>
      </c>
      <c r="CS14" s="54">
        <v>899.9999999999993</v>
      </c>
      <c r="CT14" s="54">
        <v>899.9999999999993</v>
      </c>
      <c r="CU14" s="54">
        <v>899.9999999999993</v>
      </c>
      <c r="CV14" s="54">
        <v>899.9999999999993</v>
      </c>
      <c r="CW14" s="54">
        <v>899.9999999999993</v>
      </c>
      <c r="CX14" s="54">
        <v>899.9999999999993</v>
      </c>
      <c r="CY14" s="54">
        <v>899.9999999999993</v>
      </c>
      <c r="CZ14" s="54">
        <v>-6.821210263296962E-13</v>
      </c>
      <c r="DA14" s="54">
        <v>-6.821210263296962E-13</v>
      </c>
      <c r="DB14" s="54">
        <v>-6.821210263296962E-13</v>
      </c>
      <c r="DC14" s="54">
        <v>-6.821210263296962E-13</v>
      </c>
      <c r="DD14" s="54">
        <v>-6.821210263296962E-13</v>
      </c>
      <c r="DE14" s="54">
        <v>-6.821210263296962E-13</v>
      </c>
      <c r="DF14" s="54">
        <v>-6.821210263296962E-13</v>
      </c>
      <c r="DG14" s="54">
        <v>-6.821210263296962E-13</v>
      </c>
      <c r="DH14" s="54">
        <v>-6.821210263296962E-13</v>
      </c>
      <c r="DI14" s="54">
        <v>-6.821210263296962E-13</v>
      </c>
      <c r="DJ14" s="54">
        <v>-6.821210263296962E-13</v>
      </c>
      <c r="DK14" s="54">
        <v>-6.821210263296962E-13</v>
      </c>
      <c r="DL14" s="54">
        <v>-6.821210263296962E-13</v>
      </c>
      <c r="DM14" s="54">
        <v>-6.821210263296962E-13</v>
      </c>
      <c r="DN14" s="54">
        <v>-6.821210263296962E-13</v>
      </c>
      <c r="DO14" s="54">
        <v>-6.821210263296962E-13</v>
      </c>
      <c r="DP14" s="54">
        <v>-6.821210263296962E-13</v>
      </c>
      <c r="DQ14" s="54">
        <v>-6.821210263296962E-13</v>
      </c>
      <c r="DR14" s="54">
        <v>-6.821210263296962E-13</v>
      </c>
      <c r="DS14" s="54">
        <v>-6.821210263296962E-13</v>
      </c>
      <c r="DT14" s="54">
        <v>-6.821210263296962E-13</v>
      </c>
      <c r="DU14" s="54">
        <v>-6.821210263296962E-13</v>
      </c>
      <c r="DV14" s="54">
        <v>-6.821210263296962E-13</v>
      </c>
      <c r="DW14" s="54">
        <v>-6.821210263296962E-13</v>
      </c>
      <c r="DX14" s="54">
        <v>-6.821210263296962E-13</v>
      </c>
      <c r="DY14" s="54">
        <v>-6.821210263296962E-13</v>
      </c>
      <c r="DZ14" s="54">
        <v>-6.821210263296962E-13</v>
      </c>
      <c r="EA14" s="54">
        <v>-6.821210263296962E-13</v>
      </c>
      <c r="EB14" s="54">
        <v>-6.821210263296962E-13</v>
      </c>
      <c r="EC14" s="54">
        <v>-6.821210263296962E-13</v>
      </c>
      <c r="ED14" s="54">
        <v>-6.821210263296962E-13</v>
      </c>
      <c r="EE14" s="54">
        <v>-6.821210263296962E-13</v>
      </c>
      <c r="EF14" s="54">
        <v>-6.821210263296962E-13</v>
      </c>
      <c r="EG14" s="54">
        <v>-6.821210263296962E-13</v>
      </c>
      <c r="EH14" s="54">
        <v>-6.821210263296962E-13</v>
      </c>
      <c r="EI14" s="54">
        <v>-6.821210263296962E-13</v>
      </c>
      <c r="EJ14" s="54">
        <v>-6.821210263296962E-13</v>
      </c>
      <c r="EK14" s="54">
        <v>-6.821210263296962E-13</v>
      </c>
      <c r="EL14" s="54">
        <v>-6.821210263296962E-13</v>
      </c>
      <c r="EM14" s="54">
        <v>-6.821210263296962E-13</v>
      </c>
      <c r="EN14" s="54">
        <v>-6.821210263296962E-13</v>
      </c>
      <c r="EO14" s="54">
        <v>-6.821210263296962E-13</v>
      </c>
      <c r="EP14" s="54">
        <v>-6.821210263296962E-13</v>
      </c>
      <c r="EQ14" s="54">
        <v>-6.821210263296962E-13</v>
      </c>
      <c r="ER14" s="54">
        <v>-6.821210263296962E-13</v>
      </c>
    </row>
    <row r="15" spans="1:148" ht="16">
      <c r="A15" s="42" t="s">
        <v>12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4">
        <v>1.58</v>
      </c>
      <c r="EO15" s="54">
        <v>1254.77</v>
      </c>
      <c r="EP15" s="54">
        <v>-6496.209999999999</v>
      </c>
      <c r="EQ15" s="54">
        <v>-6496.209999999999</v>
      </c>
      <c r="ER15" s="54">
        <v>-6496.209999999999</v>
      </c>
    </row>
    <row r="16" spans="1:148" ht="16">
      <c r="A16" s="42" t="s">
        <v>13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4">
        <v>5321.25</v>
      </c>
      <c r="EC16" s="54">
        <v>13205.189999999999</v>
      </c>
      <c r="ED16" s="54">
        <v>4793.959999999999</v>
      </c>
      <c r="EE16" s="54">
        <v>2744.4699999999993</v>
      </c>
      <c r="EF16" s="54">
        <v>15205.38</v>
      </c>
      <c r="EG16" s="54">
        <v>864.3999999999996</v>
      </c>
      <c r="EH16" s="54">
        <v>10191.57</v>
      </c>
      <c r="EI16" s="54">
        <v>5712.28</v>
      </c>
      <c r="EJ16" s="54">
        <v>2364.4799999999996</v>
      </c>
      <c r="EK16" s="54">
        <v>3387.6099999999997</v>
      </c>
      <c r="EL16" s="54">
        <v>10586.92</v>
      </c>
      <c r="EM16" s="54">
        <v>1341.1000000000004</v>
      </c>
      <c r="EN16" s="54">
        <v>48.95000000000027</v>
      </c>
      <c r="EO16" s="54">
        <v>1166.3900000000003</v>
      </c>
      <c r="EP16" s="54">
        <v>1131.7600000000002</v>
      </c>
      <c r="EQ16" s="54">
        <v>1131.7600000000002</v>
      </c>
      <c r="ER16" s="54">
        <v>1131.7600000000002</v>
      </c>
    </row>
    <row r="17" spans="1:148" ht="16">
      <c r="A17" s="42" t="s">
        <v>14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4">
        <v>62.2</v>
      </c>
      <c r="EE17" s="54">
        <v>160.53</v>
      </c>
      <c r="EF17" s="54">
        <v>510.65</v>
      </c>
      <c r="EG17" s="54">
        <v>-758.9800000000001</v>
      </c>
      <c r="EH17" s="54">
        <v>940.8699999999998</v>
      </c>
      <c r="EI17" s="54">
        <v>109.52999999999975</v>
      </c>
      <c r="EJ17" s="54">
        <v>56.28999999999974</v>
      </c>
      <c r="EK17" s="54">
        <v>513.2899999999997</v>
      </c>
      <c r="EL17" s="54">
        <v>573.8099999999997</v>
      </c>
      <c r="EM17" s="54">
        <v>-4.250000000000227</v>
      </c>
      <c r="EN17" s="54">
        <v>-21.310000000000226</v>
      </c>
      <c r="EO17" s="54">
        <v>-2.2737367544323206E-13</v>
      </c>
      <c r="EP17" s="54">
        <v>445.1599999999998</v>
      </c>
      <c r="EQ17" s="54">
        <v>445.1599999999998</v>
      </c>
      <c r="ER17" s="54">
        <v>445.1599999999998</v>
      </c>
    </row>
    <row r="18" spans="1:148" ht="16">
      <c r="A18" s="42" t="s">
        <v>15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4">
        <v>10323.09</v>
      </c>
      <c r="DM18" s="54">
        <v>0</v>
      </c>
      <c r="DN18" s="54">
        <v>476.08</v>
      </c>
      <c r="DO18" s="54">
        <v>0.7599999999999909</v>
      </c>
      <c r="DP18" s="54">
        <v>149.95</v>
      </c>
      <c r="DQ18" s="54">
        <v>13.569999999999993</v>
      </c>
      <c r="DR18" s="54">
        <v>13.049999999999994</v>
      </c>
      <c r="DS18" s="54">
        <v>272.77000000000004</v>
      </c>
      <c r="DT18" s="54">
        <v>4.340000000000032</v>
      </c>
      <c r="DU18" s="54">
        <v>4.340000000000032</v>
      </c>
      <c r="DV18" s="54">
        <v>4.340000000000032</v>
      </c>
      <c r="DW18" s="54">
        <v>3.197442310920451E-14</v>
      </c>
      <c r="DX18" s="54">
        <v>3.197442310920451E-14</v>
      </c>
      <c r="DY18" s="54">
        <v>3.197442310920451E-14</v>
      </c>
      <c r="DZ18" s="54">
        <v>3.197442310920451E-14</v>
      </c>
      <c r="EA18" s="54">
        <v>3.197442310920451E-14</v>
      </c>
      <c r="EB18" s="54">
        <v>3.197442310920451E-14</v>
      </c>
      <c r="EC18" s="54">
        <v>3.197442310920451E-14</v>
      </c>
      <c r="ED18" s="54">
        <v>3.197442310920451E-14</v>
      </c>
      <c r="EE18" s="54">
        <v>3.197442310920451E-14</v>
      </c>
      <c r="EF18" s="54">
        <v>3.197442310920451E-14</v>
      </c>
      <c r="EG18" s="54">
        <v>3.197442310920451E-14</v>
      </c>
      <c r="EH18" s="54">
        <v>3.197442310920451E-14</v>
      </c>
      <c r="EI18" s="54">
        <v>3.197442310920451E-14</v>
      </c>
      <c r="EJ18" s="54">
        <v>3.197442310920451E-14</v>
      </c>
      <c r="EK18" s="54">
        <v>3.197442310920451E-14</v>
      </c>
      <c r="EL18" s="54">
        <v>3.197442310920451E-14</v>
      </c>
      <c r="EM18" s="54">
        <v>3.197442310920451E-14</v>
      </c>
      <c r="EN18" s="54">
        <v>3.197442310920451E-14</v>
      </c>
      <c r="EO18" s="54">
        <v>3.197442310920451E-14</v>
      </c>
      <c r="EP18" s="54">
        <v>3.197442310920451E-14</v>
      </c>
      <c r="EQ18" s="54">
        <v>3.197442310920451E-14</v>
      </c>
      <c r="ER18" s="54">
        <v>3.197442310920451E-14</v>
      </c>
    </row>
    <row r="19" spans="1:148" ht="16">
      <c r="A19" s="43" t="s">
        <v>16</v>
      </c>
      <c r="B19" s="55">
        <f>B8+B9+B10+B11+B12+B13+B14+B15+B16+B17+B18</f>
        <v>3709.62</v>
      </c>
      <c r="C19" s="55">
        <f>C8+C9+C10+C11+C12+C13+C14+C15+C16+C17+C18</f>
        <v>-393.4500000000003</v>
      </c>
      <c r="D19" s="55">
        <f>D8+D9+D10+D11+D12+D13+D14+D15+D16+D17+D18</f>
        <v>-1799.3100000000004</v>
      </c>
      <c r="E19" s="55">
        <f>E8+E9+E10+E11+E12+E13+E14+E15+E16+E17+E18</f>
        <v>-4158.780000000001</v>
      </c>
      <c r="F19" s="55">
        <f>F8+F9+F10+F11+F12+F13+F14+F15+F16+F17+F18</f>
        <v>-3148.0700000000006</v>
      </c>
      <c r="G19" s="55">
        <f>G8+G9+G10+G11+G12+G13+G14+G15+G16+G17+G18</f>
        <v>-3426.1499999999996</v>
      </c>
      <c r="H19" s="55">
        <f>H8+H9+H10+H11+H12+H13+H14+H15+H16+H17+H18</f>
        <v>-5504.79</v>
      </c>
      <c r="I19" s="55">
        <f>I8+I9+I10+I11+I12+I13+I14+I15+I16+I17+I18</f>
        <v>-8700.01</v>
      </c>
      <c r="J19" s="55">
        <f>J8+J9+J10+J11+J12+J13+J14+J15+J16+J17+J18</f>
        <v>-13547.07</v>
      </c>
      <c r="K19" s="55">
        <f>K8+K9+K10+K11+K12+K13+K14+K15+K16+K17+K18</f>
        <v>-11883.91</v>
      </c>
      <c r="L19" s="55">
        <f>L8+L9+L10+L11+L12+L13+L14+L15+L16+L17+L18</f>
        <v>-11086.029999999999</v>
      </c>
      <c r="M19" s="55">
        <f>M8+M9+M10+M11+M12+M13+M14+M15+M16+M17+M18</f>
        <v>7358.5700000000015</v>
      </c>
      <c r="N19" s="55">
        <f>N8+N9+N10+N11+N12+N13+N14+N15+N16+N17+N18</f>
        <v>2359.300000000001</v>
      </c>
      <c r="O19" s="55">
        <f>O8+O9+O10+O11+O12+O13+O14+O15+O16+O17+O18</f>
        <v>2549.5700000000006</v>
      </c>
      <c r="P19" s="55">
        <f>P8+P9+P10+P11+P12+P13+P14+P15+P16+P17+P18</f>
        <v>3395.6400000000003</v>
      </c>
      <c r="Q19" s="55">
        <f>Q8+Q9+Q10+Q11+Q12+Q13+Q14+Q15+Q16+Q17+Q18</f>
        <v>-325.58999999999946</v>
      </c>
      <c r="R19" s="55">
        <f>R8+R9+R10+R11+R12+R13+R14+R15+R16+R17+R18</f>
        <v>-500.62999999999965</v>
      </c>
      <c r="S19" s="55">
        <f>S8+S9+S10+S11+S12+S13+S14+S15+S16+S17+S18</f>
        <v>19476.04</v>
      </c>
      <c r="T19" s="55">
        <f>T8+T9+T10+T11+T12+T13+T14+T15+T16+T17+T18</f>
        <v>-172.49999999999818</v>
      </c>
      <c r="U19" s="55">
        <f>U8+U9+U10+U11+U12+U13+U14+U15+U16+U17+U18</f>
        <v>-997.2199999999984</v>
      </c>
      <c r="V19" s="55">
        <f>V8+V9+V10+V11+V12+V13+V14+V15+V16+V17+V18</f>
        <v>3918.3800000000015</v>
      </c>
      <c r="W19" s="55">
        <f>W8+W9+W10+W11+W12+W13+W14+W15+W16+W17+W18</f>
        <v>36550.92</v>
      </c>
      <c r="X19" s="55">
        <f>X8+X9+X10+X11+X12+X13+X14+X15+X16+X17+X18</f>
        <v>17794.750000000007</v>
      </c>
      <c r="Y19" s="55">
        <f>Y8+Y9+Y10+Y11+Y12+Y13+Y14+Y15+Y16+Y17+Y18</f>
        <v>5409.860000000005</v>
      </c>
      <c r="Z19" s="55">
        <f>Z8+Z9+Z10+Z11+Z12+Z13+Z14+Z15+Z16+Z17+Z18</f>
        <v>85203.09000000001</v>
      </c>
      <c r="AA19" s="55">
        <f>AA8+AA9+AA10+AA11+AA12+AA13+AA14+AA15+AA16+AA17+AA18</f>
        <v>62004.35000000001</v>
      </c>
      <c r="AB19" s="55">
        <f>AB8+AB9+AB10+AB11+AB12+AB13+AB14+AB15+AB16+AB17+AB18</f>
        <v>29262.95000000001</v>
      </c>
      <c r="AC19" s="55">
        <f>AC8+AC9+AC10+AC11+AC12+AC13+AC14+AC15+AC16+AC17+AC18</f>
        <v>42841.80000000001</v>
      </c>
      <c r="AD19" s="55">
        <f>AD8+AD9+AD10+AD11+AD12+AD13+AD14+AD15+AD16+AD17+AD18</f>
        <v>48445.95000000001</v>
      </c>
      <c r="AE19" s="55">
        <f>AE8+AE9+AE10+AE11+AE12+AE13+AE14+AE15+AE16+AE17+AE18</f>
        <v>46723.750000000015</v>
      </c>
      <c r="AF19" s="55">
        <f>AF8+AF9+AF10+AF11+AF12+AF13+AF14+AF15+AF16+AF17+AF18</f>
        <v>31933.910000000018</v>
      </c>
      <c r="AG19" s="55">
        <f>AG8+AG9+AG10+AG11+AG12+AG13+AG14+AG15+AG16+AG17+AG18</f>
        <v>43090.49000000001</v>
      </c>
      <c r="AH19" s="55">
        <f>AH8+AH9+AH10+AH11+AH12+AH13+AH14+AH15+AH16+AH17+AH18</f>
        <v>24479.570000000014</v>
      </c>
      <c r="AI19" s="55">
        <f>AI8+AI9+AI10+AI11+AI12+AI13+AI14+AI15+AI16+AI17+AI18</f>
        <v>7334.910000000015</v>
      </c>
      <c r="AJ19" s="55">
        <f>AJ8+AJ9+AJ10+AJ11+AJ12+AJ13+AJ14+AJ15+AJ16+AJ17+AJ18</f>
        <v>9745.120000000017</v>
      </c>
      <c r="AK19" s="55">
        <f>AK8+AK9+AK10+AK11+AK12+AK13+AK14+AK15+AK16+AK17+AK18</f>
        <v>11139.800000000017</v>
      </c>
      <c r="AL19" s="55">
        <f>AL8+AL9+AL10+AL11+AL12+AL13+AL14+AL15+AL16+AL17+AL18</f>
        <v>9499.670000000016</v>
      </c>
      <c r="AM19" s="55">
        <f>AM8+AM9+AM10+AM11+AM12+AM13+AM14+AM15+AM16+AM17+AM18</f>
        <v>5619.680000000018</v>
      </c>
      <c r="AN19" s="55">
        <f>AN8+AN9+AN10+AN11+AN12+AN13+AN14+AN15+AN16+AN17+AN18</f>
        <v>3396.580000000017</v>
      </c>
      <c r="AO19" s="55">
        <f>AO8+AO9+AO10+AO11+AO12+AO13+AO14+AO15+AO16+AO17+AO18</f>
        <v>3225.910000000017</v>
      </c>
      <c r="AP19" s="55">
        <f>AP8+AP9+AP10+AP11+AP12+AP13+AP14+AP15+AP16+AP17+AP18</f>
        <v>-101.87999999998283</v>
      </c>
      <c r="AQ19" s="55">
        <f>AQ8+AQ9+AQ10+AQ11+AQ12+AQ13+AQ14+AQ15+AQ16+AQ17+AQ18</f>
        <v>16714.380000000016</v>
      </c>
      <c r="AR19" s="55">
        <f>AR8+AR9+AR10+AR11+AR12+AR13+AR14+AR15+AR16+AR17+AR18</f>
        <v>27301.480000000018</v>
      </c>
      <c r="AS19" s="55">
        <f>AS8+AS9+AS10+AS11+AS12+AS13+AS14+AS15+AS16+AS17+AS18</f>
        <v>17666.44000000002</v>
      </c>
      <c r="AT19" s="55">
        <f>AT8+AT9+AT10+AT11+AT12+AT13+AT14+AT15+AT16+AT17+AT18</f>
        <v>14187.01000000002</v>
      </c>
      <c r="AU19" s="55">
        <f>AU8+AU9+AU10+AU11+AU12+AU13+AU14+AU15+AU16+AU17+AU18</f>
        <v>17229.78000000002</v>
      </c>
      <c r="AV19" s="55">
        <f>AV8+AV9+AV10+AV11+AV12+AV13+AV14+AV15+AV16+AV17+AV18</f>
        <v>28267.97000000002</v>
      </c>
      <c r="AW19" s="55">
        <f>AW8+AW9+AW10+AW11+AW12+AW13+AW14+AW15+AW16+AW17+AW18</f>
        <v>9083.26000000002</v>
      </c>
      <c r="AX19" s="55">
        <f>AX8+AX9+AX10+AX11+AX12+AX13+AX14+AX15+AX16+AX17+AX18</f>
        <v>14410.010000000022</v>
      </c>
      <c r="AY19" s="55">
        <f>AY8+AY9+AY10+AY11+AY12+AY13+AY14+AY15+AY16+AY17+AY18</f>
        <v>11201.25000000002</v>
      </c>
      <c r="AZ19" s="55">
        <f>AZ8+AZ9+AZ10+AZ11+AZ12+AZ13+AZ14+AZ15+AZ16+AZ17+AZ18</f>
        <v>2947.21000000002</v>
      </c>
      <c r="BA19" s="55">
        <f>BA8+BA9+BA10+BA11+BA12+BA13+BA14+BA15+BA16+BA17+BA18</f>
        <v>7861.24000000002</v>
      </c>
      <c r="BB19" s="55">
        <f>BB8+BB9+BB10+BB11+BB12+BB13+BB14+BB15+BB16+BB17+BB18</f>
        <v>693.870000000019</v>
      </c>
      <c r="BC19" s="55">
        <f>BC8+BC9+BC10+BC11+BC12+BC13+BC14+BC15+BC16+BC17+BC18</f>
        <v>10232.970000000016</v>
      </c>
      <c r="BD19" s="55">
        <f>BD8+BD9+BD10+BD11+BD12+BD13+BD14+BD15+BD16+BD17+BD18</f>
        <v>-410.1699999999819</v>
      </c>
      <c r="BE19" s="55">
        <f>BE8+BE9+BE10+BE11+BE12+BE13+BE14+BE15+BE16+BE17+BE18</f>
        <v>12877.800000000016</v>
      </c>
      <c r="BF19" s="55">
        <f>BF8+BF9+BF10+BF11+BF12+BF13+BF14+BF15+BF16+BF17+BF18</f>
        <v>14279.330000000016</v>
      </c>
      <c r="BG19" s="55">
        <f>BG8+BG9+BG10+BG11+BG12+BG13+BG14+BG15+BG16+BG17+BG18</f>
        <v>30190.79000000002</v>
      </c>
      <c r="BH19" s="55">
        <f>BH8+BH9+BH10+BH11+BH12+BH13+BH14+BH15+BH16+BH17+BH18</f>
        <v>16377.730000000018</v>
      </c>
      <c r="BI19" s="55">
        <f>BI8+BI9+BI10+BI11+BI12+BI13+BI14+BI15+BI16+BI17+BI18</f>
        <v>33750.77000000002</v>
      </c>
      <c r="BJ19" s="55">
        <f>BJ8+BJ9+BJ10+BJ11+BJ12+BJ13+BJ14+BJ15+BJ16+BJ17+BJ18</f>
        <v>32383.200000000023</v>
      </c>
      <c r="BK19" s="55">
        <f>BK8+BK9+BK10+BK11+BK12+BK13+BK14+BK15+BK16+BK17+BK18</f>
        <v>19926.73000000002</v>
      </c>
      <c r="BL19" s="55">
        <f>BL8+BL9+BL10+BL11+BL12+BL13+BL14+BL15+BL16+BL17+BL18</f>
        <v>32458.140000000025</v>
      </c>
      <c r="BM19" s="55">
        <f>BM8+BM9+BM10+BM11+BM12+BM13+BM14+BM15+BM16+BM17+BM18</f>
        <v>7075.1900000000205</v>
      </c>
      <c r="BN19" s="55">
        <f>BN8+BN9+BN10+BN11+BN12+BN13+BN14+BN15+BN16+BN17+BN18</f>
        <v>4649.450000000021</v>
      </c>
      <c r="BO19" s="55">
        <f>BO8+BO9+BO10+BO11+BO12+BO13+BO14+BO15+BO16+BO17+BO18</f>
        <v>23159.69000000002</v>
      </c>
      <c r="BP19" s="55">
        <f>BP8+BP9+BP10+BP11+BP12+BP13+BP14+BP15+BP16+BP17+BP18</f>
        <v>23657.040000000023</v>
      </c>
      <c r="BQ19" s="55">
        <f>BQ8+BQ9+BQ10+BQ11+BQ12+BQ13+BQ14+BQ15+BQ16+BQ17+BQ18</f>
        <v>-5596.179999999979</v>
      </c>
      <c r="BR19" s="55">
        <f>BR8+BR9+BR10+BR11+BR12+BR13+BR14+BR15+BR16+BR17+BR18</f>
        <v>2743.7200000000203</v>
      </c>
      <c r="BS19" s="55">
        <f>BS8+BS9+BS10+BS11+BS12+BS13+BS14+BS15+BS16+BS17+BS18</f>
        <v>38213.70000000002</v>
      </c>
      <c r="BT19" s="55">
        <f>BT8+BT9+BT10+BT11+BT12+BT13+BT14+BT15+BT16+BT17+BT18</f>
        <v>42901.90000000002</v>
      </c>
      <c r="BU19" s="55">
        <f>BU8+BU9+BU10+BU11+BU12+BU13+BU14+BU15+BU16+BU17+BU18</f>
        <v>58020.30000000002</v>
      </c>
      <c r="BV19" s="55">
        <f>BV8+BV9+BV10+BV11+BV12+BV13+BV14+BV15+BV16+BV17+BV18</f>
        <v>80078.91000000003</v>
      </c>
      <c r="BW19" s="55">
        <f>BW8+BW9+BW10+BW11+BW12+BW13+BW14+BW15+BW16+BW17+BW18</f>
        <v>61035.27000000003</v>
      </c>
      <c r="BX19" s="55">
        <f>BX8+BX9+BX10+BX11+BX12+BX13+BX14+BX15+BX16+BX17+BX18</f>
        <v>94849.30000000002</v>
      </c>
      <c r="BY19" s="55">
        <f>BY8+BY9+BY10+BY11+BY12+BY13+BY14+BY15+BY16+BY17+BY18</f>
        <v>116156.11000000002</v>
      </c>
      <c r="BZ19" s="55">
        <f>BZ8+BZ9+BZ10+BZ11+BZ12+BZ13+BZ14+BZ15+BZ16+BZ17+BZ18</f>
        <v>173712.10000000003</v>
      </c>
      <c r="CA19" s="55">
        <f>CA8+CA9+CA10+CA11+CA12+CA13+CA14+CA15+CA16+CA17+CA18</f>
        <v>133127.17</v>
      </c>
      <c r="CB19" s="55">
        <f>CB8+CB9+CB10+CB11+CB12+CB13+CB14+CB15+CB16+CB17+CB18</f>
        <v>155897.31000000003</v>
      </c>
      <c r="CC19" s="55">
        <f>CC8+CC9+CC10+CC11+CC12+CC13+CC14+CC15+CC16+CC17+CC18</f>
        <v>122492.22000000002</v>
      </c>
      <c r="CD19" s="55">
        <f>CD8+CD9+CD10+CD11+CD12+CD13+CD14+CD15+CD16+CD17+CD18</f>
        <v>73410.95000000001</v>
      </c>
      <c r="CE19" s="55">
        <f>CE8+CE9+CE10+CE11+CE12+CE13+CE14+CE15+CE16+CE17+CE18</f>
        <v>204564.17</v>
      </c>
      <c r="CF19" s="55">
        <f>CF8+CF9+CF10+CF11+CF12+CF13+CF14+CF15+CF16+CF17+CF18</f>
        <v>202881.27000000002</v>
      </c>
      <c r="CG19" s="55">
        <f>CG8+CG9+CG10+CG11+CG12+CG13+CG14+CG15+CG16+CG17+CG18</f>
        <v>187532.25</v>
      </c>
      <c r="CH19" s="55">
        <f>CH8+CH9+CH10+CH11+CH12+CH13+CH14+CH15+CH16+CH17+CH18</f>
        <v>148737.78</v>
      </c>
      <c r="CI19" s="55">
        <f>CI8+CI9+CI10+CI11+CI12+CI13+CI14+CI15+CI16+CI17+CI18</f>
        <v>189828.16999999998</v>
      </c>
      <c r="CJ19" s="55">
        <f>CJ8+CJ9+CJ10+CJ11+CJ12+CJ13+CJ14+CJ15+CJ16+CJ17+CJ18</f>
        <v>272454.27999999997</v>
      </c>
      <c r="CK19" s="55">
        <f>CK8+CK9+CK10+CK11+CK12+CK13+CK14+CK15+CK16+CK17+CK18</f>
        <v>219793.97999999998</v>
      </c>
      <c r="CL19" s="55">
        <f>CL8+CL9+CL10+CL11+CL12+CL13+CL14+CL15+CL16+CL17+CL18</f>
        <v>281571.03</v>
      </c>
      <c r="CM19" s="55">
        <f>CM8+CM9+CM10+CM11+CM12+CM13+CM14+CM15+CM16+CM17+CM18</f>
        <v>231745.85</v>
      </c>
      <c r="CN19" s="55">
        <f>CN8+CN9+CN10+CN11+CN12+CN13+CN14+CN15+CN16+CN17+CN18</f>
        <v>362653.19999999995</v>
      </c>
      <c r="CO19" s="55">
        <f>CO8+CO9+CO10+CO11+CO12+CO13+CO14+CO15+CO16+CO17+CO18</f>
        <v>366860.45999999996</v>
      </c>
      <c r="CP19" s="55">
        <f>CP8+CP9+CP10+CP11+CP12+CP13+CP14+CP15+CP16+CP17+CP18</f>
        <v>185032.11000000002</v>
      </c>
      <c r="CQ19" s="55">
        <f>CQ8+CQ9+CQ10+CQ11+CQ12+CQ13+CQ14+CQ15+CQ16+CQ17+CQ18</f>
        <v>130893.1</v>
      </c>
      <c r="CR19" s="55">
        <f>CR8+CR9+CR10+CR11+CR12+CR13+CR14+CR15+CR16+CR17+CR18</f>
        <v>110653.05000000002</v>
      </c>
      <c r="CS19" s="55">
        <f>CS8+CS9+CS10+CS11+CS12+CS13+CS14+CS15+CS16+CS17+CS18</f>
        <v>97922.05000000002</v>
      </c>
      <c r="CT19" s="55">
        <f>CT8+CT9+CT10+CT11+CT12+CT13+CT14+CT15+CT16+CT17+CT18</f>
        <v>37039.03000000001</v>
      </c>
      <c r="CU19" s="55">
        <f>CU8+CU9+CU10+CU11+CU12+CU13+CU14+CU15+CU16+CU17+CU18</f>
        <v>72440.63</v>
      </c>
      <c r="CV19" s="55">
        <f>CV8+CV9+CV10+CV11+CV12+CV13+CV14+CV15+CV16+CV17+CV18</f>
        <v>61047.18</v>
      </c>
      <c r="CW19" s="55">
        <f>CW8+CW9+CW10+CW11+CW12+CW13+CW14+CW15+CW16+CW17+CW18</f>
        <v>63631.83</v>
      </c>
      <c r="CX19" s="55">
        <f>CX8+CX9+CX10+CX11+CX12+CX13+CX14+CX15+CX16+CX17+CX18</f>
        <v>77435.21</v>
      </c>
      <c r="CY19" s="55">
        <f>CY8+CY9+CY10+CY11+CY12+CY13+CY14+CY15+CY16+CY17+CY18</f>
        <v>52976.88</v>
      </c>
      <c r="CZ19" s="55">
        <f>CZ8+CZ9+CZ10+CZ11+CZ12+CZ13+CZ14+CZ15+CZ16+CZ17+CZ18</f>
        <v>60401.86</v>
      </c>
      <c r="DA19" s="55">
        <f>DA8+DA9+DA10+DA11+DA12+DA13+DA14+DA15+DA16+DA17+DA18</f>
        <v>57882.0</v>
      </c>
      <c r="DB19" s="55">
        <f>DB8+DB9+DB10+DB11+DB12+DB13+DB14+DB15+DB16+DB17+DB18</f>
        <v>65719.96</v>
      </c>
      <c r="DC19" s="55">
        <f>DC8+DC9+DC10+DC11+DC12+DC13+DC14+DC15+DC16+DC17+DC18</f>
        <v>40401.840000000004</v>
      </c>
      <c r="DD19" s="55">
        <f>DD8+DD9+DD10+DD11+DD12+DD13+DD14+DD15+DD16+DD17+DD18</f>
        <v>82832.66</v>
      </c>
      <c r="DE19" s="55">
        <f>DE8+DE9+DE10+DE11+DE12+DE13+DE14+DE15+DE16+DE17+DE18</f>
        <v>44599.59</v>
      </c>
      <c r="DF19" s="55">
        <f>DF8+DF9+DF10+DF11+DF12+DF13+DF14+DF15+DF16+DF17+DF18</f>
        <v>58221.6</v>
      </c>
      <c r="DG19" s="55">
        <f>DG8+DG9+DG10+DG11+DG12+DG13+DG14+DG15+DG16+DG17+DG18</f>
        <v>-1990.6299999999992</v>
      </c>
      <c r="DH19" s="55">
        <f>DH8+DH9+DH10+DH11+DH12+DH13+DH14+DH15+DH16+DH17+DH18</f>
        <v>27540.93</v>
      </c>
      <c r="DI19" s="55">
        <f>DI8+DI9+DI10+DI11+DI12+DI13+DI14+DI15+DI16+DI17+DI18</f>
        <v>70460.36</v>
      </c>
      <c r="DJ19" s="55">
        <f>DJ8+DJ9+DJ10+DJ11+DJ12+DJ13+DJ14+DJ15+DJ16+DJ17+DJ18</f>
        <v>17872.61</v>
      </c>
      <c r="DK19" s="55">
        <f>DK8+DK9+DK10+DK11+DK12+DK13+DK14+DK15+DK16+DK17+DK18</f>
        <v>30639.03</v>
      </c>
      <c r="DL19" s="55">
        <f>DL8+DL9+DL10+DL11+DL12+DL13+DL14+DL15+DL16+DL17+DL18</f>
        <v>47190.04000000001</v>
      </c>
      <c r="DM19" s="55">
        <f>DM8+DM9+DM10+DM11+DM12+DM13+DM14+DM15+DM16+DM17+DM18</f>
        <v>5029.37</v>
      </c>
      <c r="DN19" s="55">
        <f>DN8+DN9+DN10+DN11+DN12+DN13+DN14+DN15+DN16+DN17+DN18</f>
        <v>12057.240000000002</v>
      </c>
      <c r="DO19" s="55">
        <f>DO8+DO9+DO10+DO11+DO12+DO13+DO14+DO15+DO16+DO17+DO18</f>
        <v>4405.850000000001</v>
      </c>
      <c r="DP19" s="55">
        <f>DP8+DP9+DP10+DP11+DP12+DP13+DP14+DP15+DP16+DP17+DP18</f>
        <v>-12119.359999999995</v>
      </c>
      <c r="DQ19" s="55">
        <f>DQ8+DQ9+DQ10+DQ11+DQ12+DQ13+DQ14+DQ15+DQ16+DQ17+DQ18</f>
        <v>166376.17</v>
      </c>
      <c r="DR19" s="55">
        <f>DR8+DR9+DR10+DR11+DR12+DR13+DR14+DR15+DR16+DR17+DR18</f>
        <v>-3652.1499999999887</v>
      </c>
      <c r="DS19" s="55">
        <f>DS8+DS9+DS10+DS11+DS12+DS13+DS14+DS15+DS16+DS17+DS18</f>
        <v>-2956.339999999989</v>
      </c>
      <c r="DT19" s="55">
        <f>DT8+DT9+DT10+DT11+DT12+DT13+DT14+DT15+DT16+DT17+DT18</f>
        <v>16552.01000000001</v>
      </c>
      <c r="DU19" s="55">
        <f>DU8+DU9+DU10+DU11+DU12+DU13+DU14+DU15+DU16+DU17+DU18</f>
        <v>-1655.3699999999926</v>
      </c>
      <c r="DV19" s="55">
        <f>DV8+DV9+DV10+DV11+DV12+DV13+DV14+DV15+DV16+DV17+DV18</f>
        <v>124.12000000000728</v>
      </c>
      <c r="DW19" s="55">
        <f>DW8+DW9+DW10+DW11+DW12+DW13+DW14+DW15+DW16+DW17+DW18</f>
        <v>-898.6299999999927</v>
      </c>
      <c r="DX19" s="55">
        <f>DX8+DX9+DX10+DX11+DX12+DX13+DX14+DX15+DX16+DX17+DX18</f>
        <v>1156.310000000007</v>
      </c>
      <c r="DY19" s="55">
        <f>DY8+DY9+DY10+DY11+DY12+DY13+DY14+DY15+DY16+DY17+DY18</f>
        <v>1008.850000000007</v>
      </c>
      <c r="DZ19" s="55">
        <f>DZ8+DZ9+DZ10+DZ11+DZ12+DZ13+DZ14+DZ15+DZ16+DZ17+DZ18</f>
        <v>2642.610000000007</v>
      </c>
      <c r="EA19" s="55">
        <f>EA8+EA9+EA10+EA11+EA12+EA13+EA14+EA15+EA16+EA17+EA18</f>
        <v>3433.140000000006</v>
      </c>
      <c r="EB19" s="55">
        <f>EB8+EB9+EB10+EB11+EB12+EB13+EB14+EB15+EB16+EB17+EB18</f>
        <v>2309.020000000005</v>
      </c>
      <c r="EC19" s="55">
        <f>EC8+EC9+EC10+EC11+EC12+EC13+EC14+EC15+EC16+EC17+EC18</f>
        <v>17185.510000000006</v>
      </c>
      <c r="ED19" s="55">
        <f>ED8+ED9+ED10+ED11+ED12+ED13+ED14+ED15+ED16+ED17+ED18</f>
        <v>106676.33</v>
      </c>
      <c r="EE19" s="55">
        <f>EE8+EE9+EE10+EE11+EE12+EE13+EE14+EE15+EE16+EE17+EE18</f>
        <v>61388.100000000006</v>
      </c>
      <c r="EF19" s="55">
        <f>EF8+EF9+EF10+EF11+EF12+EF13+EF14+EF15+EF16+EF17+EF18</f>
        <v>17141.290000000005</v>
      </c>
      <c r="EG19" s="55">
        <f>EG8+EG9+EG10+EG11+EG12+EG13+EG14+EG15+EG16+EG17+EG18</f>
        <v>2921.7100000000023</v>
      </c>
      <c r="EH19" s="55">
        <f>EH8+EH9+EH10+EH11+EH12+EH13+EH14+EH15+EH16+EH17+EH18</f>
        <v>15627.27</v>
      </c>
      <c r="EI19" s="55">
        <f>EI8+EI9+EI10+EI11+EI12+EI13+EI14+EI15+EI16+EI17+EI18</f>
        <v>7541.980000000002</v>
      </c>
      <c r="EJ19" s="55">
        <f>EJ8+EJ9+EJ10+EJ11+EJ12+EJ13+EJ14+EJ15+EJ16+EJ17+EJ18</f>
        <v>49697.27</v>
      </c>
      <c r="EK19" s="55">
        <f>EK8+EK9+EK10+EK11+EK12+EK13+EK14+EK15+EK16+EK17+EK18</f>
        <v>29031.950000000004</v>
      </c>
      <c r="EL19" s="55">
        <f>EL8+EL9+EL10+EL11+EL12+EL13+EL14+EL15+EL16+EL17+EL18</f>
        <v>10002.87</v>
      </c>
      <c r="EM19" s="55">
        <f>EM8+EM9+EM10+EM11+EM12+EM13+EM14+EM15+EM16+EM17+EM18</f>
        <v>1539.3300000000015</v>
      </c>
      <c r="EN19" s="55">
        <f>EN8+EN9+EN10+EN11+EN12+EN13+EN14+EN15+EN16+EN17+EN18</f>
        <v>1930.2800000000013</v>
      </c>
      <c r="EO19" s="55">
        <f>EO8+EO9+EO10+EO11+EO12+EO13+EO14+EO15+EO16+EO17+EO18</f>
        <v>3146.0800000000017</v>
      </c>
      <c r="EP19" s="55">
        <f>EP8+EP9+EP10+EP11+EP12+EP13+EP14+EP15+EP16+EP17+EP18</f>
        <v>-5577.849999999998</v>
      </c>
      <c r="EQ19" s="55">
        <f>EQ8+EQ9+EQ10+EQ11+EQ12+EQ13+EQ14+EQ15+EQ16+EQ17+EQ18</f>
        <v>-11672.399999999998</v>
      </c>
      <c r="ER19" s="55">
        <f>ER8+ER9+ER10+ER11+ER12+ER13+ER14+ER15+ER16+ER17+ER18</f>
        <v>-23609.709999999995</v>
      </c>
    </row>
    <row r="20" spans="1:148" ht="16">
      <c r="A20" s="41" t="s">
        <v>17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</row>
    <row r="21" spans="1:148" ht="16">
      <c r="A21" s="42" t="s">
        <v>18</v>
      </c>
      <c r="B21" s="54">
        <v>0</v>
      </c>
      <c r="C21" s="54">
        <v>2787.16</v>
      </c>
      <c r="D21" s="54">
        <v>0</v>
      </c>
      <c r="E21" s="54">
        <v>0</v>
      </c>
      <c r="F21" s="54">
        <v>108.0</v>
      </c>
      <c r="G21" s="54">
        <v>0</v>
      </c>
      <c r="H21" s="54">
        <v>0</v>
      </c>
      <c r="I21" s="54">
        <v>0</v>
      </c>
      <c r="J21" s="54">
        <v>0</v>
      </c>
      <c r="K21" s="54">
        <v>226.0</v>
      </c>
      <c r="L21" s="54">
        <v>0</v>
      </c>
      <c r="M21" s="54">
        <v>0</v>
      </c>
      <c r="N21" s="54">
        <v>284.4</v>
      </c>
      <c r="O21" s="54">
        <v>4557.2</v>
      </c>
      <c r="P21" s="54">
        <v>2770.7599999999998</v>
      </c>
      <c r="Q21" s="54">
        <v>3855.7799999999997</v>
      </c>
      <c r="R21" s="54">
        <v>4949.2</v>
      </c>
      <c r="S21" s="54">
        <v>7769.68</v>
      </c>
      <c r="T21" s="54">
        <v>9109.23</v>
      </c>
      <c r="U21" s="54">
        <v>6607.929999999999</v>
      </c>
      <c r="V21" s="54">
        <v>3595.9299999999994</v>
      </c>
      <c r="W21" s="54">
        <v>5144.44</v>
      </c>
      <c r="X21" s="54">
        <v>4645.599999999999</v>
      </c>
      <c r="Y21" s="54">
        <v>102025.40000000001</v>
      </c>
      <c r="Z21" s="54">
        <v>3122.0000000000146</v>
      </c>
      <c r="AA21" s="54">
        <v>9633.100000000015</v>
      </c>
      <c r="AB21" s="54">
        <v>49749.34000000001</v>
      </c>
      <c r="AC21" s="54">
        <v>35618.16000000001</v>
      </c>
      <c r="AD21" s="54">
        <v>11730.60000000001</v>
      </c>
      <c r="AE21" s="54">
        <v>5042.20000000001</v>
      </c>
      <c r="AF21" s="54">
        <v>21867.01000000001</v>
      </c>
      <c r="AG21" s="54">
        <v>4285.040000000008</v>
      </c>
      <c r="AH21" s="54">
        <v>6336.840000000008</v>
      </c>
      <c r="AI21" s="54">
        <v>26210.360000000008</v>
      </c>
      <c r="AJ21" s="54">
        <v>21203.980000000007</v>
      </c>
      <c r="AK21" s="54">
        <v>9788.970000000007</v>
      </c>
      <c r="AL21" s="54">
        <v>6612.970000000007</v>
      </c>
      <c r="AM21" s="54">
        <v>9773.090000000007</v>
      </c>
      <c r="AN21" s="54">
        <v>15059.780000000006</v>
      </c>
      <c r="AO21" s="54">
        <v>20461.230000000007</v>
      </c>
      <c r="AP21" s="54">
        <v>61476.62000000001</v>
      </c>
      <c r="AQ21" s="54">
        <v>62806.75000000001</v>
      </c>
      <c r="AR21" s="54">
        <v>28524.66000000001</v>
      </c>
      <c r="AS21" s="54">
        <v>27465.630000000012</v>
      </c>
      <c r="AT21" s="54">
        <v>13652.560000000012</v>
      </c>
      <c r="AU21" s="54">
        <v>44233.080000000016</v>
      </c>
      <c r="AV21" s="54">
        <v>30054.410000000018</v>
      </c>
      <c r="AW21" s="54">
        <v>30684.070000000018</v>
      </c>
      <c r="AX21" s="54">
        <v>36677.69000000002</v>
      </c>
      <c r="AY21" s="54">
        <v>13000.460000000017</v>
      </c>
      <c r="AZ21" s="54">
        <v>17498.870000000017</v>
      </c>
      <c r="BA21" s="54">
        <v>38678.250000000015</v>
      </c>
      <c r="BB21" s="54">
        <v>38681.26000000002</v>
      </c>
      <c r="BC21" s="54">
        <v>34805.06000000002</v>
      </c>
      <c r="BD21" s="54">
        <v>37419.17000000002</v>
      </c>
      <c r="BE21" s="54">
        <v>13875.88000000002</v>
      </c>
      <c r="BF21" s="54">
        <v>47483.02000000002</v>
      </c>
      <c r="BG21" s="54">
        <v>13942.000000000022</v>
      </c>
      <c r="BH21" s="54">
        <v>43056.91000000002</v>
      </c>
      <c r="BI21" s="54">
        <v>28871.24000000002</v>
      </c>
      <c r="BJ21" s="54">
        <v>25197.95000000002</v>
      </c>
      <c r="BK21" s="54">
        <v>39078.57000000002</v>
      </c>
      <c r="BL21" s="54">
        <v>61491.36000000002</v>
      </c>
      <c r="BM21" s="54">
        <v>106760.00000000003</v>
      </c>
      <c r="BN21" s="54">
        <v>85697.72000000003</v>
      </c>
      <c r="BO21" s="54">
        <v>60063.68000000003</v>
      </c>
      <c r="BP21" s="54">
        <v>68240.61000000003</v>
      </c>
      <c r="BQ21" s="54">
        <v>128169.91000000003</v>
      </c>
      <c r="BR21" s="54">
        <v>166064.17000000004</v>
      </c>
      <c r="BS21" s="54">
        <v>125302.16000000003</v>
      </c>
      <c r="BT21" s="54">
        <v>88628.15000000002</v>
      </c>
      <c r="BU21" s="54">
        <v>2.9103830456733704E-11</v>
      </c>
      <c r="BV21" s="54">
        <v>91459.01000000002</v>
      </c>
      <c r="BW21" s="54">
        <v>126758.54000000002</v>
      </c>
      <c r="BX21" s="54">
        <v>103363.02000000002</v>
      </c>
      <c r="BY21" s="54">
        <v>90311.63000000002</v>
      </c>
      <c r="BZ21" s="54">
        <v>84402.63000000002</v>
      </c>
      <c r="CA21" s="54">
        <v>169869.93000000002</v>
      </c>
      <c r="CB21" s="54">
        <v>128921.01000000002</v>
      </c>
      <c r="CC21" s="54">
        <v>175927.64</v>
      </c>
      <c r="CD21" s="54">
        <v>207809.62000000002</v>
      </c>
      <c r="CE21" s="54">
        <v>170279.57</v>
      </c>
      <c r="CF21" s="54">
        <v>104000.74</v>
      </c>
      <c r="CG21" s="54">
        <v>159244.15000000002</v>
      </c>
      <c r="CH21" s="54">
        <v>222544.69000000003</v>
      </c>
      <c r="CI21" s="54">
        <v>184880.89</v>
      </c>
      <c r="CJ21" s="54">
        <v>178951.24000000002</v>
      </c>
      <c r="CK21" s="54">
        <v>210401.94000000003</v>
      </c>
      <c r="CL21" s="54">
        <v>92609.29000000004</v>
      </c>
      <c r="CM21" s="54">
        <v>140436.88000000003</v>
      </c>
      <c r="CN21" s="54">
        <v>131630.89000000004</v>
      </c>
      <c r="CO21" s="54">
        <v>115130.06000000004</v>
      </c>
      <c r="CP21" s="54">
        <v>175805.62000000005</v>
      </c>
      <c r="CQ21" s="54">
        <v>184127.87000000005</v>
      </c>
      <c r="CR21" s="54">
        <v>258202.23000000004</v>
      </c>
      <c r="CS21" s="54">
        <v>158704.13000000003</v>
      </c>
      <c r="CT21" s="54">
        <v>288616.68000000005</v>
      </c>
      <c r="CU21" s="54">
        <v>261324.78000000006</v>
      </c>
      <c r="CV21" s="54">
        <v>126438.16000000006</v>
      </c>
      <c r="CW21" s="54">
        <v>130702.60000000006</v>
      </c>
      <c r="CX21" s="54">
        <v>88536.02000000006</v>
      </c>
      <c r="CY21" s="54">
        <v>102253.67000000006</v>
      </c>
      <c r="CZ21" s="54">
        <v>151583.70000000007</v>
      </c>
      <c r="DA21" s="54">
        <v>101519.27000000008</v>
      </c>
      <c r="DB21" s="54">
        <v>189747.90000000008</v>
      </c>
      <c r="DC21" s="54">
        <v>282953.76000000007</v>
      </c>
      <c r="DD21" s="54">
        <v>255992.01000000007</v>
      </c>
      <c r="DE21" s="54">
        <v>172096.26000000007</v>
      </c>
      <c r="DF21" s="54">
        <v>112573.10000000006</v>
      </c>
      <c r="DG21" s="54">
        <v>126117.24000000006</v>
      </c>
      <c r="DH21" s="54">
        <v>208529.53000000006</v>
      </c>
      <c r="DI21" s="54">
        <v>122635.00000000006</v>
      </c>
      <c r="DJ21" s="54">
        <v>63893.82000000006</v>
      </c>
      <c r="DK21" s="54">
        <v>113510.47000000006</v>
      </c>
      <c r="DL21" s="54">
        <v>50701.37000000006</v>
      </c>
      <c r="DM21" s="54">
        <v>113693.14000000006</v>
      </c>
      <c r="DN21" s="54">
        <v>20001.91000000006</v>
      </c>
      <c r="DO21" s="54">
        <v>89730.28000000006</v>
      </c>
      <c r="DP21" s="54">
        <v>87499.77000000006</v>
      </c>
      <c r="DQ21" s="54">
        <v>57827.38000000006</v>
      </c>
      <c r="DR21" s="54">
        <v>76737.74000000006</v>
      </c>
      <c r="DS21" s="54">
        <v>43926.430000000066</v>
      </c>
      <c r="DT21" s="54">
        <v>25995.010000000068</v>
      </c>
      <c r="DU21" s="54">
        <v>24359.920000000067</v>
      </c>
      <c r="DV21" s="54">
        <v>-1230.3199999999342</v>
      </c>
      <c r="DW21" s="54">
        <v>17078.690000000064</v>
      </c>
      <c r="DX21" s="54">
        <v>28383.920000000064</v>
      </c>
      <c r="DY21" s="54">
        <v>15350.400000000063</v>
      </c>
      <c r="DZ21" s="54">
        <v>36564.27000000006</v>
      </c>
      <c r="EA21" s="54">
        <v>88204.23000000007</v>
      </c>
      <c r="EB21" s="54">
        <v>26787.24000000007</v>
      </c>
      <c r="EC21" s="54">
        <v>27205.93000000007</v>
      </c>
      <c r="ED21" s="54">
        <v>13933.72000000007</v>
      </c>
      <c r="EE21" s="54">
        <v>13038.40000000007</v>
      </c>
      <c r="EF21" s="54">
        <v>7652.990000000071</v>
      </c>
      <c r="EG21" s="54">
        <v>2596.420000000071</v>
      </c>
      <c r="EH21" s="54">
        <v>10539.88000000007</v>
      </c>
      <c r="EI21" s="54">
        <v>10994.91000000007</v>
      </c>
      <c r="EJ21" s="54">
        <v>11534.08000000007</v>
      </c>
      <c r="EK21" s="54">
        <v>172.31000000007043</v>
      </c>
      <c r="EL21" s="54">
        <v>3201.8700000000704</v>
      </c>
      <c r="EM21" s="54">
        <v>665.3400000000702</v>
      </c>
      <c r="EN21" s="54">
        <v>4194.14000000007</v>
      </c>
      <c r="EO21" s="54">
        <v>17586.74000000007</v>
      </c>
      <c r="EP21" s="54">
        <v>16865.58000000007</v>
      </c>
      <c r="EQ21" s="54">
        <v>16865.58000000007</v>
      </c>
      <c r="ER21" s="54">
        <v>17818.54000000007</v>
      </c>
    </row>
    <row r="22" spans="1:148" ht="16">
      <c r="A22" s="43" t="s">
        <v>19</v>
      </c>
      <c r="B22" s="55">
        <f>B20+B21</f>
        <v>0.0</v>
      </c>
      <c r="C22" s="55">
        <f>C20+C21</f>
        <v>2787.16</v>
      </c>
      <c r="D22" s="55">
        <f>D20+D21</f>
        <v>0.0</v>
      </c>
      <c r="E22" s="55">
        <f>E20+E21</f>
        <v>0.0</v>
      </c>
      <c r="F22" s="55">
        <f>F20+F21</f>
        <v>108.0</v>
      </c>
      <c r="G22" s="55">
        <f>G20+G21</f>
        <v>0.0</v>
      </c>
      <c r="H22" s="55">
        <f>H20+H21</f>
        <v>0.0</v>
      </c>
      <c r="I22" s="55">
        <f>I20+I21</f>
        <v>0.0</v>
      </c>
      <c r="J22" s="55">
        <f>J20+J21</f>
        <v>0.0</v>
      </c>
      <c r="K22" s="55">
        <f>K20+K21</f>
        <v>226.0</v>
      </c>
      <c r="L22" s="55">
        <f>L20+L21</f>
        <v>0.0</v>
      </c>
      <c r="M22" s="55">
        <f>M20+M21</f>
        <v>0.0</v>
      </c>
      <c r="N22" s="55">
        <f>N20+N21</f>
        <v>284.4</v>
      </c>
      <c r="O22" s="55">
        <f>O20+O21</f>
        <v>4557.2</v>
      </c>
      <c r="P22" s="55">
        <f>P20+P21</f>
        <v>2770.7599999999998</v>
      </c>
      <c r="Q22" s="55">
        <f>Q20+Q21</f>
        <v>3855.7799999999997</v>
      </c>
      <c r="R22" s="55">
        <f>R20+R21</f>
        <v>4949.2</v>
      </c>
      <c r="S22" s="55">
        <f>S20+S21</f>
        <v>7769.68</v>
      </c>
      <c r="T22" s="55">
        <f>T20+T21</f>
        <v>9109.23</v>
      </c>
      <c r="U22" s="55">
        <f>U20+U21</f>
        <v>6607.929999999999</v>
      </c>
      <c r="V22" s="55">
        <f>V20+V21</f>
        <v>3595.9299999999994</v>
      </c>
      <c r="W22" s="55">
        <f>W20+W21</f>
        <v>5144.44</v>
      </c>
      <c r="X22" s="55">
        <f>X20+X21</f>
        <v>4645.599999999999</v>
      </c>
      <c r="Y22" s="55">
        <f>Y20+Y21</f>
        <v>102025.40000000001</v>
      </c>
      <c r="Z22" s="55">
        <f>Z20+Z21</f>
        <v>3122.0000000000146</v>
      </c>
      <c r="AA22" s="55">
        <f>AA20+AA21</f>
        <v>9633.100000000015</v>
      </c>
      <c r="AB22" s="55">
        <f>AB20+AB21</f>
        <v>49749.34000000001</v>
      </c>
      <c r="AC22" s="55">
        <f>AC20+AC21</f>
        <v>35618.16000000001</v>
      </c>
      <c r="AD22" s="55">
        <f>AD20+AD21</f>
        <v>11730.60000000001</v>
      </c>
      <c r="AE22" s="55">
        <f>AE20+AE21</f>
        <v>5042.20000000001</v>
      </c>
      <c r="AF22" s="55">
        <f>AF20+AF21</f>
        <v>21867.01000000001</v>
      </c>
      <c r="AG22" s="55">
        <f>AG20+AG21</f>
        <v>4285.040000000008</v>
      </c>
      <c r="AH22" s="55">
        <f>AH20+AH21</f>
        <v>6336.840000000008</v>
      </c>
      <c r="AI22" s="55">
        <f>AI20+AI21</f>
        <v>26210.360000000008</v>
      </c>
      <c r="AJ22" s="55">
        <f>AJ20+AJ21</f>
        <v>21203.980000000007</v>
      </c>
      <c r="AK22" s="55">
        <f>AK20+AK21</f>
        <v>9788.970000000007</v>
      </c>
      <c r="AL22" s="55">
        <f>AL20+AL21</f>
        <v>6612.970000000007</v>
      </c>
      <c r="AM22" s="55">
        <f>AM20+AM21</f>
        <v>9773.090000000007</v>
      </c>
      <c r="AN22" s="55">
        <f>AN20+AN21</f>
        <v>15059.780000000006</v>
      </c>
      <c r="AO22" s="55">
        <f>AO20+AO21</f>
        <v>20461.230000000007</v>
      </c>
      <c r="AP22" s="55">
        <f>AP20+AP21</f>
        <v>61476.62000000001</v>
      </c>
      <c r="AQ22" s="55">
        <f>AQ20+AQ21</f>
        <v>62806.75000000001</v>
      </c>
      <c r="AR22" s="55">
        <f>AR20+AR21</f>
        <v>28524.66000000001</v>
      </c>
      <c r="AS22" s="55">
        <f>AS20+AS21</f>
        <v>27465.630000000012</v>
      </c>
      <c r="AT22" s="55">
        <f>AT20+AT21</f>
        <v>13652.560000000012</v>
      </c>
      <c r="AU22" s="55">
        <f>AU20+AU21</f>
        <v>44233.080000000016</v>
      </c>
      <c r="AV22" s="55">
        <f>AV20+AV21</f>
        <v>30054.410000000018</v>
      </c>
      <c r="AW22" s="55">
        <f>AW20+AW21</f>
        <v>30684.070000000018</v>
      </c>
      <c r="AX22" s="55">
        <f>AX20+AX21</f>
        <v>36677.69000000002</v>
      </c>
      <c r="AY22" s="55">
        <f>AY20+AY21</f>
        <v>13000.460000000017</v>
      </c>
      <c r="AZ22" s="55">
        <f>AZ20+AZ21</f>
        <v>17498.870000000017</v>
      </c>
      <c r="BA22" s="55">
        <f>BA20+BA21</f>
        <v>38678.250000000015</v>
      </c>
      <c r="BB22" s="55">
        <f>BB20+BB21</f>
        <v>38681.26000000002</v>
      </c>
      <c r="BC22" s="55">
        <f>BC20+BC21</f>
        <v>34805.06000000002</v>
      </c>
      <c r="BD22" s="55">
        <f>BD20+BD21</f>
        <v>37419.17000000002</v>
      </c>
      <c r="BE22" s="55">
        <f>BE20+BE21</f>
        <v>13875.88000000002</v>
      </c>
      <c r="BF22" s="55">
        <f>BF20+BF21</f>
        <v>47483.02000000002</v>
      </c>
      <c r="BG22" s="55">
        <f>BG20+BG21</f>
        <v>13942.000000000022</v>
      </c>
      <c r="BH22" s="55">
        <f>BH20+BH21</f>
        <v>43056.91000000002</v>
      </c>
      <c r="BI22" s="55">
        <f>BI20+BI21</f>
        <v>28871.24000000002</v>
      </c>
      <c r="BJ22" s="55">
        <f>BJ20+BJ21</f>
        <v>25197.95000000002</v>
      </c>
      <c r="BK22" s="55">
        <f>BK20+BK21</f>
        <v>39078.57000000002</v>
      </c>
      <c r="BL22" s="55">
        <f>BL20+BL21</f>
        <v>61491.36000000002</v>
      </c>
      <c r="BM22" s="55">
        <f>BM20+BM21</f>
        <v>106760.00000000003</v>
      </c>
      <c r="BN22" s="55">
        <f>BN20+BN21</f>
        <v>85697.72000000003</v>
      </c>
      <c r="BO22" s="55">
        <f>BO20+BO21</f>
        <v>60063.68000000003</v>
      </c>
      <c r="BP22" s="55">
        <f>BP20+BP21</f>
        <v>68240.61000000003</v>
      </c>
      <c r="BQ22" s="55">
        <f>BQ20+BQ21</f>
        <v>128169.91000000003</v>
      </c>
      <c r="BR22" s="55">
        <f>BR20+BR21</f>
        <v>166064.17000000004</v>
      </c>
      <c r="BS22" s="55">
        <f>BS20+BS21</f>
        <v>125302.16000000003</v>
      </c>
      <c r="BT22" s="55">
        <f>BT20+BT21</f>
        <v>88628.15000000002</v>
      </c>
      <c r="BU22" s="55">
        <f>BU20+BU21</f>
        <v>2.9103830456733704E-11</v>
      </c>
      <c r="BV22" s="55">
        <f>BV20+BV21</f>
        <v>91459.01000000002</v>
      </c>
      <c r="BW22" s="55">
        <f>BW20+BW21</f>
        <v>126758.54000000002</v>
      </c>
      <c r="BX22" s="55">
        <f>BX20+BX21</f>
        <v>103363.02000000002</v>
      </c>
      <c r="BY22" s="55">
        <f>BY20+BY21</f>
        <v>90311.63000000002</v>
      </c>
      <c r="BZ22" s="55">
        <f>BZ20+BZ21</f>
        <v>84402.63000000002</v>
      </c>
      <c r="CA22" s="55">
        <f>CA20+CA21</f>
        <v>169869.93000000002</v>
      </c>
      <c r="CB22" s="55">
        <f>CB20+CB21</f>
        <v>128921.01000000002</v>
      </c>
      <c r="CC22" s="55">
        <f>CC20+CC21</f>
        <v>175927.64</v>
      </c>
      <c r="CD22" s="55">
        <f>CD20+CD21</f>
        <v>207809.62000000002</v>
      </c>
      <c r="CE22" s="55">
        <f>CE20+CE21</f>
        <v>170279.57</v>
      </c>
      <c r="CF22" s="55">
        <f>CF20+CF21</f>
        <v>104000.74</v>
      </c>
      <c r="CG22" s="55">
        <f>CG20+CG21</f>
        <v>159244.15000000002</v>
      </c>
      <c r="CH22" s="55">
        <f>CH20+CH21</f>
        <v>222544.69000000003</v>
      </c>
      <c r="CI22" s="55">
        <f>CI20+CI21</f>
        <v>184880.89</v>
      </c>
      <c r="CJ22" s="55">
        <f>CJ20+CJ21</f>
        <v>178951.24000000002</v>
      </c>
      <c r="CK22" s="55">
        <f>CK20+CK21</f>
        <v>210401.94000000003</v>
      </c>
      <c r="CL22" s="55">
        <f>CL20+CL21</f>
        <v>92609.29000000004</v>
      </c>
      <c r="CM22" s="55">
        <f>CM20+CM21</f>
        <v>140436.88000000003</v>
      </c>
      <c r="CN22" s="55">
        <f>CN20+CN21</f>
        <v>131630.89000000004</v>
      </c>
      <c r="CO22" s="55">
        <f>CO20+CO21</f>
        <v>115130.06000000004</v>
      </c>
      <c r="CP22" s="55">
        <f>CP20+CP21</f>
        <v>175805.62000000005</v>
      </c>
      <c r="CQ22" s="55">
        <f>CQ20+CQ21</f>
        <v>184127.87000000005</v>
      </c>
      <c r="CR22" s="55">
        <f>CR20+CR21</f>
        <v>258202.23000000004</v>
      </c>
      <c r="CS22" s="55">
        <f>CS20+CS21</f>
        <v>158704.13000000003</v>
      </c>
      <c r="CT22" s="55">
        <f>CT20+CT21</f>
        <v>288616.68000000005</v>
      </c>
      <c r="CU22" s="55">
        <f>CU20+CU21</f>
        <v>261324.78000000006</v>
      </c>
      <c r="CV22" s="55">
        <f>CV20+CV21</f>
        <v>126438.16000000006</v>
      </c>
      <c r="CW22" s="55">
        <f>CW20+CW21</f>
        <v>130702.60000000006</v>
      </c>
      <c r="CX22" s="55">
        <f>CX20+CX21</f>
        <v>88536.02000000006</v>
      </c>
      <c r="CY22" s="55">
        <f>CY20+CY21</f>
        <v>102253.67000000006</v>
      </c>
      <c r="CZ22" s="55">
        <f>CZ20+CZ21</f>
        <v>151583.70000000007</v>
      </c>
      <c r="DA22" s="55">
        <f>DA20+DA21</f>
        <v>101519.27000000008</v>
      </c>
      <c r="DB22" s="55">
        <f>DB20+DB21</f>
        <v>189747.90000000008</v>
      </c>
      <c r="DC22" s="55">
        <f>DC20+DC21</f>
        <v>282953.76000000007</v>
      </c>
      <c r="DD22" s="55">
        <f>DD20+DD21</f>
        <v>255992.01000000007</v>
      </c>
      <c r="DE22" s="55">
        <f>DE20+DE21</f>
        <v>172096.26000000007</v>
      </c>
      <c r="DF22" s="55">
        <f>DF20+DF21</f>
        <v>112573.10000000006</v>
      </c>
      <c r="DG22" s="55">
        <f>DG20+DG21</f>
        <v>126117.24000000006</v>
      </c>
      <c r="DH22" s="55">
        <f>DH20+DH21</f>
        <v>208529.53000000006</v>
      </c>
      <c r="DI22" s="55">
        <f>DI20+DI21</f>
        <v>122635.00000000006</v>
      </c>
      <c r="DJ22" s="55">
        <f>DJ20+DJ21</f>
        <v>63893.82000000006</v>
      </c>
      <c r="DK22" s="55">
        <f>DK20+DK21</f>
        <v>113510.47000000006</v>
      </c>
      <c r="DL22" s="55">
        <f>DL20+DL21</f>
        <v>50701.37000000006</v>
      </c>
      <c r="DM22" s="55">
        <f>DM20+DM21</f>
        <v>113693.14000000006</v>
      </c>
      <c r="DN22" s="55">
        <f>DN20+DN21</f>
        <v>20001.91000000006</v>
      </c>
      <c r="DO22" s="55">
        <f>DO20+DO21</f>
        <v>89730.28000000006</v>
      </c>
      <c r="DP22" s="55">
        <f>DP20+DP21</f>
        <v>87499.77000000006</v>
      </c>
      <c r="DQ22" s="55">
        <f>DQ20+DQ21</f>
        <v>57827.38000000006</v>
      </c>
      <c r="DR22" s="55">
        <f>DR20+DR21</f>
        <v>76737.74000000006</v>
      </c>
      <c r="DS22" s="55">
        <f>DS20+DS21</f>
        <v>43926.430000000066</v>
      </c>
      <c r="DT22" s="55">
        <f>DT20+DT21</f>
        <v>25995.010000000068</v>
      </c>
      <c r="DU22" s="55">
        <f>DU20+DU21</f>
        <v>24359.920000000067</v>
      </c>
      <c r="DV22" s="55">
        <f>DV20+DV21</f>
        <v>-1230.3199999999342</v>
      </c>
      <c r="DW22" s="55">
        <f>DW20+DW21</f>
        <v>17078.690000000064</v>
      </c>
      <c r="DX22" s="55">
        <f>DX20+DX21</f>
        <v>28383.920000000064</v>
      </c>
      <c r="DY22" s="55">
        <f>DY20+DY21</f>
        <v>15350.400000000063</v>
      </c>
      <c r="DZ22" s="55">
        <f>DZ20+DZ21</f>
        <v>36564.27000000006</v>
      </c>
      <c r="EA22" s="55">
        <f>EA20+EA21</f>
        <v>88204.23000000007</v>
      </c>
      <c r="EB22" s="55">
        <f>EB20+EB21</f>
        <v>26787.24000000007</v>
      </c>
      <c r="EC22" s="55">
        <f>EC20+EC21</f>
        <v>27205.93000000007</v>
      </c>
      <c r="ED22" s="55">
        <f>ED20+ED21</f>
        <v>13933.72000000007</v>
      </c>
      <c r="EE22" s="55">
        <f>EE20+EE21</f>
        <v>13038.40000000007</v>
      </c>
      <c r="EF22" s="55">
        <f>EF20+EF21</f>
        <v>7652.990000000071</v>
      </c>
      <c r="EG22" s="55">
        <f>EG20+EG21</f>
        <v>2596.420000000071</v>
      </c>
      <c r="EH22" s="55">
        <f>EH20+EH21</f>
        <v>10539.88000000007</v>
      </c>
      <c r="EI22" s="55">
        <f>EI20+EI21</f>
        <v>10994.91000000007</v>
      </c>
      <c r="EJ22" s="55">
        <f>EJ20+EJ21</f>
        <v>11534.08000000007</v>
      </c>
      <c r="EK22" s="55">
        <f>EK20+EK21</f>
        <v>172.31000000007043</v>
      </c>
      <c r="EL22" s="55">
        <f>EL20+EL21</f>
        <v>3201.8700000000704</v>
      </c>
      <c r="EM22" s="55">
        <f>EM20+EM21</f>
        <v>665.3400000000702</v>
      </c>
      <c r="EN22" s="55">
        <f>EN20+EN21</f>
        <v>4194.14000000007</v>
      </c>
      <c r="EO22" s="55">
        <f>EO20+EO21</f>
        <v>17586.74000000007</v>
      </c>
      <c r="EP22" s="55">
        <f>EP20+EP21</f>
        <v>16865.58000000007</v>
      </c>
      <c r="EQ22" s="55">
        <f>EQ20+EQ21</f>
        <v>16865.58000000007</v>
      </c>
      <c r="ER22" s="55">
        <f>ER20+ER21</f>
        <v>17818.54000000007</v>
      </c>
    </row>
    <row r="23" spans="1:148" ht="16">
      <c r="A23" s="41" t="s">
        <v>20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</row>
    <row r="24" spans="1:148" ht="16">
      <c r="A24" s="42" t="s">
        <v>21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4">
        <v>62.39</v>
      </c>
      <c r="BM24" s="54">
        <v>62.39</v>
      </c>
      <c r="BN24" s="54">
        <v>124.78</v>
      </c>
      <c r="BO24" s="54">
        <v>0</v>
      </c>
      <c r="BP24" s="54">
        <v>0</v>
      </c>
      <c r="BQ24" s="54">
        <v>0</v>
      </c>
      <c r="BR24" s="54">
        <v>0</v>
      </c>
      <c r="BS24" s="54">
        <v>0</v>
      </c>
      <c r="BT24" s="54">
        <v>0</v>
      </c>
      <c r="BU24" s="54">
        <v>0</v>
      </c>
      <c r="BV24" s="54">
        <v>0</v>
      </c>
      <c r="BW24" s="54">
        <v>0</v>
      </c>
      <c r="BX24" s="54">
        <v>0</v>
      </c>
      <c r="BY24" s="54">
        <v>0</v>
      </c>
      <c r="BZ24" s="54">
        <v>0</v>
      </c>
      <c r="CA24" s="54">
        <v>2500.0</v>
      </c>
      <c r="CB24" s="54">
        <v>0</v>
      </c>
      <c r="CC24" s="54">
        <v>0</v>
      </c>
      <c r="CD24" s="54">
        <v>0</v>
      </c>
      <c r="CE24" s="54">
        <v>0</v>
      </c>
      <c r="CF24" s="54">
        <v>0</v>
      </c>
      <c r="CG24" s="54">
        <v>0</v>
      </c>
      <c r="CH24" s="54">
        <v>0</v>
      </c>
      <c r="CI24" s="54">
        <v>0</v>
      </c>
      <c r="CJ24" s="54">
        <v>0</v>
      </c>
      <c r="CK24" s="54">
        <v>0</v>
      </c>
      <c r="CL24" s="54">
        <v>0</v>
      </c>
      <c r="CM24" s="54">
        <v>0</v>
      </c>
      <c r="CN24" s="54">
        <v>0</v>
      </c>
      <c r="CO24" s="54">
        <v>0</v>
      </c>
      <c r="CP24" s="54">
        <v>0</v>
      </c>
      <c r="CQ24" s="54">
        <v>0</v>
      </c>
      <c r="CR24" s="54">
        <v>0</v>
      </c>
      <c r="CS24" s="54">
        <v>0</v>
      </c>
      <c r="CT24" s="54">
        <v>0</v>
      </c>
      <c r="CU24" s="54">
        <v>0</v>
      </c>
      <c r="CV24" s="54">
        <v>0</v>
      </c>
      <c r="CW24" s="54">
        <v>0</v>
      </c>
      <c r="CX24" s="54">
        <v>0</v>
      </c>
      <c r="CY24" s="54">
        <v>0</v>
      </c>
      <c r="CZ24" s="54">
        <v>0</v>
      </c>
      <c r="DA24" s="54">
        <v>14300.0</v>
      </c>
      <c r="DB24" s="54">
        <v>18359.98</v>
      </c>
      <c r="DC24" s="54">
        <v>16572.71</v>
      </c>
      <c r="DD24" s="54">
        <v>14785.439999999999</v>
      </c>
      <c r="DE24" s="54">
        <v>12998.169999999998</v>
      </c>
      <c r="DF24" s="54">
        <v>11210.899999999998</v>
      </c>
      <c r="DG24" s="54">
        <v>9423.629999999997</v>
      </c>
      <c r="DH24" s="54">
        <v>7636.359999999997</v>
      </c>
      <c r="DI24" s="54">
        <v>5849.0899999999965</v>
      </c>
      <c r="DJ24" s="54">
        <v>4061.8199999999965</v>
      </c>
      <c r="DK24" s="54">
        <v>2274.5499999999965</v>
      </c>
      <c r="DL24" s="54">
        <v>487.26999999999657</v>
      </c>
      <c r="DM24" s="54">
        <v>-3.410605131648481E-12</v>
      </c>
      <c r="DN24" s="54">
        <v>1206.4599999999966</v>
      </c>
      <c r="DO24" s="54">
        <v>1096.7799999999966</v>
      </c>
      <c r="DP24" s="54">
        <v>987.0999999999965</v>
      </c>
      <c r="DQ24" s="54">
        <v>877.4199999999964</v>
      </c>
      <c r="DR24" s="54">
        <v>767.7399999999964</v>
      </c>
      <c r="DS24" s="54">
        <v>658.0599999999963</v>
      </c>
      <c r="DT24" s="54">
        <v>548.3799999999962</v>
      </c>
      <c r="DU24" s="54">
        <v>438.69999999999624</v>
      </c>
      <c r="DV24" s="54">
        <v>329.01999999999623</v>
      </c>
      <c r="DW24" s="54">
        <v>219.33999999999622</v>
      </c>
      <c r="DX24" s="54">
        <v>109.65999999999622</v>
      </c>
      <c r="DY24" s="54">
        <v>-3.780087354243733E-12</v>
      </c>
      <c r="DZ24" s="54">
        <v>-3.780087354243733E-12</v>
      </c>
      <c r="EA24" s="54">
        <v>-3.780087354243733E-12</v>
      </c>
      <c r="EB24" s="54">
        <v>-3.780087354243733E-12</v>
      </c>
      <c r="EC24" s="54">
        <v>-3.780087354243733E-12</v>
      </c>
      <c r="ED24" s="54">
        <v>282.48999999999626</v>
      </c>
      <c r="EE24" s="54">
        <v>282.48999999999626</v>
      </c>
      <c r="EF24" s="54">
        <v>258.94999999999624</v>
      </c>
      <c r="EG24" s="54">
        <v>235.40999999999624</v>
      </c>
      <c r="EH24" s="54">
        <v>211.86999999999625</v>
      </c>
      <c r="EI24" s="54">
        <v>188.32999999999626</v>
      </c>
      <c r="EJ24" s="54">
        <v>164.78999999999627</v>
      </c>
      <c r="EK24" s="54">
        <v>141.24999999999628</v>
      </c>
      <c r="EL24" s="54">
        <v>117.70999999999628</v>
      </c>
      <c r="EM24" s="54">
        <v>94.16999999999629</v>
      </c>
      <c r="EN24" s="54">
        <v>70.6299999999963</v>
      </c>
      <c r="EO24" s="54">
        <v>2377.0899999999965</v>
      </c>
      <c r="EP24" s="54">
        <v>47.08999999999651</v>
      </c>
      <c r="EQ24" s="54">
        <v>47.08999999999651</v>
      </c>
      <c r="ER24" s="54">
        <v>47.08999999999651</v>
      </c>
    </row>
    <row r="25" spans="1:148" ht="16">
      <c r="A25" s="42" t="s">
        <v>22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4">
        <v>1600.0</v>
      </c>
      <c r="AX25" s="54">
        <v>1600.0</v>
      </c>
      <c r="AY25" s="54">
        <v>1600.0</v>
      </c>
      <c r="AZ25" s="54">
        <v>1600.0</v>
      </c>
      <c r="BA25" s="54">
        <v>1600.0</v>
      </c>
      <c r="BB25" s="54">
        <v>1600.0</v>
      </c>
      <c r="BC25" s="54">
        <v>1600.0</v>
      </c>
      <c r="BD25" s="54">
        <v>1600.0</v>
      </c>
      <c r="BE25" s="54">
        <v>1600.0</v>
      </c>
      <c r="BF25" s="54">
        <v>1600.0</v>
      </c>
      <c r="BG25" s="54">
        <v>1600.0</v>
      </c>
      <c r="BH25" s="54">
        <v>1600.0</v>
      </c>
      <c r="BI25" s="54">
        <v>1600.0</v>
      </c>
      <c r="BJ25" s="54">
        <v>1600.0</v>
      </c>
      <c r="BK25" s="54">
        <v>1600.0</v>
      </c>
      <c r="BL25" s="54">
        <v>1600.0</v>
      </c>
      <c r="BM25" s="54">
        <v>1600.0</v>
      </c>
      <c r="BN25" s="54">
        <v>1600.0</v>
      </c>
      <c r="BO25" s="54">
        <v>1585.0</v>
      </c>
      <c r="BP25" s="54">
        <v>1585.0</v>
      </c>
      <c r="BQ25" s="54">
        <v>1585.0</v>
      </c>
      <c r="BR25" s="54">
        <v>1585.0</v>
      </c>
      <c r="BS25" s="54">
        <v>1585.0</v>
      </c>
      <c r="BT25" s="54">
        <v>1585.0</v>
      </c>
      <c r="BU25" s="54">
        <v>0</v>
      </c>
      <c r="BV25" s="54">
        <v>0</v>
      </c>
      <c r="BW25" s="54">
        <v>0</v>
      </c>
      <c r="BX25" s="54">
        <v>0</v>
      </c>
      <c r="BY25" s="54">
        <v>0</v>
      </c>
      <c r="BZ25" s="54">
        <v>0</v>
      </c>
      <c r="CA25" s="54">
        <v>0</v>
      </c>
      <c r="CB25" s="54">
        <v>0</v>
      </c>
      <c r="CC25" s="54">
        <v>0</v>
      </c>
      <c r="CD25" s="54">
        <v>0</v>
      </c>
      <c r="CE25" s="54">
        <v>0</v>
      </c>
      <c r="CF25" s="54">
        <v>0</v>
      </c>
      <c r="CG25" s="54">
        <v>0</v>
      </c>
      <c r="CH25" s="54">
        <v>0</v>
      </c>
      <c r="CI25" s="54">
        <v>0</v>
      </c>
      <c r="CJ25" s="54">
        <v>0</v>
      </c>
      <c r="CK25" s="54">
        <v>0</v>
      </c>
      <c r="CL25" s="54">
        <v>0</v>
      </c>
      <c r="CM25" s="54">
        <v>0</v>
      </c>
      <c r="CN25" s="54">
        <v>0</v>
      </c>
      <c r="CO25" s="54">
        <v>0</v>
      </c>
      <c r="CP25" s="54">
        <v>0</v>
      </c>
      <c r="CQ25" s="54">
        <v>0</v>
      </c>
      <c r="CR25" s="54">
        <v>0</v>
      </c>
      <c r="CS25" s="54">
        <v>0</v>
      </c>
      <c r="CT25" s="54">
        <v>0</v>
      </c>
      <c r="CU25" s="54">
        <v>0</v>
      </c>
      <c r="CV25" s="54">
        <v>0</v>
      </c>
      <c r="CW25" s="54">
        <v>0</v>
      </c>
      <c r="CX25" s="54">
        <v>0</v>
      </c>
      <c r="CY25" s="54">
        <v>0</v>
      </c>
      <c r="CZ25" s="54">
        <v>0</v>
      </c>
      <c r="DA25" s="54">
        <v>0</v>
      </c>
      <c r="DB25" s="54">
        <v>0</v>
      </c>
      <c r="DC25" s="54">
        <v>0</v>
      </c>
      <c r="DD25" s="54">
        <v>0</v>
      </c>
      <c r="DE25" s="54">
        <v>0</v>
      </c>
      <c r="DF25" s="54">
        <v>0</v>
      </c>
      <c r="DG25" s="54">
        <v>0</v>
      </c>
      <c r="DH25" s="54">
        <v>0</v>
      </c>
      <c r="DI25" s="54">
        <v>0</v>
      </c>
      <c r="DJ25" s="54">
        <v>0</v>
      </c>
      <c r="DK25" s="54">
        <v>0</v>
      </c>
      <c r="DL25" s="54">
        <v>0</v>
      </c>
      <c r="DM25" s="54">
        <v>0</v>
      </c>
      <c r="DN25" s="54">
        <v>0</v>
      </c>
      <c r="DO25" s="54">
        <v>0</v>
      </c>
      <c r="DP25" s="54">
        <v>0</v>
      </c>
      <c r="DQ25" s="54">
        <v>0</v>
      </c>
      <c r="DR25" s="54">
        <v>0</v>
      </c>
      <c r="DS25" s="54">
        <v>0</v>
      </c>
      <c r="DT25" s="54">
        <v>0</v>
      </c>
      <c r="DU25" s="54">
        <v>0</v>
      </c>
      <c r="DV25" s="54">
        <v>0</v>
      </c>
      <c r="DW25" s="54">
        <v>0</v>
      </c>
      <c r="DX25" s="54">
        <v>0</v>
      </c>
      <c r="DY25" s="54">
        <v>0</v>
      </c>
      <c r="DZ25" s="54">
        <v>0</v>
      </c>
      <c r="EA25" s="54">
        <v>0</v>
      </c>
      <c r="EB25" s="54">
        <v>0</v>
      </c>
      <c r="EC25" s="54">
        <v>0</v>
      </c>
      <c r="ED25" s="54">
        <v>0</v>
      </c>
      <c r="EE25" s="54">
        <v>0</v>
      </c>
      <c r="EF25" s="54">
        <v>0</v>
      </c>
      <c r="EG25" s="54">
        <v>0</v>
      </c>
      <c r="EH25" s="54">
        <v>0</v>
      </c>
      <c r="EI25" s="54">
        <v>0</v>
      </c>
      <c r="EJ25" s="54">
        <v>0</v>
      </c>
      <c r="EK25" s="54">
        <v>0</v>
      </c>
      <c r="EL25" s="54">
        <v>0</v>
      </c>
      <c r="EM25" s="54">
        <v>0</v>
      </c>
      <c r="EN25" s="54">
        <v>0</v>
      </c>
      <c r="EO25" s="54">
        <v>0</v>
      </c>
      <c r="EP25" s="54">
        <v>0</v>
      </c>
      <c r="EQ25" s="54">
        <v>0</v>
      </c>
      <c r="ER25" s="54">
        <v>0</v>
      </c>
    </row>
    <row r="26" spans="1:148" ht="16">
      <c r="A26" s="42" t="s">
        <v>23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4">
        <v>1090.2</v>
      </c>
      <c r="P26" s="54">
        <v>3230.0</v>
      </c>
      <c r="Q26" s="54">
        <v>94.80000000000018</v>
      </c>
      <c r="R26" s="54">
        <v>1.8474111129762605E-13</v>
      </c>
      <c r="S26" s="54">
        <v>1.8474111129762605E-13</v>
      </c>
      <c r="T26" s="54">
        <v>47.40000000000018</v>
      </c>
      <c r="U26" s="54">
        <v>1.8474111129762605E-13</v>
      </c>
      <c r="V26" s="54">
        <v>744.9000000000002</v>
      </c>
      <c r="W26" s="54">
        <v>262.4000000000002</v>
      </c>
      <c r="X26" s="54">
        <v>284.4000000000002</v>
      </c>
      <c r="Y26" s="54">
        <v>426.6000000000002</v>
      </c>
      <c r="Z26" s="54">
        <v>474.00000000000017</v>
      </c>
      <c r="AA26" s="54">
        <v>171.6000000000002</v>
      </c>
      <c r="AB26" s="54">
        <v>744.9000000000001</v>
      </c>
      <c r="AC26" s="54">
        <v>174.80000000000007</v>
      </c>
      <c r="AD26" s="54">
        <v>80.00000000000007</v>
      </c>
      <c r="AE26" s="54">
        <v>347.6000000000001</v>
      </c>
      <c r="AF26" s="54">
        <v>377.80000000000007</v>
      </c>
      <c r="AG26" s="54">
        <v>189.60000000000008</v>
      </c>
      <c r="AH26" s="54">
        <v>8.526512829121202E-14</v>
      </c>
      <c r="AI26" s="54">
        <v>189.60000000000008</v>
      </c>
      <c r="AJ26" s="54">
        <v>677.7600000000001</v>
      </c>
      <c r="AK26" s="54">
        <v>1702.81</v>
      </c>
      <c r="AL26" s="54">
        <v>0</v>
      </c>
      <c r="AM26" s="54">
        <v>711.0</v>
      </c>
      <c r="AN26" s="54">
        <v>1440.0</v>
      </c>
      <c r="AO26" s="54">
        <v>1746.56</v>
      </c>
      <c r="AP26" s="54">
        <v>1469.76</v>
      </c>
      <c r="AQ26" s="54">
        <v>1019.0999999999999</v>
      </c>
      <c r="AR26" s="54">
        <v>107.99999999999989</v>
      </c>
      <c r="AS26" s="54">
        <v>-1.1368683772161603E-13</v>
      </c>
      <c r="AT26" s="54">
        <v>865.7999999999998</v>
      </c>
      <c r="AU26" s="54">
        <v>-142.20000000000016</v>
      </c>
      <c r="AV26" s="54">
        <v>1495.08</v>
      </c>
      <c r="AW26" s="54">
        <v>5946.04</v>
      </c>
      <c r="AX26" s="54">
        <v>-142.19999999999982</v>
      </c>
      <c r="AY26" s="54">
        <v>174.6000000000002</v>
      </c>
      <c r="AZ26" s="54">
        <v>-142.19999999999982</v>
      </c>
      <c r="BA26" s="54">
        <v>-142.19999999999982</v>
      </c>
      <c r="BB26" s="54">
        <v>7181.7</v>
      </c>
      <c r="BC26" s="54">
        <v>-142.19999999999982</v>
      </c>
      <c r="BD26" s="54">
        <v>413.95000000000016</v>
      </c>
      <c r="BE26" s="54">
        <v>2796.9600000000005</v>
      </c>
      <c r="BF26" s="54">
        <v>381.8400000000006</v>
      </c>
      <c r="BG26" s="54">
        <v>162.0000000000006</v>
      </c>
      <c r="BH26" s="54">
        <v>58.6500000000006</v>
      </c>
      <c r="BI26" s="54">
        <v>508.9000000000006</v>
      </c>
      <c r="BJ26" s="54">
        <v>7172.6900000000005</v>
      </c>
      <c r="BK26" s="54">
        <v>9.094947017729282E-13</v>
      </c>
      <c r="BL26" s="54">
        <v>9.094947017729282E-13</v>
      </c>
      <c r="BM26" s="54">
        <v>1711.920000000001</v>
      </c>
      <c r="BN26" s="54">
        <v>9.094947017729282E-13</v>
      </c>
      <c r="BO26" s="54">
        <v>9.094947017729282E-13</v>
      </c>
      <c r="BP26" s="54">
        <v>94.8000000000009</v>
      </c>
      <c r="BQ26" s="54">
        <v>4032.000000000001</v>
      </c>
      <c r="BR26" s="54">
        <v>9.094947017729282E-13</v>
      </c>
      <c r="BS26" s="54">
        <v>9.094947017729282E-13</v>
      </c>
      <c r="BT26" s="54">
        <v>6048.200000000001</v>
      </c>
      <c r="BU26" s="54">
        <v>9.094947017729282E-13</v>
      </c>
      <c r="BV26" s="54">
        <v>1106.000000000001</v>
      </c>
      <c r="BW26" s="54">
        <v>9.094947017729282E-13</v>
      </c>
      <c r="BX26" s="54">
        <v>406.3200000000009</v>
      </c>
      <c r="BY26" s="54">
        <v>9.094947017729282E-13</v>
      </c>
      <c r="BZ26" s="54">
        <v>84.00000000000091</v>
      </c>
      <c r="CA26" s="54">
        <v>455.4000000000009</v>
      </c>
      <c r="CB26" s="54">
        <v>9.094947017729282E-13</v>
      </c>
      <c r="CC26" s="54">
        <v>10807.32</v>
      </c>
      <c r="CD26" s="54">
        <v>0</v>
      </c>
      <c r="CE26" s="54">
        <v>208.3</v>
      </c>
      <c r="CF26" s="54">
        <v>49883.600000000006</v>
      </c>
      <c r="CG26" s="54">
        <v>7.275957614183426E-12</v>
      </c>
      <c r="CH26" s="54">
        <v>7.275957614183426E-12</v>
      </c>
      <c r="CI26" s="54">
        <v>7.275957614183426E-12</v>
      </c>
      <c r="CJ26" s="54">
        <v>4347.000000000007</v>
      </c>
      <c r="CK26" s="54">
        <v>7.275957614183426E-12</v>
      </c>
      <c r="CL26" s="54">
        <v>7.275957614183426E-12</v>
      </c>
      <c r="CM26" s="54">
        <v>7.275957614183426E-12</v>
      </c>
      <c r="CN26" s="54">
        <v>7.275957614183426E-12</v>
      </c>
      <c r="CO26" s="54">
        <v>7.275957614183426E-12</v>
      </c>
      <c r="CP26" s="54">
        <v>7.275957614183426E-12</v>
      </c>
      <c r="CQ26" s="54">
        <v>7.275957614183426E-12</v>
      </c>
      <c r="CR26" s="54">
        <v>7.275957614183426E-12</v>
      </c>
      <c r="CS26" s="54">
        <v>7.275957614183426E-12</v>
      </c>
      <c r="CT26" s="54">
        <v>7.275957614183426E-12</v>
      </c>
      <c r="CU26" s="54">
        <v>7.275957614183426E-12</v>
      </c>
      <c r="CV26" s="54">
        <v>7.275957614183426E-12</v>
      </c>
      <c r="CW26" s="54">
        <v>7.275957614183426E-12</v>
      </c>
      <c r="CX26" s="54">
        <v>7.275957614183426E-12</v>
      </c>
      <c r="CY26" s="54">
        <v>7.275957614183426E-12</v>
      </c>
      <c r="CZ26" s="54">
        <v>7.275957614183426E-12</v>
      </c>
      <c r="DA26" s="54">
        <v>7.275957614183426E-12</v>
      </c>
      <c r="DB26" s="54">
        <v>7.275957614183426E-12</v>
      </c>
      <c r="DC26" s="54">
        <v>7.275957614183426E-12</v>
      </c>
      <c r="DD26" s="54">
        <v>7.275957614183426E-12</v>
      </c>
      <c r="DE26" s="54">
        <v>7.275957614183426E-12</v>
      </c>
      <c r="DF26" s="54">
        <v>7.275957614183426E-12</v>
      </c>
      <c r="DG26" s="54">
        <v>7.275957614183426E-12</v>
      </c>
      <c r="DH26" s="54">
        <v>7.275957614183426E-12</v>
      </c>
      <c r="DI26" s="54">
        <v>7.275957614183426E-12</v>
      </c>
      <c r="DJ26" s="54">
        <v>7.275957614183426E-12</v>
      </c>
      <c r="DK26" s="54">
        <v>7.275957614183426E-12</v>
      </c>
      <c r="DL26" s="54">
        <v>7.275957614183426E-12</v>
      </c>
      <c r="DM26" s="54">
        <v>7.275957614183426E-12</v>
      </c>
      <c r="DN26" s="54">
        <v>7.275957614183426E-12</v>
      </c>
      <c r="DO26" s="54">
        <v>-16408.999999999993</v>
      </c>
      <c r="DP26" s="54">
        <v>-16283.089999999993</v>
      </c>
      <c r="DQ26" s="54">
        <v>125.91000000000713</v>
      </c>
      <c r="DR26" s="54">
        <v>263.6700000000071</v>
      </c>
      <c r="DS26" s="54">
        <v>662.0700000000071</v>
      </c>
      <c r="DT26" s="54">
        <v>5162.070000000007</v>
      </c>
      <c r="DU26" s="54">
        <v>5232.150000000007</v>
      </c>
      <c r="DV26" s="54">
        <v>5232.150000000007</v>
      </c>
      <c r="DW26" s="54">
        <v>5232.150000000007</v>
      </c>
      <c r="DX26" s="54">
        <v>6009.030000000007</v>
      </c>
      <c r="DY26" s="54">
        <v>6009.030000000007</v>
      </c>
      <c r="DZ26" s="54">
        <v>6009.030000000007</v>
      </c>
      <c r="EA26" s="54">
        <v>6009.030000000007</v>
      </c>
      <c r="EB26" s="54">
        <v>1040.5500000000075</v>
      </c>
      <c r="EC26" s="54">
        <v>271.44000000000744</v>
      </c>
      <c r="ED26" s="54">
        <v>-639.5799999999925</v>
      </c>
      <c r="EE26" s="54">
        <v>-639.5799999999925</v>
      </c>
      <c r="EF26" s="54">
        <v>-639.5799999999925</v>
      </c>
      <c r="EG26" s="54">
        <v>-639.5799999999925</v>
      </c>
      <c r="EH26" s="54">
        <v>7.503331289626658E-12</v>
      </c>
      <c r="EI26" s="54">
        <v>7.503331289626658E-12</v>
      </c>
      <c r="EJ26" s="54">
        <v>7.503331289626658E-12</v>
      </c>
      <c r="EK26" s="54">
        <v>7.503331289626658E-12</v>
      </c>
      <c r="EL26" s="54">
        <v>7.503331289626658E-12</v>
      </c>
      <c r="EM26" s="54">
        <v>7.503331289626658E-12</v>
      </c>
      <c r="EN26" s="54">
        <v>7.503331289626658E-12</v>
      </c>
      <c r="EO26" s="54">
        <v>7.503331289626658E-12</v>
      </c>
      <c r="EP26" s="54">
        <v>7.503331289626658E-12</v>
      </c>
      <c r="EQ26" s="54">
        <v>7.503331289626658E-12</v>
      </c>
      <c r="ER26" s="54">
        <v>7.503331289626658E-12</v>
      </c>
    </row>
    <row r="27" spans="1:148" ht="16">
      <c r="A27" s="42" t="s">
        <v>24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4">
        <v>0</v>
      </c>
      <c r="P27" s="54">
        <v>72.1</v>
      </c>
      <c r="Q27" s="54">
        <v>72.1</v>
      </c>
      <c r="R27" s="54">
        <v>72.1</v>
      </c>
      <c r="S27" s="54">
        <v>72.1</v>
      </c>
      <c r="T27" s="54">
        <v>0</v>
      </c>
      <c r="U27" s="54">
        <v>0</v>
      </c>
      <c r="V27" s="54">
        <v>0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54">
        <v>0</v>
      </c>
      <c r="AN27" s="54">
        <v>0</v>
      </c>
      <c r="AO27" s="54">
        <v>0</v>
      </c>
      <c r="AP27" s="54">
        <v>0</v>
      </c>
      <c r="AQ27" s="54">
        <v>0</v>
      </c>
      <c r="AR27" s="54">
        <v>0</v>
      </c>
      <c r="AS27" s="54">
        <v>0</v>
      </c>
      <c r="AT27" s="54">
        <v>0</v>
      </c>
      <c r="AU27" s="54">
        <v>0</v>
      </c>
      <c r="AV27" s="54">
        <v>0</v>
      </c>
      <c r="AW27" s="54">
        <v>0</v>
      </c>
      <c r="AX27" s="54">
        <v>0</v>
      </c>
      <c r="AY27" s="54">
        <v>0</v>
      </c>
      <c r="AZ27" s="54">
        <v>0</v>
      </c>
      <c r="BA27" s="54">
        <v>0</v>
      </c>
      <c r="BB27" s="54">
        <v>0</v>
      </c>
      <c r="BC27" s="54">
        <v>0</v>
      </c>
      <c r="BD27" s="54">
        <v>0</v>
      </c>
      <c r="BE27" s="54">
        <v>0</v>
      </c>
      <c r="BF27" s="54">
        <v>0</v>
      </c>
      <c r="BG27" s="54">
        <v>0</v>
      </c>
      <c r="BH27" s="54">
        <v>0</v>
      </c>
      <c r="BI27" s="54">
        <v>0</v>
      </c>
      <c r="BJ27" s="54">
        <v>0</v>
      </c>
      <c r="BK27" s="54">
        <v>0</v>
      </c>
      <c r="BL27" s="54">
        <v>0</v>
      </c>
      <c r="BM27" s="54">
        <v>0</v>
      </c>
      <c r="BN27" s="54">
        <v>0</v>
      </c>
      <c r="BO27" s="54">
        <v>0</v>
      </c>
      <c r="BP27" s="54">
        <v>0</v>
      </c>
      <c r="BQ27" s="54">
        <v>0</v>
      </c>
      <c r="BR27" s="54">
        <v>0</v>
      </c>
      <c r="BS27" s="54">
        <v>0</v>
      </c>
      <c r="BT27" s="54">
        <v>0</v>
      </c>
      <c r="BU27" s="54">
        <v>0</v>
      </c>
      <c r="BV27" s="54">
        <v>0</v>
      </c>
      <c r="BW27" s="54">
        <v>0</v>
      </c>
      <c r="BX27" s="54">
        <v>0</v>
      </c>
      <c r="BY27" s="54">
        <v>0</v>
      </c>
      <c r="BZ27" s="54">
        <v>0</v>
      </c>
      <c r="CA27" s="54">
        <v>0</v>
      </c>
      <c r="CB27" s="54">
        <v>0</v>
      </c>
      <c r="CC27" s="54">
        <v>0</v>
      </c>
      <c r="CD27" s="54">
        <v>0</v>
      </c>
      <c r="CE27" s="54">
        <v>0</v>
      </c>
      <c r="CF27" s="54">
        <v>0</v>
      </c>
      <c r="CG27" s="54">
        <v>0</v>
      </c>
      <c r="CH27" s="54">
        <v>0</v>
      </c>
      <c r="CI27" s="54">
        <v>0</v>
      </c>
      <c r="CJ27" s="54">
        <v>0</v>
      </c>
      <c r="CK27" s="54">
        <v>0</v>
      </c>
      <c r="CL27" s="54">
        <v>0</v>
      </c>
      <c r="CM27" s="54">
        <v>0</v>
      </c>
      <c r="CN27" s="54">
        <v>0</v>
      </c>
      <c r="CO27" s="54">
        <v>0</v>
      </c>
      <c r="CP27" s="54">
        <v>0</v>
      </c>
      <c r="CQ27" s="54">
        <v>0</v>
      </c>
      <c r="CR27" s="54">
        <v>0</v>
      </c>
      <c r="CS27" s="54">
        <v>0</v>
      </c>
      <c r="CT27" s="54">
        <v>0</v>
      </c>
      <c r="CU27" s="54">
        <v>0</v>
      </c>
      <c r="CV27" s="54">
        <v>0</v>
      </c>
      <c r="CW27" s="54">
        <v>0</v>
      </c>
      <c r="CX27" s="54">
        <v>0</v>
      </c>
      <c r="CY27" s="54">
        <v>0</v>
      </c>
      <c r="CZ27" s="54">
        <v>0</v>
      </c>
      <c r="DA27" s="54">
        <v>0</v>
      </c>
      <c r="DB27" s="54">
        <v>0</v>
      </c>
      <c r="DC27" s="54">
        <v>0</v>
      </c>
      <c r="DD27" s="54">
        <v>0</v>
      </c>
      <c r="DE27" s="54">
        <v>0</v>
      </c>
      <c r="DF27" s="54">
        <v>0</v>
      </c>
      <c r="DG27" s="54">
        <v>0</v>
      </c>
      <c r="DH27" s="54">
        <v>0</v>
      </c>
      <c r="DI27" s="54">
        <v>0</v>
      </c>
      <c r="DJ27" s="54">
        <v>0</v>
      </c>
      <c r="DK27" s="54">
        <v>0</v>
      </c>
      <c r="DL27" s="54">
        <v>0</v>
      </c>
      <c r="DM27" s="54">
        <v>0</v>
      </c>
      <c r="DN27" s="54">
        <v>0</v>
      </c>
      <c r="DO27" s="54">
        <v>0</v>
      </c>
      <c r="DP27" s="54">
        <v>294.0</v>
      </c>
      <c r="DQ27" s="54">
        <v>450.0</v>
      </c>
      <c r="DR27" s="54">
        <v>570.0</v>
      </c>
      <c r="DS27" s="54">
        <v>582.0</v>
      </c>
      <c r="DT27" s="54">
        <v>702.0</v>
      </c>
      <c r="DU27" s="54">
        <v>732.0</v>
      </c>
      <c r="DV27" s="54">
        <v>732.0</v>
      </c>
      <c r="DW27" s="54">
        <v>792.0</v>
      </c>
      <c r="DX27" s="54">
        <v>792.0</v>
      </c>
      <c r="DY27" s="54">
        <v>822.0</v>
      </c>
      <c r="DZ27" s="54">
        <v>918.0</v>
      </c>
      <c r="EA27" s="54">
        <v>918.0</v>
      </c>
      <c r="EB27" s="54">
        <v>918.0</v>
      </c>
      <c r="EC27" s="54">
        <v>0</v>
      </c>
      <c r="ED27" s="54">
        <v>0</v>
      </c>
      <c r="EE27" s="54">
        <v>0</v>
      </c>
      <c r="EF27" s="54">
        <v>0</v>
      </c>
      <c r="EG27" s="54">
        <v>0</v>
      </c>
      <c r="EH27" s="54">
        <v>0</v>
      </c>
      <c r="EI27" s="54">
        <v>0</v>
      </c>
      <c r="EJ27" s="54">
        <v>0</v>
      </c>
      <c r="EK27" s="54">
        <v>0</v>
      </c>
      <c r="EL27" s="54">
        <v>0</v>
      </c>
      <c r="EM27" s="54">
        <v>0</v>
      </c>
      <c r="EN27" s="54">
        <v>0</v>
      </c>
      <c r="EO27" s="54">
        <v>0</v>
      </c>
      <c r="EP27" s="54">
        <v>0</v>
      </c>
      <c r="EQ27" s="54">
        <v>0</v>
      </c>
      <c r="ER27" s="54">
        <v>0</v>
      </c>
    </row>
    <row r="28" spans="1:148" ht="16">
      <c r="A28" s="44" t="s">
        <v>25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4">
        <v>19525.61</v>
      </c>
      <c r="DC28" s="54">
        <v>9583.720000000001</v>
      </c>
      <c r="DD28" s="54">
        <v>23895.21</v>
      </c>
      <c r="DE28" s="54">
        <v>11886.32</v>
      </c>
      <c r="DF28" s="54">
        <v>30254.22</v>
      </c>
      <c r="DG28" s="54">
        <v>44212.520000000004</v>
      </c>
      <c r="DH28" s="54">
        <v>45769.33</v>
      </c>
      <c r="DI28" s="54">
        <v>43316.67</v>
      </c>
      <c r="DJ28" s="54">
        <v>40359.49</v>
      </c>
      <c r="DK28" s="54">
        <v>33125.189999999995</v>
      </c>
      <c r="DL28" s="54">
        <v>34811.52</v>
      </c>
      <c r="DM28" s="54">
        <v>26307.28</v>
      </c>
      <c r="DN28" s="54">
        <v>21539.43</v>
      </c>
      <c r="DO28" s="54">
        <v>14619.04</v>
      </c>
      <c r="DP28" s="54">
        <v>9727.5</v>
      </c>
      <c r="DQ28" s="54">
        <v>6675.34</v>
      </c>
      <c r="DR28" s="54">
        <v>7002.21</v>
      </c>
      <c r="DS28" s="54">
        <v>7341.2</v>
      </c>
      <c r="DT28" s="54">
        <v>6228.44</v>
      </c>
      <c r="DU28" s="54">
        <v>4509.48</v>
      </c>
      <c r="DV28" s="54">
        <v>3813.9199999999996</v>
      </c>
      <c r="DW28" s="54">
        <v>3813.9199999999996</v>
      </c>
      <c r="DX28" s="54">
        <v>2813.5399999999995</v>
      </c>
      <c r="DY28" s="54">
        <v>3228.8199999999997</v>
      </c>
      <c r="DZ28" s="54">
        <v>2341.5699999999997</v>
      </c>
      <c r="EA28" s="54">
        <v>2545.2499999999995</v>
      </c>
      <c r="EB28" s="54">
        <v>2272.2899999999995</v>
      </c>
      <c r="EC28" s="54">
        <v>1127.2499999999995</v>
      </c>
      <c r="ED28" s="54">
        <v>1582.8199999999995</v>
      </c>
      <c r="EE28" s="54">
        <v>2239.9599999999996</v>
      </c>
      <c r="EF28" s="54">
        <v>3624.7699999999995</v>
      </c>
      <c r="EG28" s="54">
        <v>6215.34</v>
      </c>
      <c r="EH28" s="54">
        <v>1688.92</v>
      </c>
      <c r="EI28" s="54">
        <v>2179.3900000000003</v>
      </c>
      <c r="EJ28" s="54">
        <v>2102.88</v>
      </c>
      <c r="EK28" s="54">
        <v>1997.3200000000002</v>
      </c>
      <c r="EL28" s="54">
        <v>2203.9700000000003</v>
      </c>
      <c r="EM28" s="54">
        <v>3198.01</v>
      </c>
      <c r="EN28" s="54">
        <v>1710.9700000000003</v>
      </c>
      <c r="EO28" s="54">
        <v>3308.4100000000003</v>
      </c>
      <c r="EP28" s="54">
        <v>3308.4100000000003</v>
      </c>
      <c r="EQ28" s="54">
        <v>3308.4100000000003</v>
      </c>
      <c r="ER28" s="54">
        <v>3308.4100000000003</v>
      </c>
    </row>
    <row r="29" spans="1:148" ht="16">
      <c r="A29" s="44" t="s">
        <v>26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</row>
    <row r="30" spans="1:148" ht="16">
      <c r="A30" s="45" t="s">
        <v>27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4">
        <v>48818.33</v>
      </c>
      <c r="DC30" s="54">
        <v>79237.0</v>
      </c>
      <c r="DD30" s="54">
        <v>87044.2</v>
      </c>
      <c r="DE30" s="54">
        <v>94614.0</v>
      </c>
      <c r="DF30" s="54">
        <v>96420.0</v>
      </c>
      <c r="DG30" s="54">
        <v>4141.149999999994</v>
      </c>
      <c r="DH30" s="54">
        <v>46925.509999999995</v>
      </c>
      <c r="DI30" s="54">
        <v>54840.85999999999</v>
      </c>
      <c r="DJ30" s="54">
        <v>35908.899999999994</v>
      </c>
      <c r="DK30" s="54">
        <v>34526.91999999999</v>
      </c>
      <c r="DL30" s="54">
        <v>36621.34999999999</v>
      </c>
      <c r="DM30" s="54">
        <v>32788.27999999999</v>
      </c>
      <c r="DN30" s="54">
        <v>29355.96999999999</v>
      </c>
      <c r="DO30" s="54">
        <v>26998.81999999999</v>
      </c>
      <c r="DP30" s="54">
        <v>26546.14999999999</v>
      </c>
      <c r="DQ30" s="54">
        <v>21752.37999999999</v>
      </c>
      <c r="DR30" s="54">
        <v>14525.819999999989</v>
      </c>
      <c r="DS30" s="54">
        <v>16501.69999999999</v>
      </c>
      <c r="DT30" s="54">
        <v>15958.83999999999</v>
      </c>
      <c r="DU30" s="54">
        <v>14894.60999999999</v>
      </c>
      <c r="DV30" s="54">
        <v>14894.60999999999</v>
      </c>
      <c r="DW30" s="54">
        <v>14525.89999999999</v>
      </c>
      <c r="DX30" s="54">
        <v>14200.39999999999</v>
      </c>
      <c r="DY30" s="54">
        <v>12940.03999999999</v>
      </c>
      <c r="DZ30" s="54">
        <v>12895.85999999999</v>
      </c>
      <c r="EA30" s="54">
        <v>12310.59999999999</v>
      </c>
      <c r="EB30" s="54">
        <v>13795.94999999999</v>
      </c>
      <c r="EC30" s="54">
        <v>6833.86999999999</v>
      </c>
      <c r="ED30" s="54">
        <v>1206.24999999999</v>
      </c>
      <c r="EE30" s="54">
        <v>2701.6399999999903</v>
      </c>
      <c r="EF30" s="54">
        <v>5259.75999999999</v>
      </c>
      <c r="EG30" s="54">
        <v>5198.82999999999</v>
      </c>
      <c r="EH30" s="54">
        <v>3722.47999999999</v>
      </c>
      <c r="EI30" s="54">
        <v>2498.40999999999</v>
      </c>
      <c r="EJ30" s="54">
        <v>5941.40999999999</v>
      </c>
      <c r="EK30" s="54">
        <v>5526.10999999999</v>
      </c>
      <c r="EL30" s="54">
        <v>5605.78999999999</v>
      </c>
      <c r="EM30" s="54">
        <v>4783.90999999999</v>
      </c>
      <c r="EN30" s="54">
        <v>6621.16999999999</v>
      </c>
      <c r="EO30" s="54">
        <v>5360.84999999999</v>
      </c>
      <c r="EP30" s="54">
        <v>5360.84999999999</v>
      </c>
      <c r="EQ30" s="54">
        <v>5360.84999999999</v>
      </c>
      <c r="ER30" s="54">
        <v>5360.84999999999</v>
      </c>
    </row>
    <row r="31" spans="1:148" ht="16">
      <c r="A31" s="45" t="s">
        <v>28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4">
        <v>0</v>
      </c>
      <c r="EG31" s="54">
        <v>0</v>
      </c>
      <c r="EH31" s="54">
        <v>0</v>
      </c>
      <c r="EI31" s="54">
        <v>0</v>
      </c>
      <c r="EJ31" s="54">
        <v>0</v>
      </c>
      <c r="EK31" s="54">
        <v>0</v>
      </c>
      <c r="EL31" s="54">
        <v>0</v>
      </c>
      <c r="EM31" s="54">
        <v>0</v>
      </c>
      <c r="EN31" s="54">
        <v>0</v>
      </c>
      <c r="EO31" s="54">
        <v>0</v>
      </c>
      <c r="EP31" s="54">
        <v>0</v>
      </c>
      <c r="EQ31" s="54">
        <v>0</v>
      </c>
      <c r="ER31" s="54">
        <v>0</v>
      </c>
    </row>
    <row r="32" spans="1:148" ht="16">
      <c r="A32" s="46" t="s">
        <v>29</v>
      </c>
      <c r="B32" s="55">
        <f>B29+B30+B31</f>
        <v>0.0</v>
      </c>
      <c r="C32" s="55">
        <f>C29+C30+C31</f>
        <v>0.0</v>
      </c>
      <c r="D32" s="55">
        <f>D29+D30+D31</f>
        <v>0.0</v>
      </c>
      <c r="E32" s="55">
        <f>E29+E30+E31</f>
        <v>0.0</v>
      </c>
      <c r="F32" s="55">
        <f>F29+F30+F31</f>
        <v>0.0</v>
      </c>
      <c r="G32" s="55">
        <f>G29+G30+G31</f>
        <v>0.0</v>
      </c>
      <c r="H32" s="55">
        <f>H29+H30+H31</f>
        <v>0.0</v>
      </c>
      <c r="I32" s="55">
        <f>I29+I30+I31</f>
        <v>0.0</v>
      </c>
      <c r="J32" s="55">
        <f>J29+J30+J31</f>
        <v>0.0</v>
      </c>
      <c r="K32" s="55">
        <f>K29+K30+K31</f>
        <v>0.0</v>
      </c>
      <c r="L32" s="55">
        <f>L29+L30+L31</f>
        <v>0.0</v>
      </c>
      <c r="M32" s="55">
        <f>M29+M30+M31</f>
        <v>0.0</v>
      </c>
      <c r="N32" s="55">
        <f>N29+N30+N31</f>
        <v>0.0</v>
      </c>
      <c r="O32" s="55">
        <f>O29+O30+O31</f>
        <v>0.0</v>
      </c>
      <c r="P32" s="55">
        <f>P29+P30+P31</f>
        <v>0.0</v>
      </c>
      <c r="Q32" s="55">
        <f>Q29+Q30+Q31</f>
        <v>0.0</v>
      </c>
      <c r="R32" s="55">
        <f>R29+R30+R31</f>
        <v>0.0</v>
      </c>
      <c r="S32" s="55">
        <f>S29+S30+S31</f>
        <v>0.0</v>
      </c>
      <c r="T32" s="55">
        <f>T29+T30+T31</f>
        <v>0.0</v>
      </c>
      <c r="U32" s="55">
        <f>U29+U30+U31</f>
        <v>0.0</v>
      </c>
      <c r="V32" s="55">
        <f>V29+V30+V31</f>
        <v>0.0</v>
      </c>
      <c r="W32" s="55">
        <f>W29+W30+W31</f>
        <v>0.0</v>
      </c>
      <c r="X32" s="55">
        <f>X29+X30+X31</f>
        <v>0.0</v>
      </c>
      <c r="Y32" s="55">
        <f>Y29+Y30+Y31</f>
        <v>0.0</v>
      </c>
      <c r="Z32" s="55">
        <f>Z29+Z30+Z31</f>
        <v>0.0</v>
      </c>
      <c r="AA32" s="55">
        <f>AA29+AA30+AA31</f>
        <v>0.0</v>
      </c>
      <c r="AB32" s="55">
        <f>AB29+AB30+AB31</f>
        <v>0.0</v>
      </c>
      <c r="AC32" s="55">
        <f>AC29+AC30+AC31</f>
        <v>0.0</v>
      </c>
      <c r="AD32" s="55">
        <f>AD29+AD30+AD31</f>
        <v>0.0</v>
      </c>
      <c r="AE32" s="55">
        <f>AE29+AE30+AE31</f>
        <v>0.0</v>
      </c>
      <c r="AF32" s="55">
        <f>AF29+AF30+AF31</f>
        <v>0.0</v>
      </c>
      <c r="AG32" s="55">
        <f>AG29+AG30+AG31</f>
        <v>0.0</v>
      </c>
      <c r="AH32" s="55">
        <f>AH29+AH30+AH31</f>
        <v>0.0</v>
      </c>
      <c r="AI32" s="55">
        <f>AI29+AI30+AI31</f>
        <v>0.0</v>
      </c>
      <c r="AJ32" s="55">
        <f>AJ29+AJ30+AJ31</f>
        <v>0.0</v>
      </c>
      <c r="AK32" s="55">
        <f>AK29+AK30+AK31</f>
        <v>0.0</v>
      </c>
      <c r="AL32" s="55">
        <f>AL29+AL30+AL31</f>
        <v>0.0</v>
      </c>
      <c r="AM32" s="55">
        <f>AM29+AM30+AM31</f>
        <v>0.0</v>
      </c>
      <c r="AN32" s="55">
        <f>AN29+AN30+AN31</f>
        <v>0.0</v>
      </c>
      <c r="AO32" s="55">
        <f>AO29+AO30+AO31</f>
        <v>0.0</v>
      </c>
      <c r="AP32" s="55">
        <f>AP29+AP30+AP31</f>
        <v>0.0</v>
      </c>
      <c r="AQ32" s="55">
        <f>AQ29+AQ30+AQ31</f>
        <v>0.0</v>
      </c>
      <c r="AR32" s="55">
        <f>AR29+AR30+AR31</f>
        <v>0.0</v>
      </c>
      <c r="AS32" s="55">
        <f>AS29+AS30+AS31</f>
        <v>0.0</v>
      </c>
      <c r="AT32" s="55">
        <f>AT29+AT30+AT31</f>
        <v>0.0</v>
      </c>
      <c r="AU32" s="55">
        <f>AU29+AU30+AU31</f>
        <v>0.0</v>
      </c>
      <c r="AV32" s="55">
        <f>AV29+AV30+AV31</f>
        <v>0.0</v>
      </c>
      <c r="AW32" s="55">
        <f>AW29+AW30+AW31</f>
        <v>0.0</v>
      </c>
      <c r="AX32" s="55">
        <f>AX29+AX30+AX31</f>
        <v>0.0</v>
      </c>
      <c r="AY32" s="55">
        <f>AY29+AY30+AY31</f>
        <v>0.0</v>
      </c>
      <c r="AZ32" s="55">
        <f>AZ29+AZ30+AZ31</f>
        <v>0.0</v>
      </c>
      <c r="BA32" s="55">
        <f>BA29+BA30+BA31</f>
        <v>0.0</v>
      </c>
      <c r="BB32" s="55">
        <f>BB29+BB30+BB31</f>
        <v>0.0</v>
      </c>
      <c r="BC32" s="55">
        <f>BC29+BC30+BC31</f>
        <v>0.0</v>
      </c>
      <c r="BD32" s="55">
        <f>BD29+BD30+BD31</f>
        <v>0.0</v>
      </c>
      <c r="BE32" s="55">
        <f>BE29+BE30+BE31</f>
        <v>0.0</v>
      </c>
      <c r="BF32" s="55">
        <f>BF29+BF30+BF31</f>
        <v>0.0</v>
      </c>
      <c r="BG32" s="55">
        <f>BG29+BG30+BG31</f>
        <v>0.0</v>
      </c>
      <c r="BH32" s="55">
        <f>BH29+BH30+BH31</f>
        <v>0.0</v>
      </c>
      <c r="BI32" s="55">
        <f>BI29+BI30+BI31</f>
        <v>0.0</v>
      </c>
      <c r="BJ32" s="55">
        <f>BJ29+BJ30+BJ31</f>
        <v>0.0</v>
      </c>
      <c r="BK32" s="55">
        <f>BK29+BK30+BK31</f>
        <v>0.0</v>
      </c>
      <c r="BL32" s="55">
        <f>BL29+BL30+BL31</f>
        <v>0.0</v>
      </c>
      <c r="BM32" s="55">
        <f>BM29+BM30+BM31</f>
        <v>0.0</v>
      </c>
      <c r="BN32" s="55">
        <f>BN29+BN30+BN31</f>
        <v>0.0</v>
      </c>
      <c r="BO32" s="55">
        <f>BO29+BO30+BO31</f>
        <v>0.0</v>
      </c>
      <c r="BP32" s="55">
        <f>BP29+BP30+BP31</f>
        <v>0.0</v>
      </c>
      <c r="BQ32" s="55">
        <f>BQ29+BQ30+BQ31</f>
        <v>0.0</v>
      </c>
      <c r="BR32" s="55">
        <f>BR29+BR30+BR31</f>
        <v>0.0</v>
      </c>
      <c r="BS32" s="55">
        <f>BS29+BS30+BS31</f>
        <v>0.0</v>
      </c>
      <c r="BT32" s="55">
        <f>BT29+BT30+BT31</f>
        <v>0.0</v>
      </c>
      <c r="BU32" s="55">
        <f>BU29+BU30+BU31</f>
        <v>0.0</v>
      </c>
      <c r="BV32" s="55">
        <f>BV29+BV30+BV31</f>
        <v>0.0</v>
      </c>
      <c r="BW32" s="55">
        <f>BW29+BW30+BW31</f>
        <v>0.0</v>
      </c>
      <c r="BX32" s="55">
        <f>BX29+BX30+BX31</f>
        <v>0.0</v>
      </c>
      <c r="BY32" s="55">
        <f>BY29+BY30+BY31</f>
        <v>0.0</v>
      </c>
      <c r="BZ32" s="55">
        <f>BZ29+BZ30+BZ31</f>
        <v>0.0</v>
      </c>
      <c r="CA32" s="55">
        <f>CA29+CA30+CA31</f>
        <v>0.0</v>
      </c>
      <c r="CB32" s="55">
        <f>CB29+CB30+CB31</f>
        <v>0.0</v>
      </c>
      <c r="CC32" s="55">
        <f>CC29+CC30+CC31</f>
        <v>0.0</v>
      </c>
      <c r="CD32" s="55">
        <f>CD29+CD30+CD31</f>
        <v>0.0</v>
      </c>
      <c r="CE32" s="55">
        <f>CE29+CE30+CE31</f>
        <v>0.0</v>
      </c>
      <c r="CF32" s="55">
        <f>CF29+CF30+CF31</f>
        <v>0.0</v>
      </c>
      <c r="CG32" s="55">
        <f>CG29+CG30+CG31</f>
        <v>0.0</v>
      </c>
      <c r="CH32" s="55">
        <f>CH29+CH30+CH31</f>
        <v>0.0</v>
      </c>
      <c r="CI32" s="55">
        <f>CI29+CI30+CI31</f>
        <v>0.0</v>
      </c>
      <c r="CJ32" s="55">
        <f>CJ29+CJ30+CJ31</f>
        <v>0.0</v>
      </c>
      <c r="CK32" s="55">
        <f>CK29+CK30+CK31</f>
        <v>0.0</v>
      </c>
      <c r="CL32" s="55">
        <f>CL29+CL30+CL31</f>
        <v>0.0</v>
      </c>
      <c r="CM32" s="55">
        <f>CM29+CM30+CM31</f>
        <v>0.0</v>
      </c>
      <c r="CN32" s="55">
        <f>CN29+CN30+CN31</f>
        <v>0.0</v>
      </c>
      <c r="CO32" s="55">
        <f>CO29+CO30+CO31</f>
        <v>0.0</v>
      </c>
      <c r="CP32" s="55">
        <f>CP29+CP30+CP31</f>
        <v>0.0</v>
      </c>
      <c r="CQ32" s="55">
        <f>CQ29+CQ30+CQ31</f>
        <v>0.0</v>
      </c>
      <c r="CR32" s="55">
        <f>CR29+CR30+CR31</f>
        <v>0.0</v>
      </c>
      <c r="CS32" s="55">
        <f>CS29+CS30+CS31</f>
        <v>0.0</v>
      </c>
      <c r="CT32" s="55">
        <f>CT29+CT30+CT31</f>
        <v>0.0</v>
      </c>
      <c r="CU32" s="55">
        <f>CU29+CU30+CU31</f>
        <v>0.0</v>
      </c>
      <c r="CV32" s="55">
        <f>CV29+CV30+CV31</f>
        <v>0.0</v>
      </c>
      <c r="CW32" s="55">
        <f>CW29+CW30+CW31</f>
        <v>0.0</v>
      </c>
      <c r="CX32" s="55">
        <f>CX29+CX30+CX31</f>
        <v>0.0</v>
      </c>
      <c r="CY32" s="55">
        <f>CY29+CY30+CY31</f>
        <v>0.0</v>
      </c>
      <c r="CZ32" s="55">
        <f>CZ29+CZ30+CZ31</f>
        <v>0.0</v>
      </c>
      <c r="DA32" s="55">
        <f>DA29+DA30+DA31</f>
        <v>0.0</v>
      </c>
      <c r="DB32" s="55">
        <f>DB29+DB30+DB31</f>
        <v>48818.33</v>
      </c>
      <c r="DC32" s="55">
        <f>DC29+DC30+DC31</f>
        <v>79237.0</v>
      </c>
      <c r="DD32" s="55">
        <f>DD29+DD30+DD31</f>
        <v>87044.2</v>
      </c>
      <c r="DE32" s="55">
        <f>DE29+DE30+DE31</f>
        <v>94614.0</v>
      </c>
      <c r="DF32" s="55">
        <f>DF29+DF30+DF31</f>
        <v>96420.0</v>
      </c>
      <c r="DG32" s="55">
        <f>DG29+DG30+DG31</f>
        <v>4141.149999999994</v>
      </c>
      <c r="DH32" s="55">
        <f>DH29+DH30+DH31</f>
        <v>46925.509999999995</v>
      </c>
      <c r="DI32" s="55">
        <f>DI29+DI30+DI31</f>
        <v>54840.85999999999</v>
      </c>
      <c r="DJ32" s="55">
        <f>DJ29+DJ30+DJ31</f>
        <v>35908.899999999994</v>
      </c>
      <c r="DK32" s="55">
        <f>DK29+DK30+DK31</f>
        <v>34526.91999999999</v>
      </c>
      <c r="DL32" s="55">
        <f>DL29+DL30+DL31</f>
        <v>36621.34999999999</v>
      </c>
      <c r="DM32" s="55">
        <f>DM29+DM30+DM31</f>
        <v>32788.27999999999</v>
      </c>
      <c r="DN32" s="55">
        <f>DN29+DN30+DN31</f>
        <v>29355.96999999999</v>
      </c>
      <c r="DO32" s="55">
        <f>DO29+DO30+DO31</f>
        <v>26998.81999999999</v>
      </c>
      <c r="DP32" s="55">
        <f>DP29+DP30+DP31</f>
        <v>26546.14999999999</v>
      </c>
      <c r="DQ32" s="55">
        <f>DQ29+DQ30+DQ31</f>
        <v>21752.37999999999</v>
      </c>
      <c r="DR32" s="55">
        <f>DR29+DR30+DR31</f>
        <v>14525.819999999989</v>
      </c>
      <c r="DS32" s="55">
        <f>DS29+DS30+DS31</f>
        <v>16501.69999999999</v>
      </c>
      <c r="DT32" s="55">
        <f>DT29+DT30+DT31</f>
        <v>15958.83999999999</v>
      </c>
      <c r="DU32" s="55">
        <f>DU29+DU30+DU31</f>
        <v>14894.60999999999</v>
      </c>
      <c r="DV32" s="55">
        <f>DV29+DV30+DV31</f>
        <v>14894.60999999999</v>
      </c>
      <c r="DW32" s="55">
        <f>DW29+DW30+DW31</f>
        <v>14525.89999999999</v>
      </c>
      <c r="DX32" s="55">
        <f>DX29+DX30+DX31</f>
        <v>14200.39999999999</v>
      </c>
      <c r="DY32" s="55">
        <f>DY29+DY30+DY31</f>
        <v>12940.03999999999</v>
      </c>
      <c r="DZ32" s="55">
        <f>DZ29+DZ30+DZ31</f>
        <v>12895.85999999999</v>
      </c>
      <c r="EA32" s="55">
        <f>EA29+EA30+EA31</f>
        <v>12310.59999999999</v>
      </c>
      <c r="EB32" s="55">
        <f>EB29+EB30+EB31</f>
        <v>13795.94999999999</v>
      </c>
      <c r="EC32" s="55">
        <f>EC29+EC30+EC31</f>
        <v>6833.86999999999</v>
      </c>
      <c r="ED32" s="55">
        <f>ED29+ED30+ED31</f>
        <v>1206.24999999999</v>
      </c>
      <c r="EE32" s="55">
        <f>EE29+EE30+EE31</f>
        <v>2701.6399999999903</v>
      </c>
      <c r="EF32" s="55">
        <f>EF29+EF30+EF31</f>
        <v>5259.75999999999</v>
      </c>
      <c r="EG32" s="55">
        <f>EG29+EG30+EG31</f>
        <v>5198.82999999999</v>
      </c>
      <c r="EH32" s="55">
        <f>EH29+EH30+EH31</f>
        <v>3722.47999999999</v>
      </c>
      <c r="EI32" s="55">
        <f>EI29+EI30+EI31</f>
        <v>2498.40999999999</v>
      </c>
      <c r="EJ32" s="55">
        <f>EJ29+EJ30+EJ31</f>
        <v>5941.40999999999</v>
      </c>
      <c r="EK32" s="55">
        <f>EK29+EK30+EK31</f>
        <v>5526.10999999999</v>
      </c>
      <c r="EL32" s="55">
        <f>EL29+EL30+EL31</f>
        <v>5605.78999999999</v>
      </c>
      <c r="EM32" s="55">
        <f>EM29+EM30+EM31</f>
        <v>4783.90999999999</v>
      </c>
      <c r="EN32" s="55">
        <f>EN29+EN30+EN31</f>
        <v>6621.16999999999</v>
      </c>
      <c r="EO32" s="55">
        <f>EO29+EO30+EO31</f>
        <v>5360.84999999999</v>
      </c>
      <c r="EP32" s="55">
        <f>EP29+EP30+EP31</f>
        <v>5360.84999999999</v>
      </c>
      <c r="EQ32" s="55">
        <f>EQ29+EQ30+EQ31</f>
        <v>5360.84999999999</v>
      </c>
      <c r="ER32" s="55">
        <f>ER29+ER30+ER31</f>
        <v>5360.84999999999</v>
      </c>
    </row>
    <row r="33" spans="1:148" ht="16">
      <c r="A33" s="44" t="s">
        <v>30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4">
        <v>14027.2</v>
      </c>
      <c r="EG33" s="54">
        <v>13274.26</v>
      </c>
      <c r="EH33" s="54">
        <v>0</v>
      </c>
      <c r="EI33" s="54">
        <v>0</v>
      </c>
      <c r="EJ33" s="54">
        <v>0</v>
      </c>
      <c r="EK33" s="54">
        <v>0</v>
      </c>
      <c r="EL33" s="54">
        <v>0</v>
      </c>
      <c r="EM33" s="54">
        <v>0</v>
      </c>
      <c r="EN33" s="54">
        <v>0</v>
      </c>
      <c r="EO33" s="54">
        <v>0</v>
      </c>
      <c r="EP33" s="54">
        <v>0</v>
      </c>
      <c r="EQ33" s="54">
        <v>0</v>
      </c>
      <c r="ER33" s="54">
        <v>0</v>
      </c>
    </row>
    <row r="34" spans="1:148" ht="16">
      <c r="A34" s="44" t="s">
        <v>31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4">
        <v>51467.39</v>
      </c>
      <c r="CE34" s="54">
        <v>35411.36</v>
      </c>
      <c r="CF34" s="54">
        <v>22035.190000000002</v>
      </c>
      <c r="CG34" s="54">
        <v>22739.530000000002</v>
      </c>
      <c r="CH34" s="54">
        <v>37455.66</v>
      </c>
      <c r="CI34" s="54">
        <v>48576.72</v>
      </c>
      <c r="CJ34" s="54">
        <v>36258.12</v>
      </c>
      <c r="CK34" s="54">
        <v>62254.68000000001</v>
      </c>
      <c r="CL34" s="54">
        <v>72427.74</v>
      </c>
      <c r="CM34" s="54">
        <v>109052.89000000001</v>
      </c>
      <c r="CN34" s="54">
        <v>63002.640000000014</v>
      </c>
      <c r="CO34" s="54">
        <v>90420.72000000002</v>
      </c>
      <c r="CP34" s="54">
        <v>136143.90000000002</v>
      </c>
      <c r="CQ34" s="54">
        <v>103533.21000000002</v>
      </c>
      <c r="CR34" s="54">
        <v>154535.41000000003</v>
      </c>
      <c r="CS34" s="54">
        <v>314251.12</v>
      </c>
      <c r="CT34" s="54">
        <v>270800.23</v>
      </c>
      <c r="CU34" s="54">
        <v>273155.70999999996</v>
      </c>
      <c r="CV34" s="54">
        <v>307416.05999999994</v>
      </c>
      <c r="CW34" s="54">
        <v>271259.57999999996</v>
      </c>
      <c r="CX34" s="54">
        <v>234408.14999999997</v>
      </c>
      <c r="CY34" s="54">
        <v>248008.83999999997</v>
      </c>
      <c r="CZ34" s="54">
        <v>215959.98999999996</v>
      </c>
      <c r="DA34" s="54">
        <v>182197.10999999996</v>
      </c>
      <c r="DB34" s="54">
        <v>195987.19999999995</v>
      </c>
      <c r="DC34" s="54">
        <v>245249.62999999995</v>
      </c>
      <c r="DD34" s="54">
        <v>277548.51999999996</v>
      </c>
      <c r="DE34" s="54">
        <v>285123.61</v>
      </c>
      <c r="DF34" s="54">
        <v>222457.12999999998</v>
      </c>
      <c r="DG34" s="54">
        <v>224576.72999999998</v>
      </c>
      <c r="DH34" s="54">
        <v>207639.91999999998</v>
      </c>
      <c r="DI34" s="54">
        <v>196537.31999999998</v>
      </c>
      <c r="DJ34" s="54">
        <v>154769.95999999996</v>
      </c>
      <c r="DK34" s="54">
        <v>153614.55999999997</v>
      </c>
      <c r="DL34" s="54">
        <v>205132.97999999998</v>
      </c>
      <c r="DM34" s="54">
        <v>147086.44999999998</v>
      </c>
      <c r="DN34" s="54">
        <v>119979.20999999998</v>
      </c>
      <c r="DO34" s="54">
        <v>110864.74999999997</v>
      </c>
      <c r="DP34" s="54">
        <v>112961.55999999997</v>
      </c>
      <c r="DQ34" s="54">
        <v>99705.21999999997</v>
      </c>
      <c r="DR34" s="54">
        <v>-570.0000000000291</v>
      </c>
      <c r="DS34" s="54">
        <v>-582.0000000000291</v>
      </c>
      <c r="DT34" s="54">
        <v>-702.0000000000291</v>
      </c>
      <c r="DU34" s="54">
        <v>-732.0000000000291</v>
      </c>
      <c r="DV34" s="54">
        <v>-732.0000000000291</v>
      </c>
      <c r="DW34" s="54">
        <v>-792.0000000000291</v>
      </c>
      <c r="DX34" s="54">
        <v>-792.0000000000291</v>
      </c>
      <c r="DY34" s="54">
        <v>-822.0000000000291</v>
      </c>
      <c r="DZ34" s="54">
        <v>-918.0000000000291</v>
      </c>
      <c r="EA34" s="54">
        <v>-918.0000000000291</v>
      </c>
      <c r="EB34" s="54">
        <v>-918.0000000000291</v>
      </c>
      <c r="EC34" s="54">
        <v>-2.9103830456733704E-11</v>
      </c>
      <c r="ED34" s="54">
        <v>-2.9103830456733704E-11</v>
      </c>
      <c r="EE34" s="54">
        <v>-2.9103830456733704E-11</v>
      </c>
      <c r="EF34" s="54">
        <v>-2.9103830456733704E-11</v>
      </c>
      <c r="EG34" s="54">
        <v>-2.9103830456733704E-11</v>
      </c>
      <c r="EH34" s="54">
        <v>-2.9103830456733704E-11</v>
      </c>
      <c r="EI34" s="54">
        <v>-2.9103830456733704E-11</v>
      </c>
      <c r="EJ34" s="54">
        <v>-2.9103830456733704E-11</v>
      </c>
      <c r="EK34" s="54">
        <v>-2.9103830456733704E-11</v>
      </c>
      <c r="EL34" s="54">
        <v>-2.9103830456733704E-11</v>
      </c>
      <c r="EM34" s="54">
        <v>-2.9103830456733704E-11</v>
      </c>
      <c r="EN34" s="54">
        <v>-2.9103830456733704E-11</v>
      </c>
      <c r="EO34" s="54">
        <v>-2.9103830456733704E-11</v>
      </c>
      <c r="EP34" s="54">
        <v>-12155.990000000029</v>
      </c>
      <c r="EQ34" s="54">
        <v>-12155.990000000029</v>
      </c>
      <c r="ER34" s="54">
        <v>-12452.27000000003</v>
      </c>
    </row>
    <row r="35" spans="1:148" ht="16">
      <c r="A35" s="45" t="s">
        <v>32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4">
        <v>68288.05</v>
      </c>
      <c r="DS35" s="54">
        <v>65579.2</v>
      </c>
      <c r="DT35" s="54">
        <v>60025.549999999996</v>
      </c>
      <c r="DU35" s="54">
        <v>56122.409999999996</v>
      </c>
      <c r="DV35" s="54">
        <v>57520.21</v>
      </c>
      <c r="DW35" s="54">
        <v>54153.84</v>
      </c>
      <c r="DX35" s="54">
        <v>54649.42</v>
      </c>
      <c r="DY35" s="54">
        <v>54302.03</v>
      </c>
      <c r="DZ35" s="54">
        <v>54145.88</v>
      </c>
      <c r="EA35" s="54">
        <v>51556.689999999995</v>
      </c>
      <c r="EB35" s="54">
        <v>51596.85</v>
      </c>
      <c r="EC35" s="54">
        <v>29443.989999999998</v>
      </c>
      <c r="ED35" s="54">
        <v>33306.43</v>
      </c>
      <c r="EE35" s="54">
        <v>35256.6</v>
      </c>
      <c r="EF35" s="54">
        <v>35511.049999999996</v>
      </c>
      <c r="EG35" s="54">
        <v>33343.56</v>
      </c>
      <c r="EH35" s="54">
        <v>33489.35</v>
      </c>
      <c r="EI35" s="54">
        <v>30221.93</v>
      </c>
      <c r="EJ35" s="54">
        <v>32529.9</v>
      </c>
      <c r="EK35" s="54">
        <v>31974.77</v>
      </c>
      <c r="EL35" s="54">
        <v>31903.14</v>
      </c>
      <c r="EM35" s="54">
        <v>31500.01</v>
      </c>
      <c r="EN35" s="54">
        <v>30686.84</v>
      </c>
      <c r="EO35" s="54">
        <v>7740.869999999999</v>
      </c>
      <c r="EP35" s="54">
        <v>7740.869999999999</v>
      </c>
      <c r="EQ35" s="54">
        <v>7740.869999999999</v>
      </c>
      <c r="ER35" s="54">
        <v>7740.869999999999</v>
      </c>
    </row>
    <row r="36" spans="1:148" ht="16">
      <c r="A36" s="45" t="s">
        <v>33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4">
        <v>53082.07</v>
      </c>
      <c r="DS36" s="54">
        <v>42113.49</v>
      </c>
      <c r="DT36" s="54">
        <v>19644.789999999997</v>
      </c>
      <c r="DU36" s="54">
        <v>13794.959999999997</v>
      </c>
      <c r="DV36" s="54">
        <v>10637.209999999997</v>
      </c>
      <c r="DW36" s="54">
        <v>26878.14</v>
      </c>
      <c r="DX36" s="54">
        <v>25058.739999999998</v>
      </c>
      <c r="DY36" s="54">
        <v>26989.8</v>
      </c>
      <c r="DZ36" s="54">
        <v>22579.39</v>
      </c>
      <c r="EA36" s="54">
        <v>23608.66</v>
      </c>
      <c r="EB36" s="54">
        <v>7743.3099999999995</v>
      </c>
      <c r="EC36" s="54">
        <v>9881.759999999998</v>
      </c>
      <c r="ED36" s="54">
        <v>9130.409999999998</v>
      </c>
      <c r="EE36" s="54">
        <v>29167.579999999994</v>
      </c>
      <c r="EF36" s="54">
        <v>37614.229999999996</v>
      </c>
      <c r="EG36" s="54">
        <v>32598.069999999996</v>
      </c>
      <c r="EH36" s="54">
        <v>30900.539999999997</v>
      </c>
      <c r="EI36" s="54">
        <v>49412.049999999996</v>
      </c>
      <c r="EJ36" s="54">
        <v>26648.319999999996</v>
      </c>
      <c r="EK36" s="54">
        <v>36794.27</v>
      </c>
      <c r="EL36" s="54">
        <v>32791.829999999994</v>
      </c>
      <c r="EM36" s="54">
        <v>43271.85999999999</v>
      </c>
      <c r="EN36" s="54">
        <v>30889.179999999993</v>
      </c>
      <c r="EO36" s="54">
        <v>41533.85999999999</v>
      </c>
      <c r="EP36" s="54">
        <v>41533.85999999999</v>
      </c>
      <c r="EQ36" s="54">
        <v>41533.85999999999</v>
      </c>
      <c r="ER36" s="54">
        <v>41533.85999999999</v>
      </c>
    </row>
    <row r="37" spans="1:148" ht="16">
      <c r="A37" s="46" t="s">
        <v>34</v>
      </c>
      <c r="B37" s="55">
        <f>B34+B35+B36</f>
        <v>0.0</v>
      </c>
      <c r="C37" s="55">
        <f>C34+C35+C36</f>
        <v>0.0</v>
      </c>
      <c r="D37" s="55">
        <f>D34+D35+D36</f>
        <v>0.0</v>
      </c>
      <c r="E37" s="55">
        <f>E34+E35+E36</f>
        <v>0.0</v>
      </c>
      <c r="F37" s="55">
        <f>F34+F35+F36</f>
        <v>0.0</v>
      </c>
      <c r="G37" s="55">
        <f>G34+G35+G36</f>
        <v>0.0</v>
      </c>
      <c r="H37" s="55">
        <f>H34+H35+H36</f>
        <v>0.0</v>
      </c>
      <c r="I37" s="55">
        <f>I34+I35+I36</f>
        <v>0.0</v>
      </c>
      <c r="J37" s="55">
        <f>J34+J35+J36</f>
        <v>0.0</v>
      </c>
      <c r="K37" s="55">
        <f>K34+K35+K36</f>
        <v>0.0</v>
      </c>
      <c r="L37" s="55">
        <f>L34+L35+L36</f>
        <v>0.0</v>
      </c>
      <c r="M37" s="55">
        <f>M34+M35+M36</f>
        <v>0.0</v>
      </c>
      <c r="N37" s="55">
        <f>N34+N35+N36</f>
        <v>0.0</v>
      </c>
      <c r="O37" s="55">
        <f>O34+O35+O36</f>
        <v>0.0</v>
      </c>
      <c r="P37" s="55">
        <f>P34+P35+P36</f>
        <v>0.0</v>
      </c>
      <c r="Q37" s="55">
        <f>Q34+Q35+Q36</f>
        <v>0.0</v>
      </c>
      <c r="R37" s="55">
        <f>R34+R35+R36</f>
        <v>0.0</v>
      </c>
      <c r="S37" s="55">
        <f>S34+S35+S36</f>
        <v>0.0</v>
      </c>
      <c r="T37" s="55">
        <f>T34+T35+T36</f>
        <v>0.0</v>
      </c>
      <c r="U37" s="55">
        <f>U34+U35+U36</f>
        <v>0.0</v>
      </c>
      <c r="V37" s="55">
        <f>V34+V35+V36</f>
        <v>0.0</v>
      </c>
      <c r="W37" s="55">
        <f>W34+W35+W36</f>
        <v>0.0</v>
      </c>
      <c r="X37" s="55">
        <f>X34+X35+X36</f>
        <v>0.0</v>
      </c>
      <c r="Y37" s="55">
        <f>Y34+Y35+Y36</f>
        <v>0.0</v>
      </c>
      <c r="Z37" s="55">
        <f>Z34+Z35+Z36</f>
        <v>0.0</v>
      </c>
      <c r="AA37" s="55">
        <f>AA34+AA35+AA36</f>
        <v>0.0</v>
      </c>
      <c r="AB37" s="55">
        <f>AB34+AB35+AB36</f>
        <v>0.0</v>
      </c>
      <c r="AC37" s="55">
        <f>AC34+AC35+AC36</f>
        <v>0.0</v>
      </c>
      <c r="AD37" s="55">
        <f>AD34+AD35+AD36</f>
        <v>0.0</v>
      </c>
      <c r="AE37" s="55">
        <f>AE34+AE35+AE36</f>
        <v>0.0</v>
      </c>
      <c r="AF37" s="55">
        <f>AF34+AF35+AF36</f>
        <v>0.0</v>
      </c>
      <c r="AG37" s="55">
        <f>AG34+AG35+AG36</f>
        <v>0.0</v>
      </c>
      <c r="AH37" s="55">
        <f>AH34+AH35+AH36</f>
        <v>0.0</v>
      </c>
      <c r="AI37" s="55">
        <f>AI34+AI35+AI36</f>
        <v>0.0</v>
      </c>
      <c r="AJ37" s="55">
        <f>AJ34+AJ35+AJ36</f>
        <v>0.0</v>
      </c>
      <c r="AK37" s="55">
        <f>AK34+AK35+AK36</f>
        <v>0.0</v>
      </c>
      <c r="AL37" s="55">
        <f>AL34+AL35+AL36</f>
        <v>0.0</v>
      </c>
      <c r="AM37" s="55">
        <f>AM34+AM35+AM36</f>
        <v>0.0</v>
      </c>
      <c r="AN37" s="55">
        <f>AN34+AN35+AN36</f>
        <v>0.0</v>
      </c>
      <c r="AO37" s="55">
        <f>AO34+AO35+AO36</f>
        <v>0.0</v>
      </c>
      <c r="AP37" s="55">
        <f>AP34+AP35+AP36</f>
        <v>0.0</v>
      </c>
      <c r="AQ37" s="55">
        <f>AQ34+AQ35+AQ36</f>
        <v>0.0</v>
      </c>
      <c r="AR37" s="55">
        <f>AR34+AR35+AR36</f>
        <v>0.0</v>
      </c>
      <c r="AS37" s="55">
        <f>AS34+AS35+AS36</f>
        <v>0.0</v>
      </c>
      <c r="AT37" s="55">
        <f>AT34+AT35+AT36</f>
        <v>0.0</v>
      </c>
      <c r="AU37" s="55">
        <f>AU34+AU35+AU36</f>
        <v>0.0</v>
      </c>
      <c r="AV37" s="55">
        <f>AV34+AV35+AV36</f>
        <v>0.0</v>
      </c>
      <c r="AW37" s="55">
        <f>AW34+AW35+AW36</f>
        <v>0.0</v>
      </c>
      <c r="AX37" s="55">
        <f>AX34+AX35+AX36</f>
        <v>0.0</v>
      </c>
      <c r="AY37" s="55">
        <f>AY34+AY35+AY36</f>
        <v>0.0</v>
      </c>
      <c r="AZ37" s="55">
        <f>AZ34+AZ35+AZ36</f>
        <v>0.0</v>
      </c>
      <c r="BA37" s="55">
        <f>BA34+BA35+BA36</f>
        <v>0.0</v>
      </c>
      <c r="BB37" s="55">
        <f>BB34+BB35+BB36</f>
        <v>0.0</v>
      </c>
      <c r="BC37" s="55">
        <f>BC34+BC35+BC36</f>
        <v>0.0</v>
      </c>
      <c r="BD37" s="55">
        <f>BD34+BD35+BD36</f>
        <v>0.0</v>
      </c>
      <c r="BE37" s="55">
        <f>BE34+BE35+BE36</f>
        <v>0.0</v>
      </c>
      <c r="BF37" s="55">
        <f>BF34+BF35+BF36</f>
        <v>0.0</v>
      </c>
      <c r="BG37" s="55">
        <f>BG34+BG35+BG36</f>
        <v>0.0</v>
      </c>
      <c r="BH37" s="55">
        <f>BH34+BH35+BH36</f>
        <v>0.0</v>
      </c>
      <c r="BI37" s="55">
        <f>BI34+BI35+BI36</f>
        <v>0.0</v>
      </c>
      <c r="BJ37" s="55">
        <f>BJ34+BJ35+BJ36</f>
        <v>0.0</v>
      </c>
      <c r="BK37" s="55">
        <f>BK34+BK35+BK36</f>
        <v>0.0</v>
      </c>
      <c r="BL37" s="55">
        <f>BL34+BL35+BL36</f>
        <v>0.0</v>
      </c>
      <c r="BM37" s="55">
        <f>BM34+BM35+BM36</f>
        <v>0.0</v>
      </c>
      <c r="BN37" s="55">
        <f>BN34+BN35+BN36</f>
        <v>0.0</v>
      </c>
      <c r="BO37" s="55">
        <f>BO34+BO35+BO36</f>
        <v>0.0</v>
      </c>
      <c r="BP37" s="55">
        <f>BP34+BP35+BP36</f>
        <v>0.0</v>
      </c>
      <c r="BQ37" s="55">
        <f>BQ34+BQ35+BQ36</f>
        <v>0.0</v>
      </c>
      <c r="BR37" s="55">
        <f>BR34+BR35+BR36</f>
        <v>0.0</v>
      </c>
      <c r="BS37" s="55">
        <f>BS34+BS35+BS36</f>
        <v>0.0</v>
      </c>
      <c r="BT37" s="55">
        <f>BT34+BT35+BT36</f>
        <v>0.0</v>
      </c>
      <c r="BU37" s="55">
        <f>BU34+BU35+BU36</f>
        <v>0.0</v>
      </c>
      <c r="BV37" s="55">
        <f>BV34+BV35+BV36</f>
        <v>0.0</v>
      </c>
      <c r="BW37" s="55">
        <f>BW34+BW35+BW36</f>
        <v>0.0</v>
      </c>
      <c r="BX37" s="55">
        <f>BX34+BX35+BX36</f>
        <v>0.0</v>
      </c>
      <c r="BY37" s="55">
        <f>BY34+BY35+BY36</f>
        <v>0.0</v>
      </c>
      <c r="BZ37" s="55">
        <f>BZ34+BZ35+BZ36</f>
        <v>0.0</v>
      </c>
      <c r="CA37" s="55">
        <f>CA34+CA35+CA36</f>
        <v>0.0</v>
      </c>
      <c r="CB37" s="55">
        <f>CB34+CB35+CB36</f>
        <v>0.0</v>
      </c>
      <c r="CC37" s="55">
        <f>CC34+CC35+CC36</f>
        <v>0.0</v>
      </c>
      <c r="CD37" s="55">
        <f>CD34+CD35+CD36</f>
        <v>51467.39</v>
      </c>
      <c r="CE37" s="55">
        <f>CE34+CE35+CE36</f>
        <v>35411.36</v>
      </c>
      <c r="CF37" s="55">
        <f>CF34+CF35+CF36</f>
        <v>22035.190000000002</v>
      </c>
      <c r="CG37" s="55">
        <f>CG34+CG35+CG36</f>
        <v>22739.530000000002</v>
      </c>
      <c r="CH37" s="55">
        <f>CH34+CH35+CH36</f>
        <v>37455.66</v>
      </c>
      <c r="CI37" s="55">
        <f>CI34+CI35+CI36</f>
        <v>48576.72</v>
      </c>
      <c r="CJ37" s="55">
        <f>CJ34+CJ35+CJ36</f>
        <v>36258.12</v>
      </c>
      <c r="CK37" s="55">
        <f>CK34+CK35+CK36</f>
        <v>62254.68000000001</v>
      </c>
      <c r="CL37" s="55">
        <f>CL34+CL35+CL36</f>
        <v>72427.74</v>
      </c>
      <c r="CM37" s="55">
        <f>CM34+CM35+CM36</f>
        <v>109052.89000000001</v>
      </c>
      <c r="CN37" s="55">
        <f>CN34+CN35+CN36</f>
        <v>63002.640000000014</v>
      </c>
      <c r="CO37" s="55">
        <f>CO34+CO35+CO36</f>
        <v>90420.72000000002</v>
      </c>
      <c r="CP37" s="55">
        <f>CP34+CP35+CP36</f>
        <v>136143.90000000002</v>
      </c>
      <c r="CQ37" s="55">
        <f>CQ34+CQ35+CQ36</f>
        <v>103533.21000000002</v>
      </c>
      <c r="CR37" s="55">
        <f>CR34+CR35+CR36</f>
        <v>154535.41000000003</v>
      </c>
      <c r="CS37" s="55">
        <f>CS34+CS35+CS36</f>
        <v>314251.12</v>
      </c>
      <c r="CT37" s="55">
        <f>CT34+CT35+CT36</f>
        <v>270800.23</v>
      </c>
      <c r="CU37" s="55">
        <f>CU34+CU35+CU36</f>
        <v>273155.70999999996</v>
      </c>
      <c r="CV37" s="55">
        <f>CV34+CV35+CV36</f>
        <v>307416.05999999994</v>
      </c>
      <c r="CW37" s="55">
        <f>CW34+CW35+CW36</f>
        <v>271259.57999999996</v>
      </c>
      <c r="CX37" s="55">
        <f>CX34+CX35+CX36</f>
        <v>234408.14999999997</v>
      </c>
      <c r="CY37" s="55">
        <f>CY34+CY35+CY36</f>
        <v>248008.83999999997</v>
      </c>
      <c r="CZ37" s="55">
        <f>CZ34+CZ35+CZ36</f>
        <v>215959.98999999996</v>
      </c>
      <c r="DA37" s="55">
        <f>DA34+DA35+DA36</f>
        <v>182197.10999999996</v>
      </c>
      <c r="DB37" s="55">
        <f>DB34+DB35+DB36</f>
        <v>195987.19999999995</v>
      </c>
      <c r="DC37" s="55">
        <f>DC34+DC35+DC36</f>
        <v>245249.62999999995</v>
      </c>
      <c r="DD37" s="55">
        <f>DD34+DD35+DD36</f>
        <v>277548.51999999996</v>
      </c>
      <c r="DE37" s="55">
        <f>DE34+DE35+DE36</f>
        <v>285123.61</v>
      </c>
      <c r="DF37" s="55">
        <f>DF34+DF35+DF36</f>
        <v>222457.12999999998</v>
      </c>
      <c r="DG37" s="55">
        <f>DG34+DG35+DG36</f>
        <v>224576.72999999998</v>
      </c>
      <c r="DH37" s="55">
        <f>DH34+DH35+DH36</f>
        <v>207639.91999999998</v>
      </c>
      <c r="DI37" s="55">
        <f>DI34+DI35+DI36</f>
        <v>196537.31999999998</v>
      </c>
      <c r="DJ37" s="55">
        <f>DJ34+DJ35+DJ36</f>
        <v>154769.95999999996</v>
      </c>
      <c r="DK37" s="55">
        <f>DK34+DK35+DK36</f>
        <v>153614.55999999997</v>
      </c>
      <c r="DL37" s="55">
        <f>DL34+DL35+DL36</f>
        <v>205132.97999999998</v>
      </c>
      <c r="DM37" s="55">
        <f>DM34+DM35+DM36</f>
        <v>147086.44999999998</v>
      </c>
      <c r="DN37" s="55">
        <f>DN34+DN35+DN36</f>
        <v>119979.20999999998</v>
      </c>
      <c r="DO37" s="55">
        <f>DO34+DO35+DO36</f>
        <v>110864.74999999997</v>
      </c>
      <c r="DP37" s="55">
        <f>DP34+DP35+DP36</f>
        <v>112961.55999999997</v>
      </c>
      <c r="DQ37" s="55">
        <f>DQ34+DQ35+DQ36</f>
        <v>99705.21999999997</v>
      </c>
      <c r="DR37" s="55">
        <f>DR34+DR35+DR36</f>
        <v>120800.11999999997</v>
      </c>
      <c r="DS37" s="55">
        <f>DS34+DS35+DS36</f>
        <v>107110.68999999997</v>
      </c>
      <c r="DT37" s="55">
        <f>DT34+DT35+DT36</f>
        <v>78968.33999999997</v>
      </c>
      <c r="DU37" s="55">
        <f>DU34+DU35+DU36</f>
        <v>69185.36999999997</v>
      </c>
      <c r="DV37" s="55">
        <f>DV34+DV35+DV36</f>
        <v>67425.41999999997</v>
      </c>
      <c r="DW37" s="55">
        <f>DW34+DW35+DW36</f>
        <v>80239.97999999997</v>
      </c>
      <c r="DX37" s="55">
        <f>DX34+DX35+DX36</f>
        <v>78916.15999999997</v>
      </c>
      <c r="DY37" s="55">
        <f>DY34+DY35+DY36</f>
        <v>80469.82999999997</v>
      </c>
      <c r="DZ37" s="55">
        <f>DZ34+DZ35+DZ36</f>
        <v>75807.26999999996</v>
      </c>
      <c r="EA37" s="55">
        <f>EA34+EA35+EA36</f>
        <v>74247.34999999996</v>
      </c>
      <c r="EB37" s="55">
        <f>EB34+EB35+EB36</f>
        <v>58422.15999999997</v>
      </c>
      <c r="EC37" s="55">
        <f>EC34+EC35+EC36</f>
        <v>39325.74999999997</v>
      </c>
      <c r="ED37" s="55">
        <f>ED34+ED35+ED36</f>
        <v>42436.83999999997</v>
      </c>
      <c r="EE37" s="55">
        <f>EE34+EE35+EE36</f>
        <v>64424.179999999964</v>
      </c>
      <c r="EF37" s="55">
        <f>EF34+EF35+EF36</f>
        <v>73125.27999999997</v>
      </c>
      <c r="EG37" s="55">
        <f>EG34+EG35+EG36</f>
        <v>65941.62999999996</v>
      </c>
      <c r="EH37" s="55">
        <f>EH34+EH35+EH36</f>
        <v>64389.88999999997</v>
      </c>
      <c r="EI37" s="55">
        <f>EI34+EI35+EI36</f>
        <v>79633.97999999997</v>
      </c>
      <c r="EJ37" s="55">
        <f>EJ34+EJ35+EJ36</f>
        <v>59178.21999999997</v>
      </c>
      <c r="EK37" s="55">
        <f>EK34+EK35+EK36</f>
        <v>68769.03999999996</v>
      </c>
      <c r="EL37" s="55">
        <f>EL34+EL35+EL36</f>
        <v>64694.969999999965</v>
      </c>
      <c r="EM37" s="55">
        <f>EM34+EM35+EM36</f>
        <v>74771.86999999997</v>
      </c>
      <c r="EN37" s="55">
        <f>EN34+EN35+EN36</f>
        <v>61576.01999999996</v>
      </c>
      <c r="EO37" s="55">
        <f>EO34+EO35+EO36</f>
        <v>49274.72999999997</v>
      </c>
      <c r="EP37" s="55">
        <f>EP34+EP35+EP36</f>
        <v>37118.73999999996</v>
      </c>
      <c r="EQ37" s="55">
        <f>EQ34+EQ35+EQ36</f>
        <v>37118.73999999996</v>
      </c>
      <c r="ER37" s="55">
        <f>ER34+ER35+ER36</f>
        <v>36822.45999999996</v>
      </c>
    </row>
    <row r="38" spans="1:148" ht="16">
      <c r="A38" s="47" t="s">
        <v>35</v>
      </c>
      <c r="B38" s="55">
        <f>B27+B28+B32+B33+B37</f>
        <v>0.0</v>
      </c>
      <c r="C38" s="55">
        <f>C27+C28+C32+C33+C37</f>
        <v>0.0</v>
      </c>
      <c r="D38" s="55">
        <f>D27+D28+D32+D33+D37</f>
        <v>0.0</v>
      </c>
      <c r="E38" s="55">
        <f>E27+E28+E32+E33+E37</f>
        <v>0.0</v>
      </c>
      <c r="F38" s="55">
        <f>F27+F28+F32+F33+F37</f>
        <v>0.0</v>
      </c>
      <c r="G38" s="55">
        <f>G27+G28+G32+G33+G37</f>
        <v>0.0</v>
      </c>
      <c r="H38" s="55">
        <f>H27+H28+H32+H33+H37</f>
        <v>0.0</v>
      </c>
      <c r="I38" s="55">
        <f>I27+I28+I32+I33+I37</f>
        <v>0.0</v>
      </c>
      <c r="J38" s="55">
        <f>J27+J28+J32+J33+J37</f>
        <v>0.0</v>
      </c>
      <c r="K38" s="55">
        <f>K27+K28+K32+K33+K37</f>
        <v>0.0</v>
      </c>
      <c r="L38" s="55">
        <f>L27+L28+L32+L33+L37</f>
        <v>0.0</v>
      </c>
      <c r="M38" s="55">
        <f>M27+M28+M32+M33+M37</f>
        <v>0.0</v>
      </c>
      <c r="N38" s="55">
        <f>N27+N28+N32+N33+N37</f>
        <v>0.0</v>
      </c>
      <c r="O38" s="55">
        <f>O27+O28+O32+O33+O37</f>
        <v>0.0</v>
      </c>
      <c r="P38" s="55">
        <f>P27+P28+P32+P33+P37</f>
        <v>72.1</v>
      </c>
      <c r="Q38" s="55">
        <f>Q27+Q28+Q32+Q33+Q37</f>
        <v>72.1</v>
      </c>
      <c r="R38" s="55">
        <f>R27+R28+R32+R33+R37</f>
        <v>72.1</v>
      </c>
      <c r="S38" s="55">
        <f>S27+S28+S32+S33+S37</f>
        <v>72.1</v>
      </c>
      <c r="T38" s="55">
        <f>T27+T28+T32+T33+T37</f>
        <v>0.0</v>
      </c>
      <c r="U38" s="55">
        <f>U27+U28+U32+U33+U37</f>
        <v>0.0</v>
      </c>
      <c r="V38" s="55">
        <f>V27+V28+V32+V33+V37</f>
        <v>0.0</v>
      </c>
      <c r="W38" s="55">
        <f>W27+W28+W32+W33+W37</f>
        <v>0.0</v>
      </c>
      <c r="X38" s="55">
        <f>X27+X28+X32+X33+X37</f>
        <v>0.0</v>
      </c>
      <c r="Y38" s="55">
        <f>Y27+Y28+Y32+Y33+Y37</f>
        <v>0.0</v>
      </c>
      <c r="Z38" s="55">
        <f>Z27+Z28+Z32+Z33+Z37</f>
        <v>0.0</v>
      </c>
      <c r="AA38" s="55">
        <f>AA27+AA28+AA32+AA33+AA37</f>
        <v>0.0</v>
      </c>
      <c r="AB38" s="55">
        <f>AB27+AB28+AB32+AB33+AB37</f>
        <v>0.0</v>
      </c>
      <c r="AC38" s="55">
        <f>AC27+AC28+AC32+AC33+AC37</f>
        <v>0.0</v>
      </c>
      <c r="AD38" s="55">
        <f>AD27+AD28+AD32+AD33+AD37</f>
        <v>0.0</v>
      </c>
      <c r="AE38" s="55">
        <f>AE27+AE28+AE32+AE33+AE37</f>
        <v>0.0</v>
      </c>
      <c r="AF38" s="55">
        <f>AF27+AF28+AF32+AF33+AF37</f>
        <v>0.0</v>
      </c>
      <c r="AG38" s="55">
        <f>AG27+AG28+AG32+AG33+AG37</f>
        <v>0.0</v>
      </c>
      <c r="AH38" s="55">
        <f>AH27+AH28+AH32+AH33+AH37</f>
        <v>0.0</v>
      </c>
      <c r="AI38" s="55">
        <f>AI27+AI28+AI32+AI33+AI37</f>
        <v>0.0</v>
      </c>
      <c r="AJ38" s="55">
        <f>AJ27+AJ28+AJ32+AJ33+AJ37</f>
        <v>0.0</v>
      </c>
      <c r="AK38" s="55">
        <f>AK27+AK28+AK32+AK33+AK37</f>
        <v>0.0</v>
      </c>
      <c r="AL38" s="55">
        <f>AL27+AL28+AL32+AL33+AL37</f>
        <v>0.0</v>
      </c>
      <c r="AM38" s="55">
        <f>AM27+AM28+AM32+AM33+AM37</f>
        <v>0.0</v>
      </c>
      <c r="AN38" s="55">
        <f>AN27+AN28+AN32+AN33+AN37</f>
        <v>0.0</v>
      </c>
      <c r="AO38" s="55">
        <f>AO27+AO28+AO32+AO33+AO37</f>
        <v>0.0</v>
      </c>
      <c r="AP38" s="55">
        <f>AP27+AP28+AP32+AP33+AP37</f>
        <v>0.0</v>
      </c>
      <c r="AQ38" s="55">
        <f>AQ27+AQ28+AQ32+AQ33+AQ37</f>
        <v>0.0</v>
      </c>
      <c r="AR38" s="55">
        <f>AR27+AR28+AR32+AR33+AR37</f>
        <v>0.0</v>
      </c>
      <c r="AS38" s="55">
        <f>AS27+AS28+AS32+AS33+AS37</f>
        <v>0.0</v>
      </c>
      <c r="AT38" s="55">
        <f>AT27+AT28+AT32+AT33+AT37</f>
        <v>0.0</v>
      </c>
      <c r="AU38" s="55">
        <f>AU27+AU28+AU32+AU33+AU37</f>
        <v>0.0</v>
      </c>
      <c r="AV38" s="55">
        <f>AV27+AV28+AV32+AV33+AV37</f>
        <v>0.0</v>
      </c>
      <c r="AW38" s="55">
        <f>AW27+AW28+AW32+AW33+AW37</f>
        <v>0.0</v>
      </c>
      <c r="AX38" s="55">
        <f>AX27+AX28+AX32+AX33+AX37</f>
        <v>0.0</v>
      </c>
      <c r="AY38" s="55">
        <f>AY27+AY28+AY32+AY33+AY37</f>
        <v>0.0</v>
      </c>
      <c r="AZ38" s="55">
        <f>AZ27+AZ28+AZ32+AZ33+AZ37</f>
        <v>0.0</v>
      </c>
      <c r="BA38" s="55">
        <f>BA27+BA28+BA32+BA33+BA37</f>
        <v>0.0</v>
      </c>
      <c r="BB38" s="55">
        <f>BB27+BB28+BB32+BB33+BB37</f>
        <v>0.0</v>
      </c>
      <c r="BC38" s="55">
        <f>BC27+BC28+BC32+BC33+BC37</f>
        <v>0.0</v>
      </c>
      <c r="BD38" s="55">
        <f>BD27+BD28+BD32+BD33+BD37</f>
        <v>0.0</v>
      </c>
      <c r="BE38" s="55">
        <f>BE27+BE28+BE32+BE33+BE37</f>
        <v>0.0</v>
      </c>
      <c r="BF38" s="55">
        <f>BF27+BF28+BF32+BF33+BF37</f>
        <v>0.0</v>
      </c>
      <c r="BG38" s="55">
        <f>BG27+BG28+BG32+BG33+BG37</f>
        <v>0.0</v>
      </c>
      <c r="BH38" s="55">
        <f>BH27+BH28+BH32+BH33+BH37</f>
        <v>0.0</v>
      </c>
      <c r="BI38" s="55">
        <f>BI27+BI28+BI32+BI33+BI37</f>
        <v>0.0</v>
      </c>
      <c r="BJ38" s="55">
        <f>BJ27+BJ28+BJ32+BJ33+BJ37</f>
        <v>0.0</v>
      </c>
      <c r="BK38" s="55">
        <f>BK27+BK28+BK32+BK33+BK37</f>
        <v>0.0</v>
      </c>
      <c r="BL38" s="55">
        <f>BL27+BL28+BL32+BL33+BL37</f>
        <v>0.0</v>
      </c>
      <c r="BM38" s="55">
        <f>BM27+BM28+BM32+BM33+BM37</f>
        <v>0.0</v>
      </c>
      <c r="BN38" s="55">
        <f>BN27+BN28+BN32+BN33+BN37</f>
        <v>0.0</v>
      </c>
      <c r="BO38" s="55">
        <f>BO27+BO28+BO32+BO33+BO37</f>
        <v>0.0</v>
      </c>
      <c r="BP38" s="55">
        <f>BP27+BP28+BP32+BP33+BP37</f>
        <v>0.0</v>
      </c>
      <c r="BQ38" s="55">
        <f>BQ27+BQ28+BQ32+BQ33+BQ37</f>
        <v>0.0</v>
      </c>
      <c r="BR38" s="55">
        <f>BR27+BR28+BR32+BR33+BR37</f>
        <v>0.0</v>
      </c>
      <c r="BS38" s="55">
        <f>BS27+BS28+BS32+BS33+BS37</f>
        <v>0.0</v>
      </c>
      <c r="BT38" s="55">
        <f>BT27+BT28+BT32+BT33+BT37</f>
        <v>0.0</v>
      </c>
      <c r="BU38" s="55">
        <f>BU27+BU28+BU32+BU33+BU37</f>
        <v>0.0</v>
      </c>
      <c r="BV38" s="55">
        <f>BV27+BV28+BV32+BV33+BV37</f>
        <v>0.0</v>
      </c>
      <c r="BW38" s="55">
        <f>BW27+BW28+BW32+BW33+BW37</f>
        <v>0.0</v>
      </c>
      <c r="BX38" s="55">
        <f>BX27+BX28+BX32+BX33+BX37</f>
        <v>0.0</v>
      </c>
      <c r="BY38" s="55">
        <f>BY27+BY28+BY32+BY33+BY37</f>
        <v>0.0</v>
      </c>
      <c r="BZ38" s="55">
        <f>BZ27+BZ28+BZ32+BZ33+BZ37</f>
        <v>0.0</v>
      </c>
      <c r="CA38" s="55">
        <f>CA27+CA28+CA32+CA33+CA37</f>
        <v>0.0</v>
      </c>
      <c r="CB38" s="55">
        <f>CB27+CB28+CB32+CB33+CB37</f>
        <v>0.0</v>
      </c>
      <c r="CC38" s="55">
        <f>CC27+CC28+CC32+CC33+CC37</f>
        <v>0.0</v>
      </c>
      <c r="CD38" s="55">
        <f>CD27+CD28+CD32+CD33+CD37</f>
        <v>51467.39</v>
      </c>
      <c r="CE38" s="55">
        <f>CE27+CE28+CE32+CE33+CE37</f>
        <v>35411.36</v>
      </c>
      <c r="CF38" s="55">
        <f>CF27+CF28+CF32+CF33+CF37</f>
        <v>22035.190000000002</v>
      </c>
      <c r="CG38" s="55">
        <f>CG27+CG28+CG32+CG33+CG37</f>
        <v>22739.530000000002</v>
      </c>
      <c r="CH38" s="55">
        <f>CH27+CH28+CH32+CH33+CH37</f>
        <v>37455.66</v>
      </c>
      <c r="CI38" s="55">
        <f>CI27+CI28+CI32+CI33+CI37</f>
        <v>48576.72</v>
      </c>
      <c r="CJ38" s="55">
        <f>CJ27+CJ28+CJ32+CJ33+CJ37</f>
        <v>36258.12</v>
      </c>
      <c r="CK38" s="55">
        <f>CK27+CK28+CK32+CK33+CK37</f>
        <v>62254.68000000001</v>
      </c>
      <c r="CL38" s="55">
        <f>CL27+CL28+CL32+CL33+CL37</f>
        <v>72427.74</v>
      </c>
      <c r="CM38" s="55">
        <f>CM27+CM28+CM32+CM33+CM37</f>
        <v>109052.89000000001</v>
      </c>
      <c r="CN38" s="55">
        <f>CN27+CN28+CN32+CN33+CN37</f>
        <v>63002.640000000014</v>
      </c>
      <c r="CO38" s="55">
        <f>CO27+CO28+CO32+CO33+CO37</f>
        <v>90420.72000000002</v>
      </c>
      <c r="CP38" s="55">
        <f>CP27+CP28+CP32+CP33+CP37</f>
        <v>136143.90000000002</v>
      </c>
      <c r="CQ38" s="55">
        <f>CQ27+CQ28+CQ32+CQ33+CQ37</f>
        <v>103533.21000000002</v>
      </c>
      <c r="CR38" s="55">
        <f>CR27+CR28+CR32+CR33+CR37</f>
        <v>154535.41000000003</v>
      </c>
      <c r="CS38" s="55">
        <f>CS27+CS28+CS32+CS33+CS37</f>
        <v>314251.12</v>
      </c>
      <c r="CT38" s="55">
        <f>CT27+CT28+CT32+CT33+CT37</f>
        <v>270800.23</v>
      </c>
      <c r="CU38" s="55">
        <f>CU27+CU28+CU32+CU33+CU37</f>
        <v>273155.70999999996</v>
      </c>
      <c r="CV38" s="55">
        <f>CV27+CV28+CV32+CV33+CV37</f>
        <v>307416.05999999994</v>
      </c>
      <c r="CW38" s="55">
        <f>CW27+CW28+CW32+CW33+CW37</f>
        <v>271259.57999999996</v>
      </c>
      <c r="CX38" s="55">
        <f>CX27+CX28+CX32+CX33+CX37</f>
        <v>234408.14999999997</v>
      </c>
      <c r="CY38" s="55">
        <f>CY27+CY28+CY32+CY33+CY37</f>
        <v>248008.83999999997</v>
      </c>
      <c r="CZ38" s="55">
        <f>CZ27+CZ28+CZ32+CZ33+CZ37</f>
        <v>215959.98999999996</v>
      </c>
      <c r="DA38" s="55">
        <f>DA27+DA28+DA32+DA33+DA37</f>
        <v>182197.10999999996</v>
      </c>
      <c r="DB38" s="55">
        <f>DB27+DB28+DB32+DB33+DB37</f>
        <v>264331.13999999996</v>
      </c>
      <c r="DC38" s="55">
        <f>DC27+DC28+DC32+DC33+DC37</f>
        <v>334070.35</v>
      </c>
      <c r="DD38" s="55">
        <f>DD27+DD28+DD32+DD33+DD37</f>
        <v>388487.92999999993</v>
      </c>
      <c r="DE38" s="55">
        <f>DE27+DE28+DE32+DE33+DE37</f>
        <v>391623.93</v>
      </c>
      <c r="DF38" s="55">
        <f>DF27+DF28+DF32+DF33+DF37</f>
        <v>349131.35</v>
      </c>
      <c r="DG38" s="55">
        <f>DG27+DG28+DG32+DG33+DG37</f>
        <v>272930.39999999997</v>
      </c>
      <c r="DH38" s="55">
        <f>DH27+DH28+DH32+DH33+DH37</f>
        <v>300334.76</v>
      </c>
      <c r="DI38" s="55">
        <f>DI27+DI28+DI32+DI33+DI37</f>
        <v>294694.85</v>
      </c>
      <c r="DJ38" s="55">
        <f>DJ27+DJ28+DJ32+DJ33+DJ37</f>
        <v>231038.34999999995</v>
      </c>
      <c r="DK38" s="55">
        <f>DK27+DK28+DK32+DK33+DK37</f>
        <v>221266.66999999995</v>
      </c>
      <c r="DL38" s="55">
        <f>DL27+DL28+DL32+DL33+DL37</f>
        <v>276565.85</v>
      </c>
      <c r="DM38" s="55">
        <f>DM27+DM28+DM32+DM33+DM37</f>
        <v>206182.00999999998</v>
      </c>
      <c r="DN38" s="55">
        <f>DN27+DN28+DN32+DN33+DN37</f>
        <v>170874.61</v>
      </c>
      <c r="DO38" s="55">
        <f>DO27+DO28+DO32+DO33+DO37</f>
        <v>152482.60999999996</v>
      </c>
      <c r="DP38" s="55">
        <f>DP27+DP28+DP32+DP33+DP37</f>
        <v>149529.20999999996</v>
      </c>
      <c r="DQ38" s="55">
        <f>DQ27+DQ28+DQ32+DQ33+DQ37</f>
        <v>128582.93999999996</v>
      </c>
      <c r="DR38" s="55">
        <f>DR27+DR28+DR32+DR33+DR37</f>
        <v>142898.14999999997</v>
      </c>
      <c r="DS38" s="55">
        <f>DS27+DS28+DS32+DS33+DS37</f>
        <v>131535.58999999997</v>
      </c>
      <c r="DT38" s="55">
        <f>DT27+DT28+DT32+DT33+DT37</f>
        <v>101857.61999999995</v>
      </c>
      <c r="DU38" s="55">
        <f>DU27+DU28+DU32+DU33+DU37</f>
        <v>89321.45999999996</v>
      </c>
      <c r="DV38" s="55">
        <f>DV27+DV28+DV32+DV33+DV37</f>
        <v>86865.94999999995</v>
      </c>
      <c r="DW38" s="55">
        <f>DW27+DW28+DW32+DW33+DW37</f>
        <v>99371.79999999996</v>
      </c>
      <c r="DX38" s="55">
        <f>DX27+DX28+DX32+DX33+DX37</f>
        <v>96722.09999999996</v>
      </c>
      <c r="DY38" s="55">
        <f>DY27+DY28+DY32+DY33+DY37</f>
        <v>97460.68999999996</v>
      </c>
      <c r="DZ38" s="55">
        <f>DZ27+DZ28+DZ32+DZ33+DZ37</f>
        <v>91962.69999999995</v>
      </c>
      <c r="EA38" s="55">
        <f>EA27+EA28+EA32+EA33+EA37</f>
        <v>90021.19999999995</v>
      </c>
      <c r="EB38" s="55">
        <f>EB27+EB28+EB32+EB33+EB37</f>
        <v>75408.39999999997</v>
      </c>
      <c r="EC38" s="55">
        <f>EC27+EC28+EC32+EC33+EC37</f>
        <v>47286.86999999996</v>
      </c>
      <c r="ED38" s="55">
        <f>ED27+ED28+ED32+ED33+ED37</f>
        <v>45225.90999999996</v>
      </c>
      <c r="EE38" s="55">
        <f>EE27+EE28+EE32+EE33+EE37</f>
        <v>69365.77999999996</v>
      </c>
      <c r="EF38" s="55">
        <f>EF27+EF28+EF32+EF33+EF37</f>
        <v>96037.00999999995</v>
      </c>
      <c r="EG38" s="55">
        <f>EG27+EG28+EG32+EG33+EG37</f>
        <v>90630.05999999995</v>
      </c>
      <c r="EH38" s="55">
        <f>EH27+EH28+EH32+EH33+EH37</f>
        <v>69801.28999999996</v>
      </c>
      <c r="EI38" s="55">
        <f>EI27+EI28+EI32+EI33+EI37</f>
        <v>84311.77999999996</v>
      </c>
      <c r="EJ38" s="55">
        <f>EJ27+EJ28+EJ32+EJ33+EJ37</f>
        <v>67222.50999999997</v>
      </c>
      <c r="EK38" s="55">
        <f>EK27+EK28+EK32+EK33+EK37</f>
        <v>76292.46999999996</v>
      </c>
      <c r="EL38" s="55">
        <f>EL27+EL28+EL32+EL33+EL37</f>
        <v>72504.72999999995</v>
      </c>
      <c r="EM38" s="55">
        <f>EM27+EM28+EM32+EM33+EM37</f>
        <v>82753.78999999995</v>
      </c>
      <c r="EN38" s="55">
        <f>EN27+EN28+EN32+EN33+EN37</f>
        <v>69908.15999999995</v>
      </c>
      <c r="EO38" s="55">
        <f>EO27+EO28+EO32+EO33+EO37</f>
        <v>57943.98999999996</v>
      </c>
      <c r="EP38" s="55">
        <f>EP27+EP28+EP32+EP33+EP37</f>
        <v>45787.999999999956</v>
      </c>
      <c r="EQ38" s="55">
        <f>EQ27+EQ28+EQ32+EQ33+EQ37</f>
        <v>45787.999999999956</v>
      </c>
      <c r="ER38" s="55">
        <f>ER27+ER28+ER32+ER33+ER37</f>
        <v>45491.71999999996</v>
      </c>
    </row>
    <row r="39" spans="1:148" ht="16">
      <c r="A39" s="42" t="s">
        <v>36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4">
        <v>2500.0</v>
      </c>
      <c r="CU39" s="54">
        <v>5000.0</v>
      </c>
      <c r="CV39" s="54">
        <v>5000.0</v>
      </c>
      <c r="CW39" s="54">
        <v>0</v>
      </c>
      <c r="CX39" s="54">
        <v>0</v>
      </c>
      <c r="CY39" s="54">
        <v>0</v>
      </c>
      <c r="CZ39" s="54">
        <v>0</v>
      </c>
      <c r="DA39" s="54">
        <v>0</v>
      </c>
      <c r="DB39" s="54">
        <v>0</v>
      </c>
      <c r="DC39" s="54">
        <v>0</v>
      </c>
      <c r="DD39" s="54">
        <v>0</v>
      </c>
      <c r="DE39" s="54">
        <v>0</v>
      </c>
      <c r="DF39" s="54">
        <v>0</v>
      </c>
      <c r="DG39" s="54">
        <v>0</v>
      </c>
      <c r="DH39" s="54">
        <v>0</v>
      </c>
      <c r="DI39" s="54">
        <v>0</v>
      </c>
      <c r="DJ39" s="54">
        <v>0</v>
      </c>
      <c r="DK39" s="54">
        <v>0</v>
      </c>
      <c r="DL39" s="54">
        <v>0</v>
      </c>
      <c r="DM39" s="54">
        <v>0</v>
      </c>
      <c r="DN39" s="54">
        <v>0</v>
      </c>
      <c r="DO39" s="54">
        <v>0</v>
      </c>
      <c r="DP39" s="54">
        <v>0</v>
      </c>
      <c r="DQ39" s="54">
        <v>0</v>
      </c>
      <c r="DR39" s="54">
        <v>0</v>
      </c>
      <c r="DS39" s="54">
        <v>0</v>
      </c>
      <c r="DT39" s="54">
        <v>0</v>
      </c>
      <c r="DU39" s="54">
        <v>0</v>
      </c>
      <c r="DV39" s="54">
        <v>0</v>
      </c>
      <c r="DW39" s="54">
        <v>0</v>
      </c>
      <c r="DX39" s="54">
        <v>0</v>
      </c>
      <c r="DY39" s="54">
        <v>0</v>
      </c>
      <c r="DZ39" s="54">
        <v>0</v>
      </c>
      <c r="EA39" s="54">
        <v>0</v>
      </c>
      <c r="EB39" s="54">
        <v>0</v>
      </c>
      <c r="EC39" s="54">
        <v>0</v>
      </c>
      <c r="ED39" s="54">
        <v>0</v>
      </c>
      <c r="EE39" s="54">
        <v>0</v>
      </c>
      <c r="EF39" s="54">
        <v>0</v>
      </c>
      <c r="EG39" s="54">
        <v>0</v>
      </c>
      <c r="EH39" s="54">
        <v>0</v>
      </c>
      <c r="EI39" s="54">
        <v>0</v>
      </c>
      <c r="EJ39" s="54">
        <v>0</v>
      </c>
      <c r="EK39" s="54">
        <v>0</v>
      </c>
      <c r="EL39" s="54">
        <v>0</v>
      </c>
      <c r="EM39" s="54">
        <v>0</v>
      </c>
      <c r="EN39" s="54">
        <v>0</v>
      </c>
      <c r="EO39" s="54">
        <v>0</v>
      </c>
      <c r="EP39" s="54">
        <v>0</v>
      </c>
      <c r="EQ39" s="54">
        <v>0</v>
      </c>
      <c r="ER39" s="54">
        <v>0</v>
      </c>
    </row>
    <row r="40" spans="1:148" ht="16">
      <c r="A40" s="42" t="s">
        <v>37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4">
        <v>482.35</v>
      </c>
      <c r="CT40" s="54">
        <v>482.35</v>
      </c>
      <c r="CU40" s="54">
        <v>482.35</v>
      </c>
      <c r="CV40" s="54">
        <v>482.35</v>
      </c>
      <c r="CW40" s="54">
        <v>482.35</v>
      </c>
      <c r="CX40" s="54">
        <v>482.35</v>
      </c>
      <c r="CY40" s="54">
        <v>482.35</v>
      </c>
      <c r="CZ40" s="54">
        <v>482.35</v>
      </c>
      <c r="DA40" s="54">
        <v>482.35</v>
      </c>
      <c r="DB40" s="54">
        <v>482.35</v>
      </c>
      <c r="DC40" s="54">
        <v>482.35</v>
      </c>
      <c r="DD40" s="54">
        <v>482.35</v>
      </c>
      <c r="DE40" s="54">
        <v>21057.489999999998</v>
      </c>
      <c r="DF40" s="54">
        <v>21057.489999999998</v>
      </c>
      <c r="DG40" s="54">
        <v>21057.489999999998</v>
      </c>
      <c r="DH40" s="54">
        <v>21057.489999999998</v>
      </c>
      <c r="DI40" s="54">
        <v>21057.489999999998</v>
      </c>
      <c r="DJ40" s="54">
        <v>21057.489999999998</v>
      </c>
      <c r="DK40" s="54">
        <v>21057.489999999998</v>
      </c>
      <c r="DL40" s="54">
        <v>47138.759999999995</v>
      </c>
      <c r="DM40" s="54">
        <v>30638.759999999995</v>
      </c>
      <c r="DN40" s="54">
        <v>47138.759999999995</v>
      </c>
      <c r="DO40" s="54">
        <v>47138.759999999995</v>
      </c>
      <c r="DP40" s="54">
        <v>47138.759999999995</v>
      </c>
      <c r="DQ40" s="54">
        <v>56071.759999999995</v>
      </c>
      <c r="DR40" s="54">
        <v>56071.759999999995</v>
      </c>
      <c r="DS40" s="54">
        <v>56071.759999999995</v>
      </c>
      <c r="DT40" s="54">
        <v>56071.759999999995</v>
      </c>
      <c r="DU40" s="54">
        <v>56071.759999999995</v>
      </c>
      <c r="DV40" s="54">
        <v>56071.759999999995</v>
      </c>
      <c r="DW40" s="54">
        <v>56071.759999999995</v>
      </c>
      <c r="DX40" s="54">
        <v>56071.759999999995</v>
      </c>
      <c r="DY40" s="54">
        <v>56071.759999999995</v>
      </c>
      <c r="DZ40" s="54">
        <v>56071.759999999995</v>
      </c>
      <c r="EA40" s="54">
        <v>56071.759999999995</v>
      </c>
      <c r="EB40" s="54">
        <v>56071.759999999995</v>
      </c>
      <c r="EC40" s="54">
        <v>56368.759999999995</v>
      </c>
      <c r="ED40" s="54">
        <v>56368.759999999995</v>
      </c>
      <c r="EE40" s="54">
        <v>56368.759999999995</v>
      </c>
      <c r="EF40" s="54">
        <v>56368.759999999995</v>
      </c>
      <c r="EG40" s="54">
        <v>56368.759999999995</v>
      </c>
      <c r="EH40" s="54">
        <v>56368.759999999995</v>
      </c>
      <c r="EI40" s="54">
        <v>56368.759999999995</v>
      </c>
      <c r="EJ40" s="54">
        <v>56368.759999999995</v>
      </c>
      <c r="EK40" s="54">
        <v>56368.759999999995</v>
      </c>
      <c r="EL40" s="54">
        <v>56368.759999999995</v>
      </c>
      <c r="EM40" s="54">
        <v>56368.759999999995</v>
      </c>
      <c r="EN40" s="54">
        <v>56368.759999999995</v>
      </c>
      <c r="EO40" s="54">
        <v>56368.759999999995</v>
      </c>
      <c r="EP40" s="54">
        <v>56368.759999999995</v>
      </c>
      <c r="EQ40" s="54">
        <v>56368.759999999995</v>
      </c>
      <c r="ER40" s="54">
        <v>56368.759999999995</v>
      </c>
    </row>
    <row r="41" spans="1:148" ht="16">
      <c r="A41" s="42" t="s">
        <v>38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4">
        <v>35926.01</v>
      </c>
      <c r="CH41" s="54">
        <v>0</v>
      </c>
      <c r="CI41" s="54">
        <v>0</v>
      </c>
      <c r="CJ41" s="54">
        <v>0</v>
      </c>
      <c r="CK41" s="54">
        <v>0</v>
      </c>
      <c r="CL41" s="54">
        <v>0</v>
      </c>
      <c r="CM41" s="54">
        <v>0</v>
      </c>
      <c r="CN41" s="54">
        <v>0</v>
      </c>
      <c r="CO41" s="54">
        <v>0</v>
      </c>
      <c r="CP41" s="54">
        <v>0</v>
      </c>
      <c r="CQ41" s="54">
        <v>0</v>
      </c>
      <c r="CR41" s="54">
        <v>0</v>
      </c>
      <c r="CS41" s="54">
        <v>0</v>
      </c>
      <c r="CT41" s="54">
        <v>0</v>
      </c>
      <c r="CU41" s="54">
        <v>0</v>
      </c>
      <c r="CV41" s="54">
        <v>0</v>
      </c>
      <c r="CW41" s="54">
        <v>0</v>
      </c>
      <c r="CX41" s="54">
        <v>0</v>
      </c>
      <c r="CY41" s="54">
        <v>0</v>
      </c>
      <c r="CZ41" s="54">
        <v>0</v>
      </c>
      <c r="DA41" s="54">
        <v>0</v>
      </c>
      <c r="DB41" s="54">
        <v>0</v>
      </c>
      <c r="DC41" s="54">
        <v>0</v>
      </c>
      <c r="DD41" s="54">
        <v>0</v>
      </c>
      <c r="DE41" s="54">
        <v>22237.89</v>
      </c>
      <c r="DF41" s="54">
        <v>22237.89</v>
      </c>
      <c r="DG41" s="54">
        <v>22237.89</v>
      </c>
      <c r="DH41" s="54">
        <v>22237.89</v>
      </c>
      <c r="DI41" s="54">
        <v>22237.89</v>
      </c>
      <c r="DJ41" s="54">
        <v>22237.89</v>
      </c>
      <c r="DK41" s="54">
        <v>22237.89</v>
      </c>
      <c r="DL41" s="54">
        <v>26966.32</v>
      </c>
      <c r="DM41" s="54">
        <v>26966.32</v>
      </c>
      <c r="DN41" s="54">
        <v>26966.32</v>
      </c>
      <c r="DO41" s="54">
        <v>26966.32</v>
      </c>
      <c r="DP41" s="54">
        <v>26966.32</v>
      </c>
      <c r="DQ41" s="54">
        <v>53290.59</v>
      </c>
      <c r="DR41" s="54">
        <v>53290.59</v>
      </c>
      <c r="DS41" s="54">
        <v>53290.59</v>
      </c>
      <c r="DT41" s="54">
        <v>53290.59</v>
      </c>
      <c r="DU41" s="54">
        <v>53290.59</v>
      </c>
      <c r="DV41" s="54">
        <v>53290.59</v>
      </c>
      <c r="DW41" s="54">
        <v>53290.59</v>
      </c>
      <c r="DX41" s="54">
        <v>54125.59</v>
      </c>
      <c r="DY41" s="54">
        <v>54125.59</v>
      </c>
      <c r="DZ41" s="54">
        <v>54125.59</v>
      </c>
      <c r="EA41" s="54">
        <v>54125.59</v>
      </c>
      <c r="EB41" s="54">
        <v>54125.59</v>
      </c>
      <c r="EC41" s="54">
        <v>75440.62</v>
      </c>
      <c r="ED41" s="54">
        <v>75440.62</v>
      </c>
      <c r="EE41" s="54">
        <v>75440.62</v>
      </c>
      <c r="EF41" s="54">
        <v>75440.62</v>
      </c>
      <c r="EG41" s="54">
        <v>75440.62</v>
      </c>
      <c r="EH41" s="54">
        <v>75440.62</v>
      </c>
      <c r="EI41" s="54">
        <v>75440.62</v>
      </c>
      <c r="EJ41" s="54">
        <v>75440.62</v>
      </c>
      <c r="EK41" s="54">
        <v>75440.62</v>
      </c>
      <c r="EL41" s="54">
        <v>75440.62</v>
      </c>
      <c r="EM41" s="54">
        <v>75440.62</v>
      </c>
      <c r="EN41" s="54">
        <v>75440.62</v>
      </c>
      <c r="EO41" s="54">
        <v>75440.62</v>
      </c>
      <c r="EP41" s="54">
        <v>75440.62</v>
      </c>
      <c r="EQ41" s="54">
        <v>75440.62</v>
      </c>
      <c r="ER41" s="54">
        <v>75440.62</v>
      </c>
    </row>
    <row r="42" spans="1:148" ht="16">
      <c r="A42" s="42" t="s">
        <v>39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4">
        <v>4950.0</v>
      </c>
      <c r="DH42" s="54">
        <v>7044.58</v>
      </c>
      <c r="DI42" s="54">
        <v>11786.32</v>
      </c>
      <c r="DJ42" s="54">
        <v>5872.75</v>
      </c>
      <c r="DK42" s="54">
        <v>11309.279999999999</v>
      </c>
      <c r="DL42" s="54">
        <v>12700.23</v>
      </c>
      <c r="DM42" s="54">
        <v>6201.19</v>
      </c>
      <c r="DN42" s="54">
        <v>3661.72</v>
      </c>
      <c r="DO42" s="54">
        <v>3742.3599999999997</v>
      </c>
      <c r="DP42" s="54">
        <v>7200.7</v>
      </c>
      <c r="DQ42" s="54">
        <v>2780.7699999999995</v>
      </c>
      <c r="DR42" s="54">
        <v>2953.1599999999994</v>
      </c>
      <c r="DS42" s="54">
        <v>2900.3299999999995</v>
      </c>
      <c r="DT42" s="54">
        <v>2588.6699999999996</v>
      </c>
      <c r="DU42" s="54">
        <v>3043.5299999999997</v>
      </c>
      <c r="DV42" s="54">
        <v>2393.87</v>
      </c>
      <c r="DW42" s="54">
        <v>2972.75</v>
      </c>
      <c r="DX42" s="54">
        <v>4645.43</v>
      </c>
      <c r="DY42" s="54">
        <v>3215.9400000000005</v>
      </c>
      <c r="DZ42" s="54">
        <v>3961.8000000000006</v>
      </c>
      <c r="EA42" s="54">
        <v>3440.2800000000007</v>
      </c>
      <c r="EB42" s="54">
        <v>3018.1700000000005</v>
      </c>
      <c r="EC42" s="54">
        <v>3238.3200000000006</v>
      </c>
      <c r="ED42" s="54">
        <v>3567.3800000000006</v>
      </c>
      <c r="EE42" s="54">
        <v>3211.620000000001</v>
      </c>
      <c r="EF42" s="54">
        <v>3569.440000000001</v>
      </c>
      <c r="EG42" s="54">
        <v>2490.9100000000008</v>
      </c>
      <c r="EH42" s="54">
        <v>1993.9300000000007</v>
      </c>
      <c r="EI42" s="54">
        <v>3338.540000000001</v>
      </c>
      <c r="EJ42" s="54">
        <v>2905.750000000001</v>
      </c>
      <c r="EK42" s="54">
        <v>2905.750000000001</v>
      </c>
      <c r="EL42" s="54">
        <v>2905.750000000001</v>
      </c>
      <c r="EM42" s="54">
        <v>2905.750000000001</v>
      </c>
      <c r="EN42" s="54">
        <v>2905.750000000001</v>
      </c>
      <c r="EO42" s="54">
        <v>9.094947017729282E-13</v>
      </c>
      <c r="EP42" s="54">
        <v>9.094947017729282E-13</v>
      </c>
      <c r="EQ42" s="54">
        <v>9.094947017729282E-13</v>
      </c>
      <c r="ER42" s="54">
        <v>9.094947017729282E-13</v>
      </c>
    </row>
    <row r="43" spans="1:148" ht="16">
      <c r="A43" s="42" t="s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4">
        <v>27000.0</v>
      </c>
      <c r="CQ43" s="54">
        <v>27000.0</v>
      </c>
      <c r="CR43" s="54">
        <v>27000.0</v>
      </c>
      <c r="CS43" s="54">
        <v>27000.0</v>
      </c>
      <c r="CT43" s="54">
        <v>27000.0</v>
      </c>
      <c r="CU43" s="54">
        <v>27000.0</v>
      </c>
      <c r="CV43" s="54">
        <v>27000.0</v>
      </c>
      <c r="CW43" s="54">
        <v>27000.0</v>
      </c>
      <c r="CX43" s="54">
        <v>27000.0</v>
      </c>
      <c r="CY43" s="54">
        <v>27000.0</v>
      </c>
      <c r="CZ43" s="54">
        <v>27000.0</v>
      </c>
      <c r="DA43" s="54">
        <v>27000.0</v>
      </c>
      <c r="DB43" s="54">
        <v>27000.0</v>
      </c>
      <c r="DC43" s="54">
        <v>27000.0</v>
      </c>
      <c r="DD43" s="54">
        <v>27000.0</v>
      </c>
      <c r="DE43" s="54">
        <v>27000.0</v>
      </c>
      <c r="DF43" s="54">
        <v>26728.2</v>
      </c>
      <c r="DG43" s="54">
        <v>26142.600000000002</v>
      </c>
      <c r="DH43" s="54">
        <v>30895.0</v>
      </c>
      <c r="DI43" s="54">
        <v>30339.4</v>
      </c>
      <c r="DJ43" s="54">
        <v>30339.4</v>
      </c>
      <c r="DK43" s="54">
        <v>29566.600000000002</v>
      </c>
      <c r="DL43" s="54">
        <v>29402.000000000004</v>
      </c>
      <c r="DM43" s="54">
        <v>28946.600000000002</v>
      </c>
      <c r="DN43" s="54">
        <v>28946.600000000002</v>
      </c>
      <c r="DO43" s="54">
        <v>28692.4</v>
      </c>
      <c r="DP43" s="54">
        <v>28526.0</v>
      </c>
      <c r="DQ43" s="54">
        <v>28156.4</v>
      </c>
      <c r="DR43" s="54">
        <v>27728.0</v>
      </c>
      <c r="DS43" s="54">
        <v>27728.0</v>
      </c>
      <c r="DT43" s="54">
        <v>27411.2</v>
      </c>
      <c r="DU43" s="54">
        <v>24280.2</v>
      </c>
      <c r="DV43" s="54">
        <v>18714.49</v>
      </c>
      <c r="DW43" s="54">
        <v>11092.400000000001</v>
      </c>
      <c r="DX43" s="54">
        <v>9047.000000000002</v>
      </c>
      <c r="DY43" s="54">
        <v>1.8189894035458565E-12</v>
      </c>
      <c r="DZ43" s="54">
        <v>1.8189894035458565E-12</v>
      </c>
      <c r="EA43" s="54">
        <v>1.8189894035458565E-12</v>
      </c>
      <c r="EB43" s="54">
        <v>1.8189894035458565E-12</v>
      </c>
      <c r="EC43" s="54">
        <v>1.8189894035458565E-12</v>
      </c>
      <c r="ED43" s="54">
        <v>1.8189894035458565E-12</v>
      </c>
      <c r="EE43" s="54">
        <v>1.8189894035458565E-12</v>
      </c>
      <c r="EF43" s="54">
        <v>1.8189894035458565E-12</v>
      </c>
      <c r="EG43" s="54">
        <v>1.8189894035458565E-12</v>
      </c>
      <c r="EH43" s="54">
        <v>1.8189894035458565E-12</v>
      </c>
      <c r="EI43" s="54">
        <v>1.8189894035458565E-12</v>
      </c>
      <c r="EJ43" s="54">
        <v>1.8189894035458565E-12</v>
      </c>
      <c r="EK43" s="54">
        <v>1.8189894035458565E-12</v>
      </c>
      <c r="EL43" s="54">
        <v>1.8189894035458565E-12</v>
      </c>
      <c r="EM43" s="54">
        <v>1.8189894035458565E-12</v>
      </c>
      <c r="EN43" s="54">
        <v>1.8189894035458565E-12</v>
      </c>
      <c r="EO43" s="54">
        <v>1.8189894035458565E-12</v>
      </c>
      <c r="EP43" s="54">
        <v>1.8189894035458565E-12</v>
      </c>
      <c r="EQ43" s="54">
        <v>1.8189894035458565E-12</v>
      </c>
      <c r="ER43" s="54">
        <v>1.8189894035458565E-12</v>
      </c>
    </row>
    <row r="44" spans="1:148" ht="16">
      <c r="A44" s="43" t="s">
        <v>41</v>
      </c>
      <c r="B44" s="55">
        <f>B23+B24+B25+B26+B38+B39+B40+B41+B42+B43</f>
        <v>0.0</v>
      </c>
      <c r="C44" s="55">
        <f>C23+C24+C25+C26+C38+C39+C40+C41+C42+C43</f>
        <v>0.0</v>
      </c>
      <c r="D44" s="55">
        <f>D23+D24+D25+D26+D38+D39+D40+D41+D42+D43</f>
        <v>0.0</v>
      </c>
      <c r="E44" s="55">
        <f>E23+E24+E25+E26+E38+E39+E40+E41+E42+E43</f>
        <v>0.0</v>
      </c>
      <c r="F44" s="55">
        <f>F23+F24+F25+F26+F38+F39+F40+F41+F42+F43</f>
        <v>0.0</v>
      </c>
      <c r="G44" s="55">
        <f>G23+G24+G25+G26+G38+G39+G40+G41+G42+G43</f>
        <v>0.0</v>
      </c>
      <c r="H44" s="55">
        <f>H23+H24+H25+H26+H38+H39+H40+H41+H42+H43</f>
        <v>0.0</v>
      </c>
      <c r="I44" s="55">
        <f>I23+I24+I25+I26+I38+I39+I40+I41+I42+I43</f>
        <v>0.0</v>
      </c>
      <c r="J44" s="55">
        <f>J23+J24+J25+J26+J38+J39+J40+J41+J42+J43</f>
        <v>0.0</v>
      </c>
      <c r="K44" s="55">
        <f>K23+K24+K25+K26+K38+K39+K40+K41+K42+K43</f>
        <v>0.0</v>
      </c>
      <c r="L44" s="55">
        <f>L23+L24+L25+L26+L38+L39+L40+L41+L42+L43</f>
        <v>0.0</v>
      </c>
      <c r="M44" s="55">
        <f>M23+M24+M25+M26+M38+M39+M40+M41+M42+M43</f>
        <v>0.0</v>
      </c>
      <c r="N44" s="55">
        <f>N23+N24+N25+N26+N38+N39+N40+N41+N42+N43</f>
        <v>0.0</v>
      </c>
      <c r="O44" s="55">
        <f>O23+O24+O25+O26+O38+O39+O40+O41+O42+O43</f>
        <v>1090.2</v>
      </c>
      <c r="P44" s="55">
        <f>P23+P24+P25+P26+P38+P39+P40+P41+P42+P43</f>
        <v>3302.1</v>
      </c>
      <c r="Q44" s="55">
        <f>Q23+Q24+Q25+Q26+Q38+Q39+Q40+Q41+Q42+Q43</f>
        <v>166.90000000000018</v>
      </c>
      <c r="R44" s="55">
        <f>R23+R24+R25+R26+R38+R39+R40+R41+R42+R43</f>
        <v>72.10000000000018</v>
      </c>
      <c r="S44" s="55">
        <f>S23+S24+S25+S26+S38+S39+S40+S41+S42+S43</f>
        <v>72.10000000000018</v>
      </c>
      <c r="T44" s="55">
        <f>T23+T24+T25+T26+T38+T39+T40+T41+T42+T43</f>
        <v>47.40000000000018</v>
      </c>
      <c r="U44" s="55">
        <f>U23+U24+U25+U26+U38+U39+U40+U41+U42+U43</f>
        <v>1.8474111129762605E-13</v>
      </c>
      <c r="V44" s="55">
        <f>V23+V24+V25+V26+V38+V39+V40+V41+V42+V43</f>
        <v>744.9000000000002</v>
      </c>
      <c r="W44" s="55">
        <f>W23+W24+W25+W26+W38+W39+W40+W41+W42+W43</f>
        <v>262.4000000000002</v>
      </c>
      <c r="X44" s="55">
        <f>X23+X24+X25+X26+X38+X39+X40+X41+X42+X43</f>
        <v>284.4000000000002</v>
      </c>
      <c r="Y44" s="55">
        <f>Y23+Y24+Y25+Y26+Y38+Y39+Y40+Y41+Y42+Y43</f>
        <v>426.6000000000002</v>
      </c>
      <c r="Z44" s="55">
        <f>Z23+Z24+Z25+Z26+Z38+Z39+Z40+Z41+Z42+Z43</f>
        <v>474.00000000000017</v>
      </c>
      <c r="AA44" s="55">
        <f>AA23+AA24+AA25+AA26+AA38+AA39+AA40+AA41+AA42+AA43</f>
        <v>171.6000000000002</v>
      </c>
      <c r="AB44" s="55">
        <f>AB23+AB24+AB25+AB26+AB38+AB39+AB40+AB41+AB42+AB43</f>
        <v>744.9000000000001</v>
      </c>
      <c r="AC44" s="55">
        <f>AC23+AC24+AC25+AC26+AC38+AC39+AC40+AC41+AC42+AC43</f>
        <v>174.80000000000007</v>
      </c>
      <c r="AD44" s="55">
        <f>AD23+AD24+AD25+AD26+AD38+AD39+AD40+AD41+AD42+AD43</f>
        <v>80.00000000000007</v>
      </c>
      <c r="AE44" s="55">
        <f>AE23+AE24+AE25+AE26+AE38+AE39+AE40+AE41+AE42+AE43</f>
        <v>347.6000000000001</v>
      </c>
      <c r="AF44" s="55">
        <f>AF23+AF24+AF25+AF26+AF38+AF39+AF40+AF41+AF42+AF43</f>
        <v>377.80000000000007</v>
      </c>
      <c r="AG44" s="55">
        <f>AG23+AG24+AG25+AG26+AG38+AG39+AG40+AG41+AG42+AG43</f>
        <v>189.60000000000008</v>
      </c>
      <c r="AH44" s="55">
        <f>AH23+AH24+AH25+AH26+AH38+AH39+AH40+AH41+AH42+AH43</f>
        <v>8.526512829121202E-14</v>
      </c>
      <c r="AI44" s="55">
        <f>AI23+AI24+AI25+AI26+AI38+AI39+AI40+AI41+AI42+AI43</f>
        <v>189.60000000000008</v>
      </c>
      <c r="AJ44" s="55">
        <f>AJ23+AJ24+AJ25+AJ26+AJ38+AJ39+AJ40+AJ41+AJ42+AJ43</f>
        <v>677.7600000000001</v>
      </c>
      <c r="AK44" s="55">
        <f>AK23+AK24+AK25+AK26+AK38+AK39+AK40+AK41+AK42+AK43</f>
        <v>1702.81</v>
      </c>
      <c r="AL44" s="55">
        <f>AL23+AL24+AL25+AL26+AL38+AL39+AL40+AL41+AL42+AL43</f>
        <v>0.0</v>
      </c>
      <c r="AM44" s="55">
        <f>AM23+AM24+AM25+AM26+AM38+AM39+AM40+AM41+AM42+AM43</f>
        <v>711.0</v>
      </c>
      <c r="AN44" s="55">
        <f>AN23+AN24+AN25+AN26+AN38+AN39+AN40+AN41+AN42+AN43</f>
        <v>1440.0</v>
      </c>
      <c r="AO44" s="55">
        <f>AO23+AO24+AO25+AO26+AO38+AO39+AO40+AO41+AO42+AO43</f>
        <v>1746.56</v>
      </c>
      <c r="AP44" s="55">
        <f>AP23+AP24+AP25+AP26+AP38+AP39+AP40+AP41+AP42+AP43</f>
        <v>1469.76</v>
      </c>
      <c r="AQ44" s="55">
        <f>AQ23+AQ24+AQ25+AQ26+AQ38+AQ39+AQ40+AQ41+AQ42+AQ43</f>
        <v>1019.0999999999999</v>
      </c>
      <c r="AR44" s="55">
        <f>AR23+AR24+AR25+AR26+AR38+AR39+AR40+AR41+AR42+AR43</f>
        <v>107.99999999999989</v>
      </c>
      <c r="AS44" s="55">
        <f>AS23+AS24+AS25+AS26+AS38+AS39+AS40+AS41+AS42+AS43</f>
        <v>-1.1368683772161603E-13</v>
      </c>
      <c r="AT44" s="55">
        <f>AT23+AT24+AT25+AT26+AT38+AT39+AT40+AT41+AT42+AT43</f>
        <v>865.7999999999998</v>
      </c>
      <c r="AU44" s="55">
        <f>AU23+AU24+AU25+AU26+AU38+AU39+AU40+AU41+AU42+AU43</f>
        <v>-142.20000000000016</v>
      </c>
      <c r="AV44" s="55">
        <f>AV23+AV24+AV25+AV26+AV38+AV39+AV40+AV41+AV42+AV43</f>
        <v>1495.08</v>
      </c>
      <c r="AW44" s="55">
        <f>AW23+AW24+AW25+AW26+AW38+AW39+AW40+AW41+AW42+AW43</f>
        <v>7546.04</v>
      </c>
      <c r="AX44" s="55">
        <f>AX23+AX24+AX25+AX26+AX38+AX39+AX40+AX41+AX42+AX43</f>
        <v>1457.8000000000002</v>
      </c>
      <c r="AY44" s="55">
        <f>AY23+AY24+AY25+AY26+AY38+AY39+AY40+AY41+AY42+AY43</f>
        <v>1774.6000000000001</v>
      </c>
      <c r="AZ44" s="55">
        <f>AZ23+AZ24+AZ25+AZ26+AZ38+AZ39+AZ40+AZ41+AZ42+AZ43</f>
        <v>1457.8000000000002</v>
      </c>
      <c r="BA44" s="55">
        <f>BA23+BA24+BA25+BA26+BA38+BA39+BA40+BA41+BA42+BA43</f>
        <v>1457.8000000000002</v>
      </c>
      <c r="BB44" s="55">
        <f>BB23+BB24+BB25+BB26+BB38+BB39+BB40+BB41+BB42+BB43</f>
        <v>8781.7</v>
      </c>
      <c r="BC44" s="55">
        <f>BC23+BC24+BC25+BC26+BC38+BC39+BC40+BC41+BC42+BC43</f>
        <v>1457.8000000000002</v>
      </c>
      <c r="BD44" s="55">
        <f>BD23+BD24+BD25+BD26+BD38+BD39+BD40+BD41+BD42+BD43</f>
        <v>2013.9500000000003</v>
      </c>
      <c r="BE44" s="55">
        <f>BE23+BE24+BE25+BE26+BE38+BE39+BE40+BE41+BE42+BE43</f>
        <v>4396.960000000001</v>
      </c>
      <c r="BF44" s="55">
        <f>BF23+BF24+BF25+BF26+BF38+BF39+BF40+BF41+BF42+BF43</f>
        <v>1981.8400000000006</v>
      </c>
      <c r="BG44" s="55">
        <f>BG23+BG24+BG25+BG26+BG38+BG39+BG40+BG41+BG42+BG43</f>
        <v>1762.0000000000007</v>
      </c>
      <c r="BH44" s="55">
        <f>BH23+BH24+BH25+BH26+BH38+BH39+BH40+BH41+BH42+BH43</f>
        <v>1658.6500000000005</v>
      </c>
      <c r="BI44" s="55">
        <f>BI23+BI24+BI25+BI26+BI38+BI39+BI40+BI41+BI42+BI43</f>
        <v>2108.9000000000005</v>
      </c>
      <c r="BJ44" s="55">
        <f>BJ23+BJ24+BJ25+BJ26+BJ38+BJ39+BJ40+BJ41+BJ42+BJ43</f>
        <v>8772.69</v>
      </c>
      <c r="BK44" s="55">
        <f>BK23+BK24+BK25+BK26+BK38+BK39+BK40+BK41+BK42+BK43</f>
        <v>1600.000000000001</v>
      </c>
      <c r="BL44" s="55">
        <f>BL23+BL24+BL25+BL26+BL38+BL39+BL40+BL41+BL42+BL43</f>
        <v>1662.390000000001</v>
      </c>
      <c r="BM44" s="55">
        <f>BM23+BM24+BM25+BM26+BM38+BM39+BM40+BM41+BM42+BM43</f>
        <v>3374.3100000000013</v>
      </c>
      <c r="BN44" s="55">
        <f>BN23+BN24+BN25+BN26+BN38+BN39+BN40+BN41+BN42+BN43</f>
        <v>1724.7800000000009</v>
      </c>
      <c r="BO44" s="55">
        <f>BO23+BO24+BO25+BO26+BO38+BO39+BO40+BO41+BO42+BO43</f>
        <v>1585.000000000001</v>
      </c>
      <c r="BP44" s="55">
        <f>BP23+BP24+BP25+BP26+BP38+BP39+BP40+BP41+BP42+BP43</f>
        <v>1679.8000000000009</v>
      </c>
      <c r="BQ44" s="55">
        <f>BQ23+BQ24+BQ25+BQ26+BQ38+BQ39+BQ40+BQ41+BQ42+BQ43</f>
        <v>5617.000000000001</v>
      </c>
      <c r="BR44" s="55">
        <f>BR23+BR24+BR25+BR26+BR38+BR39+BR40+BR41+BR42+BR43</f>
        <v>1585.000000000001</v>
      </c>
      <c r="BS44" s="55">
        <f>BS23+BS24+BS25+BS26+BS38+BS39+BS40+BS41+BS42+BS43</f>
        <v>1585.000000000001</v>
      </c>
      <c r="BT44" s="55">
        <f>BT23+BT24+BT25+BT26+BT38+BT39+BT40+BT41+BT42+BT43</f>
        <v>7633.200000000001</v>
      </c>
      <c r="BU44" s="55">
        <f>BU23+BU24+BU25+BU26+BU38+BU39+BU40+BU41+BU42+BU43</f>
        <v>9.094947017729282E-13</v>
      </c>
      <c r="BV44" s="55">
        <f>BV23+BV24+BV25+BV26+BV38+BV39+BV40+BV41+BV42+BV43</f>
        <v>1106.000000000001</v>
      </c>
      <c r="BW44" s="55">
        <f>BW23+BW24+BW25+BW26+BW38+BW39+BW40+BW41+BW42+BW43</f>
        <v>9.094947017729282E-13</v>
      </c>
      <c r="BX44" s="55">
        <f>BX23+BX24+BX25+BX26+BX38+BX39+BX40+BX41+BX42+BX43</f>
        <v>406.3200000000009</v>
      </c>
      <c r="BY44" s="55">
        <f>BY23+BY24+BY25+BY26+BY38+BY39+BY40+BY41+BY42+BY43</f>
        <v>9.094947017729282E-13</v>
      </c>
      <c r="BZ44" s="55">
        <f>BZ23+BZ24+BZ25+BZ26+BZ38+BZ39+BZ40+BZ41+BZ42+BZ43</f>
        <v>84.00000000000091</v>
      </c>
      <c r="CA44" s="55">
        <f>CA23+CA24+CA25+CA26+CA38+CA39+CA40+CA41+CA42+CA43</f>
        <v>2955.400000000001</v>
      </c>
      <c r="CB44" s="55">
        <f>CB23+CB24+CB25+CB26+CB38+CB39+CB40+CB41+CB42+CB43</f>
        <v>9.094947017729282E-13</v>
      </c>
      <c r="CC44" s="55">
        <f>CC23+CC24+CC25+CC26+CC38+CC39+CC40+CC41+CC42+CC43</f>
        <v>10807.32</v>
      </c>
      <c r="CD44" s="55">
        <f>CD23+CD24+CD25+CD26+CD38+CD39+CD40+CD41+CD42+CD43</f>
        <v>51467.39</v>
      </c>
      <c r="CE44" s="55">
        <f>CE23+CE24+CE25+CE26+CE38+CE39+CE40+CE41+CE42+CE43</f>
        <v>35619.66</v>
      </c>
      <c r="CF44" s="55">
        <f>CF23+CF24+CF25+CF26+CF38+CF39+CF40+CF41+CF42+CF43</f>
        <v>71918.79000000001</v>
      </c>
      <c r="CG44" s="55">
        <f>CG23+CG24+CG25+CG26+CG38+CG39+CG40+CG41+CG42+CG43</f>
        <v>58665.54000000001</v>
      </c>
      <c r="CH44" s="55">
        <f>CH23+CH24+CH25+CH26+CH38+CH39+CH40+CH41+CH42+CH43</f>
        <v>37455.66000000001</v>
      </c>
      <c r="CI44" s="55">
        <f>CI23+CI24+CI25+CI26+CI38+CI39+CI40+CI41+CI42+CI43</f>
        <v>48576.72000000001</v>
      </c>
      <c r="CJ44" s="55">
        <f>CJ23+CJ24+CJ25+CJ26+CJ38+CJ39+CJ40+CJ41+CJ42+CJ43</f>
        <v>40605.12000000001</v>
      </c>
      <c r="CK44" s="55">
        <f>CK23+CK24+CK25+CK26+CK38+CK39+CK40+CK41+CK42+CK43</f>
        <v>62254.680000000015</v>
      </c>
      <c r="CL44" s="55">
        <f>CL23+CL24+CL25+CL26+CL38+CL39+CL40+CL41+CL42+CL43</f>
        <v>72427.74000000002</v>
      </c>
      <c r="CM44" s="55">
        <f>CM23+CM24+CM25+CM26+CM38+CM39+CM40+CM41+CM42+CM43</f>
        <v>109052.89000000001</v>
      </c>
      <c r="CN44" s="55">
        <f>CN23+CN24+CN25+CN26+CN38+CN39+CN40+CN41+CN42+CN43</f>
        <v>63002.64000000002</v>
      </c>
      <c r="CO44" s="55">
        <f>CO23+CO24+CO25+CO26+CO38+CO39+CO40+CO41+CO42+CO43</f>
        <v>90420.72000000003</v>
      </c>
      <c r="CP44" s="55">
        <f>CP23+CP24+CP25+CP26+CP38+CP39+CP40+CP41+CP42+CP43</f>
        <v>163143.90000000002</v>
      </c>
      <c r="CQ44" s="55">
        <f>CQ23+CQ24+CQ25+CQ26+CQ38+CQ39+CQ40+CQ41+CQ42+CQ43</f>
        <v>130533.21000000002</v>
      </c>
      <c r="CR44" s="55">
        <f>CR23+CR24+CR25+CR26+CR38+CR39+CR40+CR41+CR42+CR43</f>
        <v>181535.41000000003</v>
      </c>
      <c r="CS44" s="55">
        <f>CS23+CS24+CS25+CS26+CS38+CS39+CS40+CS41+CS42+CS43</f>
        <v>341733.47</v>
      </c>
      <c r="CT44" s="55">
        <f>CT23+CT24+CT25+CT26+CT38+CT39+CT40+CT41+CT42+CT43</f>
        <v>300782.57999999996</v>
      </c>
      <c r="CU44" s="55">
        <f>CU23+CU24+CU25+CU26+CU38+CU39+CU40+CU41+CU42+CU43</f>
        <v>305638.05999999994</v>
      </c>
      <c r="CV44" s="55">
        <f>CV23+CV24+CV25+CV26+CV38+CV39+CV40+CV41+CV42+CV43</f>
        <v>339898.4099999999</v>
      </c>
      <c r="CW44" s="55">
        <f>CW23+CW24+CW25+CW26+CW38+CW39+CW40+CW41+CW42+CW43</f>
        <v>298741.92999999993</v>
      </c>
      <c r="CX44" s="55">
        <f>CX23+CX24+CX25+CX26+CX38+CX39+CX40+CX41+CX42+CX43</f>
        <v>261890.49999999997</v>
      </c>
      <c r="CY44" s="55">
        <f>CY23+CY24+CY25+CY26+CY38+CY39+CY40+CY41+CY42+CY43</f>
        <v>275491.18999999994</v>
      </c>
      <c r="CZ44" s="55">
        <f>CZ23+CZ24+CZ25+CZ26+CZ38+CZ39+CZ40+CZ41+CZ42+CZ43</f>
        <v>243442.33999999997</v>
      </c>
      <c r="DA44" s="55">
        <f>DA23+DA24+DA25+DA26+DA38+DA39+DA40+DA41+DA42+DA43</f>
        <v>223979.45999999996</v>
      </c>
      <c r="DB44" s="55">
        <f>DB23+DB24+DB25+DB26+DB38+DB39+DB40+DB41+DB42+DB43</f>
        <v>310173.4699999999</v>
      </c>
      <c r="DC44" s="55">
        <f>DC23+DC24+DC25+DC26+DC38+DC39+DC40+DC41+DC42+DC43</f>
        <v>378125.41</v>
      </c>
      <c r="DD44" s="55">
        <f>DD23+DD24+DD25+DD26+DD38+DD39+DD40+DD41+DD42+DD43</f>
        <v>430755.7199999999</v>
      </c>
      <c r="DE44" s="55">
        <f>DE23+DE24+DE25+DE26+DE38+DE39+DE40+DE41+DE42+DE43</f>
        <v>474917.48</v>
      </c>
      <c r="DF44" s="55">
        <f>DF23+DF24+DF25+DF26+DF38+DF39+DF40+DF41+DF42+DF43</f>
        <v>430365.83</v>
      </c>
      <c r="DG44" s="55">
        <f>DG23+DG24+DG25+DG26+DG38+DG39+DG40+DG41+DG42+DG43</f>
        <v>356742.00999999995</v>
      </c>
      <c r="DH44" s="55">
        <f>DH23+DH24+DH25+DH26+DH38+DH39+DH40+DH41+DH42+DH43</f>
        <v>389206.08</v>
      </c>
      <c r="DI44" s="55">
        <f>DI23+DI24+DI25+DI26+DI38+DI39+DI40+DI41+DI42+DI43</f>
        <v>385965.04000000004</v>
      </c>
      <c r="DJ44" s="55">
        <f>DJ23+DJ24+DJ25+DJ26+DJ38+DJ39+DJ40+DJ41+DJ42+DJ43</f>
        <v>314607.69999999995</v>
      </c>
      <c r="DK44" s="55">
        <f>DK23+DK24+DK25+DK26+DK38+DK39+DK40+DK41+DK42+DK43</f>
        <v>307712.48</v>
      </c>
      <c r="DL44" s="55">
        <f>DL23+DL24+DL25+DL26+DL38+DL39+DL40+DL41+DL42+DL43</f>
        <v>393260.43</v>
      </c>
      <c r="DM44" s="55">
        <f>DM23+DM24+DM25+DM26+DM38+DM39+DM40+DM41+DM42+DM43</f>
        <v>298934.87999999995</v>
      </c>
      <c r="DN44" s="55">
        <f>DN23+DN24+DN25+DN26+DN38+DN39+DN40+DN41+DN42+DN43</f>
        <v>278794.47</v>
      </c>
      <c r="DO44" s="55">
        <f>DO23+DO24+DO25+DO26+DO38+DO39+DO40+DO41+DO42+DO43</f>
        <v>243710.22999999995</v>
      </c>
      <c r="DP44" s="55">
        <f>DP23+DP24+DP25+DP26+DP38+DP39+DP40+DP41+DP42+DP43</f>
        <v>244065.0</v>
      </c>
      <c r="DQ44" s="55">
        <f>DQ23+DQ24+DQ25+DQ26+DQ38+DQ39+DQ40+DQ41+DQ42+DQ43</f>
        <v>269885.79</v>
      </c>
      <c r="DR44" s="55">
        <f>DR23+DR24+DR25+DR26+DR38+DR39+DR40+DR41+DR42+DR43</f>
        <v>283973.06999999995</v>
      </c>
      <c r="DS44" s="55">
        <f>DS23+DS24+DS25+DS26+DS38+DS39+DS40+DS41+DS42+DS43</f>
        <v>272846.39999999997</v>
      </c>
      <c r="DT44" s="55">
        <f>DT23+DT24+DT25+DT26+DT38+DT39+DT40+DT41+DT42+DT43</f>
        <v>246930.28999999998</v>
      </c>
      <c r="DU44" s="55">
        <f>DU23+DU24+DU25+DU26+DU38+DU39+DU40+DU41+DU42+DU43</f>
        <v>231678.38999999996</v>
      </c>
      <c r="DV44" s="55">
        <f>DV23+DV24+DV25+DV26+DV38+DV39+DV40+DV41+DV42+DV43</f>
        <v>222897.82999999993</v>
      </c>
      <c r="DW44" s="55">
        <f>DW23+DW24+DW25+DW26+DW38+DW39+DW40+DW41+DW42+DW43</f>
        <v>228250.78999999995</v>
      </c>
      <c r="DX44" s="55">
        <f>DX23+DX24+DX25+DX26+DX38+DX39+DX40+DX41+DX42+DX43</f>
        <v>226730.56999999995</v>
      </c>
      <c r="DY44" s="55">
        <f>DY23+DY24+DY25+DY26+DY38+DY39+DY40+DY41+DY42+DY43</f>
        <v>216883.00999999995</v>
      </c>
      <c r="DZ44" s="55">
        <f>DZ23+DZ24+DZ25+DZ26+DZ38+DZ39+DZ40+DZ41+DZ42+DZ43</f>
        <v>212130.87999999992</v>
      </c>
      <c r="EA44" s="55">
        <f>EA23+EA24+EA25+EA26+EA38+EA39+EA40+EA41+EA42+EA43</f>
        <v>209667.85999999993</v>
      </c>
      <c r="EB44" s="55">
        <f>EB23+EB24+EB25+EB26+EB38+EB39+EB40+EB41+EB42+EB43</f>
        <v>189664.46999999997</v>
      </c>
      <c r="EC44" s="55">
        <f>EC23+EC24+EC25+EC26+EC38+EC39+EC40+EC41+EC42+EC43</f>
        <v>182606.00999999995</v>
      </c>
      <c r="ED44" s="55">
        <f>ED23+ED24+ED25+ED26+ED38+ED39+ED40+ED41+ED42+ED43</f>
        <v>180245.57999999996</v>
      </c>
      <c r="EE44" s="55">
        <f>EE23+EE24+EE25+EE26+EE38+EE39+EE40+EE41+EE42+EE43</f>
        <v>204029.68999999994</v>
      </c>
      <c r="EF44" s="55">
        <f>EF23+EF24+EF25+EF26+EF38+EF39+EF40+EF41+EF42+EF43</f>
        <v>231035.19999999995</v>
      </c>
      <c r="EG44" s="55">
        <f>EG23+EG24+EG25+EG26+EG38+EG39+EG40+EG41+EG42+EG43</f>
        <v>224526.17999999996</v>
      </c>
      <c r="EH44" s="55">
        <f>EH23+EH24+EH25+EH26+EH38+EH39+EH40+EH41+EH42+EH43</f>
        <v>203816.46999999997</v>
      </c>
      <c r="EI44" s="55">
        <f>EI23+EI24+EI25+EI26+EI38+EI39+EI40+EI41+EI42+EI43</f>
        <v>219648.02999999994</v>
      </c>
      <c r="EJ44" s="55">
        <f>EJ23+EJ24+EJ25+EJ26+EJ38+EJ39+EJ40+EJ41+EJ42+EJ43</f>
        <v>202102.42999999996</v>
      </c>
      <c r="EK44" s="55">
        <f>EK23+EK24+EK25+EK26+EK38+EK39+EK40+EK41+EK42+EK43</f>
        <v>211148.84999999995</v>
      </c>
      <c r="EL44" s="55">
        <f>EL23+EL24+EL25+EL26+EL38+EL39+EL40+EL41+EL42+EL43</f>
        <v>207337.56999999995</v>
      </c>
      <c r="EM44" s="55">
        <f>EM23+EM24+EM25+EM26+EM38+EM39+EM40+EM41+EM42+EM43</f>
        <v>217563.08999999994</v>
      </c>
      <c r="EN44" s="55">
        <f>EN23+EN24+EN25+EN26+EN38+EN39+EN40+EN41+EN42+EN43</f>
        <v>204693.91999999993</v>
      </c>
      <c r="EO44" s="55">
        <f>EO23+EO24+EO25+EO26+EO38+EO39+EO40+EO41+EO42+EO43</f>
        <v>192130.45999999996</v>
      </c>
      <c r="EP44" s="55">
        <f>EP23+EP24+EP25+EP26+EP38+EP39+EP40+EP41+EP42+EP43</f>
        <v>177644.46999999994</v>
      </c>
      <c r="EQ44" s="55">
        <f>EQ23+EQ24+EQ25+EQ26+EQ38+EQ39+EQ40+EQ41+EQ42+EQ43</f>
        <v>177644.46999999994</v>
      </c>
      <c r="ER44" s="55">
        <f>ER23+ER24+ER25+ER26+ER38+ER39+ER40+ER41+ER42+ER43</f>
        <v>177348.18999999994</v>
      </c>
    </row>
    <row r="45" spans="1:148" ht="16">
      <c r="A45" s="48" t="s">
        <v>42</v>
      </c>
      <c r="B45" s="55">
        <f>B7+B19+B22+B44</f>
        <v>3709.62</v>
      </c>
      <c r="C45" s="55">
        <f>C7+C19+C22+C44</f>
        <v>2393.7099999999996</v>
      </c>
      <c r="D45" s="55">
        <f>D7+D19+D22+D44</f>
        <v>-1799.3100000000004</v>
      </c>
      <c r="E45" s="55">
        <f>E7+E19+E22+E44</f>
        <v>-4158.780000000001</v>
      </c>
      <c r="F45" s="55">
        <f>F7+F19+F22+F44</f>
        <v>-3040.0700000000006</v>
      </c>
      <c r="G45" s="55">
        <f>G7+G19+G22+G44</f>
        <v>-3426.1499999999996</v>
      </c>
      <c r="H45" s="55">
        <f>H7+H19+H22+H44</f>
        <v>-5504.79</v>
      </c>
      <c r="I45" s="55">
        <f>I7+I19+I22+I44</f>
        <v>-8700.01</v>
      </c>
      <c r="J45" s="55">
        <f>J7+J19+J22+J44</f>
        <v>-13547.07</v>
      </c>
      <c r="K45" s="55">
        <f>K7+K19+K22+K44</f>
        <v>-11657.91</v>
      </c>
      <c r="L45" s="55">
        <f>L7+L19+L22+L44</f>
        <v>-11086.029999999999</v>
      </c>
      <c r="M45" s="55">
        <f>M7+M19+M22+M44</f>
        <v>7358.5700000000015</v>
      </c>
      <c r="N45" s="55">
        <f>N7+N19+N22+N44</f>
        <v>2643.700000000001</v>
      </c>
      <c r="O45" s="55">
        <f>O7+O19+O22+O44</f>
        <v>8196.970000000001</v>
      </c>
      <c r="P45" s="55">
        <f>P7+P19+P22+P44</f>
        <v>9468.5</v>
      </c>
      <c r="Q45" s="55">
        <f>Q7+Q19+Q22+Q44</f>
        <v>3697.0900000000006</v>
      </c>
      <c r="R45" s="55">
        <f>R7+R19+R22+R44</f>
        <v>4520.67</v>
      </c>
      <c r="S45" s="55">
        <f>S7+S19+S22+S44</f>
        <v>27317.82</v>
      </c>
      <c r="T45" s="55">
        <f>T7+T19+T22+T44</f>
        <v>8984.130000000001</v>
      </c>
      <c r="U45" s="55">
        <f>U7+U19+U22+U44</f>
        <v>5610.710000000001</v>
      </c>
      <c r="V45" s="55">
        <f>V7+V19+V22+V44</f>
        <v>8259.210000000001</v>
      </c>
      <c r="W45" s="55">
        <f>W7+W19+W22+W44</f>
        <v>41957.76</v>
      </c>
      <c r="X45" s="55">
        <f>X7+X19+X22+X44</f>
        <v>22724.750000000007</v>
      </c>
      <c r="Y45" s="55">
        <f>Y7+Y19+Y22+Y44</f>
        <v>107861.86000000002</v>
      </c>
      <c r="Z45" s="55">
        <f>Z7+Z19+Z22+Z44</f>
        <v>88799.09000000003</v>
      </c>
      <c r="AA45" s="55">
        <f>AA7+AA19+AA22+AA44</f>
        <v>71809.05000000003</v>
      </c>
      <c r="AB45" s="55">
        <f>AB7+AB19+AB22+AB44</f>
        <v>79757.19000000002</v>
      </c>
      <c r="AC45" s="55">
        <f>AC7+AC19+AC22+AC44</f>
        <v>78634.76000000002</v>
      </c>
      <c r="AD45" s="55">
        <f>AD7+AD19+AD22+AD44</f>
        <v>60256.55000000002</v>
      </c>
      <c r="AE45" s="55">
        <f>AE7+AE19+AE22+AE44</f>
        <v>52113.550000000025</v>
      </c>
      <c r="AF45" s="55">
        <f>AF7+AF19+AF22+AF44</f>
        <v>54178.72000000003</v>
      </c>
      <c r="AG45" s="55">
        <f>AG7+AG19+AG22+AG44</f>
        <v>47565.13000000002</v>
      </c>
      <c r="AH45" s="55">
        <f>AH7+AH19+AH22+AH44</f>
        <v>30816.41000000002</v>
      </c>
      <c r="AI45" s="55">
        <f>AI7+AI19+AI22+AI44</f>
        <v>33734.870000000024</v>
      </c>
      <c r="AJ45" s="55">
        <f>AJ7+AJ19+AJ22+AJ44</f>
        <v>31626.860000000022</v>
      </c>
      <c r="AK45" s="55">
        <f>AK7+AK19+AK22+AK44</f>
        <v>22631.580000000027</v>
      </c>
      <c r="AL45" s="55">
        <f>AL7+AL19+AL22+AL44</f>
        <v>16112.640000000023</v>
      </c>
      <c r="AM45" s="55">
        <f>AM7+AM19+AM22+AM44</f>
        <v>16103.770000000026</v>
      </c>
      <c r="AN45" s="55">
        <f>AN7+AN19+AN22+AN44</f>
        <v>19896.360000000022</v>
      </c>
      <c r="AO45" s="55">
        <f>AO7+AO19+AO22+AO44</f>
        <v>25433.700000000026</v>
      </c>
      <c r="AP45" s="55">
        <f>AP7+AP19+AP22+AP44</f>
        <v>62844.50000000003</v>
      </c>
      <c r="AQ45" s="55">
        <f>AQ7+AQ19+AQ22+AQ44</f>
        <v>80540.23000000003</v>
      </c>
      <c r="AR45" s="55">
        <f>AR7+AR19+AR22+AR44</f>
        <v>55934.14000000003</v>
      </c>
      <c r="AS45" s="55">
        <f>AS7+AS19+AS22+AS44</f>
        <v>45132.070000000036</v>
      </c>
      <c r="AT45" s="55">
        <f>AT7+AT19+AT22+AT44</f>
        <v>28705.37000000003</v>
      </c>
      <c r="AU45" s="55">
        <f>AU7+AU19+AU22+AU44</f>
        <v>61320.66000000004</v>
      </c>
      <c r="AV45" s="55">
        <f>AV7+AV19+AV22+AV44</f>
        <v>59817.460000000036</v>
      </c>
      <c r="AW45" s="55">
        <f>AW7+AW19+AW22+AW44</f>
        <v>47313.37000000004</v>
      </c>
      <c r="AX45" s="55">
        <f>AX7+AX19+AX22+AX44</f>
        <v>52545.500000000044</v>
      </c>
      <c r="AY45" s="55">
        <f>AY7+AY19+AY22+AY44</f>
        <v>25976.310000000034</v>
      </c>
      <c r="AZ45" s="55">
        <f>AZ7+AZ19+AZ22+AZ44</f>
        <v>21903.880000000037</v>
      </c>
      <c r="BA45" s="55">
        <f>BA7+BA19+BA22+BA44</f>
        <v>47997.29000000004</v>
      </c>
      <c r="BB45" s="55">
        <f>BB7+BB19+BB22+BB44</f>
        <v>48156.83000000003</v>
      </c>
      <c r="BC45" s="55">
        <f>BC7+BC19+BC22+BC44</f>
        <v>46495.83000000004</v>
      </c>
      <c r="BD45" s="55">
        <f>BD7+BD19+BD22+BD44</f>
        <v>39022.95000000003</v>
      </c>
      <c r="BE45" s="55">
        <f>BE7+BE19+BE22+BE44</f>
        <v>31150.640000000036</v>
      </c>
      <c r="BF45" s="55">
        <f>BF7+BF19+BF22+BF44</f>
        <v>63744.19000000004</v>
      </c>
      <c r="BG45" s="55">
        <f>BG7+BG19+BG22+BG44</f>
        <v>45894.79000000004</v>
      </c>
      <c r="BH45" s="55">
        <f>BH7+BH19+BH22+BH44</f>
        <v>61093.29000000004</v>
      </c>
      <c r="BI45" s="55">
        <f>BI7+BI19+BI22+BI44</f>
        <v>64730.91000000004</v>
      </c>
      <c r="BJ45" s="55">
        <f>BJ7+BJ19+BJ22+BJ44</f>
        <v>66353.84000000004</v>
      </c>
      <c r="BK45" s="55">
        <f>BK7+BK19+BK22+BK44</f>
        <v>60605.30000000005</v>
      </c>
      <c r="BL45" s="55">
        <f>BL7+BL19+BL22+BL44</f>
        <v>95611.89000000004</v>
      </c>
      <c r="BM45" s="55">
        <f>BM7+BM19+BM22+BM44</f>
        <v>117209.50000000004</v>
      </c>
      <c r="BN45" s="55">
        <f>BN7+BN19+BN22+BN44</f>
        <v>92071.95000000006</v>
      </c>
      <c r="BO45" s="55">
        <f>BO7+BO19+BO22+BO44</f>
        <v>84808.37000000005</v>
      </c>
      <c r="BP45" s="55">
        <f>BP7+BP19+BP22+BP44</f>
        <v>93577.45000000006</v>
      </c>
      <c r="BQ45" s="55">
        <f>BQ7+BQ19+BQ22+BQ44</f>
        <v>128190.73000000005</v>
      </c>
      <c r="BR45" s="55">
        <f>BR7+BR19+BR22+BR44</f>
        <v>170392.89000000007</v>
      </c>
      <c r="BS45" s="55">
        <f>BS7+BS19+BS22+BS44</f>
        <v>165100.86000000004</v>
      </c>
      <c r="BT45" s="55">
        <f>BT7+BT19+BT22+BT44</f>
        <v>139163.25000000006</v>
      </c>
      <c r="BU45" s="55">
        <f>BU7+BU19+BU22+BU44</f>
        <v>58020.30000000005</v>
      </c>
      <c r="BV45" s="55">
        <f>BV7+BV19+BV22+BV44</f>
        <v>172643.92000000004</v>
      </c>
      <c r="BW45" s="55">
        <f>BW7+BW19+BW22+BW44</f>
        <v>187793.81000000006</v>
      </c>
      <c r="BX45" s="55">
        <f>BX7+BX19+BX22+BX44</f>
        <v>198618.64000000004</v>
      </c>
      <c r="BY45" s="55">
        <f>BY7+BY19+BY22+BY44</f>
        <v>206467.74000000005</v>
      </c>
      <c r="BZ45" s="55">
        <f>BZ7+BZ19+BZ22+BZ44</f>
        <v>258198.73000000004</v>
      </c>
      <c r="CA45" s="55">
        <f>CA7+CA19+CA22+CA44</f>
        <v>305952.50000000006</v>
      </c>
      <c r="CB45" s="55">
        <f>CB7+CB19+CB22+CB44</f>
        <v>284818.32000000007</v>
      </c>
      <c r="CC45" s="55">
        <f>CC7+CC19+CC22+CC44</f>
        <v>309227.18000000005</v>
      </c>
      <c r="CD45" s="55">
        <f>CD7+CD19+CD22+CD44</f>
        <v>332687.9600000001</v>
      </c>
      <c r="CE45" s="55">
        <f>CE7+CE19+CE22+CE44</f>
        <v>410463.4</v>
      </c>
      <c r="CF45" s="55">
        <f>CF7+CF19+CF22+CF44</f>
        <v>378800.80000000005</v>
      </c>
      <c r="CG45" s="55">
        <f>CG7+CG19+CG22+CG44</f>
        <v>405441.94000000006</v>
      </c>
      <c r="CH45" s="55">
        <f>CH7+CH19+CH22+CH44</f>
        <v>408738.13000000006</v>
      </c>
      <c r="CI45" s="55">
        <f>CI7+CI19+CI22+CI44</f>
        <v>423285.78</v>
      </c>
      <c r="CJ45" s="55">
        <f>CJ7+CJ19+CJ22+CJ44</f>
        <v>492010.64</v>
      </c>
      <c r="CK45" s="55">
        <f>CK7+CK19+CK22+CK44</f>
        <v>492450.60000000003</v>
      </c>
      <c r="CL45" s="55">
        <f>CL7+CL19+CL22+CL44</f>
        <v>446608.06000000006</v>
      </c>
      <c r="CM45" s="55">
        <f>CM7+CM19+CM22+CM44</f>
        <v>481235.62000000005</v>
      </c>
      <c r="CN45" s="55">
        <f>CN7+CN19+CN22+CN44</f>
        <v>557286.73</v>
      </c>
      <c r="CO45" s="55">
        <f>CO7+CO19+CO22+CO44</f>
        <v>572411.24</v>
      </c>
      <c r="CP45" s="55">
        <f>CP7+CP19+CP22+CP44</f>
        <v>523981.6300000001</v>
      </c>
      <c r="CQ45" s="55">
        <f>CQ7+CQ19+CQ22+CQ44</f>
        <v>445554.1800000001</v>
      </c>
      <c r="CR45" s="55">
        <f>CR7+CR19+CR22+CR44</f>
        <v>550390.6900000001</v>
      </c>
      <c r="CS45" s="55">
        <f>CS7+CS19+CS22+CS44</f>
        <v>598359.65</v>
      </c>
      <c r="CT45" s="55">
        <f>CT7+CT19+CT22+CT44</f>
        <v>626438.29</v>
      </c>
      <c r="CU45" s="55">
        <f>CU7+CU19+CU22+CU44</f>
        <v>639403.47</v>
      </c>
      <c r="CV45" s="55">
        <f>CV7+CV19+CV22+CV44</f>
        <v>527383.75</v>
      </c>
      <c r="CW45" s="55">
        <f>CW7+CW19+CW22+CW44</f>
        <v>493076.36</v>
      </c>
      <c r="CX45" s="55">
        <f>CX7+CX19+CX22+CX44</f>
        <v>427861.73000000004</v>
      </c>
      <c r="CY45" s="55">
        <f>CY7+CY19+CY22+CY44</f>
        <v>430721.74</v>
      </c>
      <c r="CZ45" s="55">
        <f>CZ7+CZ19+CZ22+CZ44</f>
        <v>455427.9</v>
      </c>
      <c r="DA45" s="55">
        <f>DA7+DA19+DA22+DA44</f>
        <v>383380.73000000004</v>
      </c>
      <c r="DB45" s="55">
        <f>DB7+DB19+DB22+DB44</f>
        <v>565641.3300000001</v>
      </c>
      <c r="DC45" s="55">
        <f>DC7+DC19+DC22+DC44</f>
        <v>701481.01</v>
      </c>
      <c r="DD45" s="55">
        <f>DD7+DD19+DD22+DD44</f>
        <v>769580.3899999999</v>
      </c>
      <c r="DE45" s="55">
        <f>DE7+DE19+DE22+DE44</f>
        <v>691613.3300000001</v>
      </c>
      <c r="DF45" s="55">
        <f>DF7+DF19+DF22+DF44</f>
        <v>601160.53</v>
      </c>
      <c r="DG45" s="55">
        <f>DG7+DG19+DG22+DG44</f>
        <v>480868.62</v>
      </c>
      <c r="DH45" s="55">
        <f>DH7+DH19+DH22+DH44</f>
        <v>625276.54</v>
      </c>
      <c r="DI45" s="55">
        <f>DI7+DI19+DI22+DI44</f>
        <v>579060.4000000001</v>
      </c>
      <c r="DJ45" s="55">
        <f>DJ7+DJ19+DJ22+DJ44</f>
        <v>396374.13</v>
      </c>
      <c r="DK45" s="55">
        <f>DK7+DK19+DK22+DK44</f>
        <v>451861.98000000004</v>
      </c>
      <c r="DL45" s="55">
        <f>DL7+DL19+DL22+DL44</f>
        <v>491151.8400000001</v>
      </c>
      <c r="DM45" s="55">
        <f>DM7+DM19+DM22+DM44</f>
        <v>417657.39</v>
      </c>
      <c r="DN45" s="55">
        <f>DN7+DN19+DN22+DN44</f>
        <v>310853.62000000005</v>
      </c>
      <c r="DO45" s="55">
        <f>DO7+DO19+DO22+DO44</f>
        <v>337846.36</v>
      </c>
      <c r="DP45" s="55">
        <f>DP7+DP19+DP22+DP44</f>
        <v>319445.41000000003</v>
      </c>
      <c r="DQ45" s="55">
        <f>DQ7+DQ19+DQ22+DQ44</f>
        <v>494089.3400000001</v>
      </c>
      <c r="DR45" s="55">
        <f>DR7+DR19+DR22+DR44</f>
        <v>357058.66000000003</v>
      </c>
      <c r="DS45" s="55">
        <f>DS7+DS19+DS22+DS44</f>
        <v>313816.49000000005</v>
      </c>
      <c r="DT45" s="55">
        <f>DT7+DT19+DT22+DT44</f>
        <v>289477.31000000006</v>
      </c>
      <c r="DU45" s="55">
        <f>DU7+DU19+DU22+DU44</f>
        <v>254382.94000000003</v>
      </c>
      <c r="DV45" s="55">
        <f>DV7+DV19+DV22+DV44</f>
        <v>221791.63</v>
      </c>
      <c r="DW45" s="55">
        <f>DW7+DW19+DW22+DW44</f>
        <v>244430.85000000003</v>
      </c>
      <c r="DX45" s="55">
        <f>DX7+DX19+DX22+DX44</f>
        <v>256270.80000000002</v>
      </c>
      <c r="DY45" s="55">
        <f>DY7+DY19+DY22+DY44</f>
        <v>233242.26</v>
      </c>
      <c r="DZ45" s="55">
        <f>DZ7+DZ19+DZ22+DZ44</f>
        <v>251337.75999999998</v>
      </c>
      <c r="EA45" s="55">
        <f>EA7+EA19+EA22+EA44</f>
        <v>301305.23</v>
      </c>
      <c r="EB45" s="55">
        <f>EB7+EB19+EB22+EB44</f>
        <v>218760.73000000004</v>
      </c>
      <c r="EC45" s="55">
        <f>EC7+EC19+EC22+EC44</f>
        <v>226997.45</v>
      </c>
      <c r="ED45" s="55">
        <f>ED7+ED19+ED22+ED44</f>
        <v>300855.63</v>
      </c>
      <c r="EE45" s="55">
        <f>EE7+EE19+EE22+EE44</f>
        <v>278456.19</v>
      </c>
      <c r="EF45" s="55">
        <f>EF7+EF19+EF22+EF44</f>
        <v>255829.48000000004</v>
      </c>
      <c r="EG45" s="55">
        <f>EG7+EG19+EG22+EG44</f>
        <v>230044.31000000003</v>
      </c>
      <c r="EH45" s="55">
        <f>EH7+EH19+EH22+EH44</f>
        <v>229983.62000000005</v>
      </c>
      <c r="EI45" s="55">
        <f>EI7+EI19+EI22+EI44</f>
        <v>238184.92</v>
      </c>
      <c r="EJ45" s="55">
        <f>EJ7+EJ19+EJ22+EJ44</f>
        <v>263333.78</v>
      </c>
      <c r="EK45" s="55">
        <f>EK7+EK19+EK22+EK44</f>
        <v>240353.11000000002</v>
      </c>
      <c r="EL45" s="55">
        <f>EL7+EL19+EL22+EL44</f>
        <v>220542.31000000003</v>
      </c>
      <c r="EM45" s="55">
        <f>EM7+EM19+EM22+EM44</f>
        <v>219767.76</v>
      </c>
      <c r="EN45" s="55">
        <f>EN7+EN19+EN22+EN44</f>
        <v>210818.34</v>
      </c>
      <c r="EO45" s="55">
        <f>EO7+EO19+EO22+EO44</f>
        <v>212863.28000000003</v>
      </c>
      <c r="EP45" s="55">
        <f>EP7+EP19+EP22+EP44</f>
        <v>188932.2</v>
      </c>
      <c r="EQ45" s="55">
        <f>EQ7+EQ19+EQ22+EQ44</f>
        <v>182837.65000000002</v>
      </c>
      <c r="ER45" s="55">
        <f>ER7+ER19+ER22+ER44</f>
        <v>171557.02000000002</v>
      </c>
    </row>
    <row r="46" spans="1:148" ht="16">
      <c r="A46" s="40" t="s">
        <v>43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</row>
    <row r="47" spans="1:148" ht="16">
      <c r="A47" s="41" t="s">
        <v>44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4">
        <v>3500.0</v>
      </c>
      <c r="BL47" s="54">
        <v>3500.0</v>
      </c>
      <c r="BM47" s="54">
        <v>3500.0</v>
      </c>
      <c r="BN47" s="54">
        <v>3500.0</v>
      </c>
      <c r="BO47" s="54">
        <v>4695.08</v>
      </c>
      <c r="BP47" s="54">
        <v>4695.08</v>
      </c>
      <c r="BQ47" s="54">
        <v>4695.08</v>
      </c>
      <c r="BR47" s="54">
        <v>4695.08</v>
      </c>
      <c r="BS47" s="54">
        <v>4695.08</v>
      </c>
      <c r="BT47" s="54">
        <v>4695.08</v>
      </c>
      <c r="BU47" s="54">
        <v>5452.0</v>
      </c>
      <c r="BV47" s="54">
        <v>4695.08</v>
      </c>
      <c r="BW47" s="54">
        <v>4695.08</v>
      </c>
      <c r="BX47" s="54">
        <v>4695.08</v>
      </c>
      <c r="BY47" s="54">
        <v>4695.08</v>
      </c>
      <c r="BZ47" s="54">
        <v>4695.08</v>
      </c>
      <c r="CA47" s="54">
        <v>4695.08</v>
      </c>
      <c r="CB47" s="54">
        <v>4695.08</v>
      </c>
      <c r="CC47" s="54">
        <v>4695.08</v>
      </c>
      <c r="CD47" s="54">
        <v>4695.08</v>
      </c>
      <c r="CE47" s="54">
        <v>4695.08</v>
      </c>
      <c r="CF47" s="54">
        <v>4695.08</v>
      </c>
      <c r="CG47" s="54">
        <v>3500.0</v>
      </c>
      <c r="CH47" s="54">
        <v>4819.5599999999995</v>
      </c>
      <c r="CI47" s="54">
        <v>4819.5599999999995</v>
      </c>
      <c r="CJ47" s="54">
        <v>4819.5599999999995</v>
      </c>
      <c r="CK47" s="54">
        <v>4819.5599999999995</v>
      </c>
      <c r="CL47" s="54">
        <v>4819.5599999999995</v>
      </c>
      <c r="CM47" s="54">
        <v>4819.5599999999995</v>
      </c>
      <c r="CN47" s="54">
        <v>4819.5599999999995</v>
      </c>
      <c r="CO47" s="54">
        <v>4819.5599999999995</v>
      </c>
      <c r="CP47" s="54">
        <v>14069.56</v>
      </c>
      <c r="CQ47" s="54">
        <v>14069.56</v>
      </c>
      <c r="CR47" s="54">
        <v>14069.56</v>
      </c>
      <c r="CS47" s="54">
        <v>14069.56</v>
      </c>
      <c r="CT47" s="54">
        <v>14069.56</v>
      </c>
      <c r="CU47" s="54">
        <v>14069.56</v>
      </c>
      <c r="CV47" s="54">
        <v>14069.56</v>
      </c>
      <c r="CW47" s="54">
        <v>14069.56</v>
      </c>
      <c r="CX47" s="54">
        <v>14069.56</v>
      </c>
      <c r="CY47" s="54">
        <v>14069.56</v>
      </c>
      <c r="CZ47" s="54">
        <v>14069.56</v>
      </c>
      <c r="DA47" s="54">
        <v>14069.56</v>
      </c>
      <c r="DB47" s="54">
        <v>14069.56</v>
      </c>
      <c r="DC47" s="54">
        <v>14069.56</v>
      </c>
      <c r="DD47" s="54">
        <v>14069.56</v>
      </c>
      <c r="DE47" s="54">
        <v>14069.56</v>
      </c>
      <c r="DF47" s="54">
        <v>14069.56</v>
      </c>
      <c r="DG47" s="54">
        <v>14069.56</v>
      </c>
      <c r="DH47" s="54">
        <v>14069.56</v>
      </c>
      <c r="DI47" s="54">
        <v>14069.56</v>
      </c>
      <c r="DJ47" s="54">
        <v>14069.56</v>
      </c>
      <c r="DK47" s="54">
        <v>14069.56</v>
      </c>
      <c r="DL47" s="54">
        <v>14069.56</v>
      </c>
      <c r="DM47" s="54">
        <v>14069.56</v>
      </c>
      <c r="DN47" s="54">
        <v>14069.56</v>
      </c>
      <c r="DO47" s="54">
        <v>14069.56</v>
      </c>
      <c r="DP47" s="54">
        <v>14069.56</v>
      </c>
      <c r="DQ47" s="54">
        <v>14069.56</v>
      </c>
      <c r="DR47" s="54">
        <v>10569.56</v>
      </c>
      <c r="DS47" s="54">
        <v>10569.56</v>
      </c>
      <c r="DT47" s="54">
        <v>10569.56</v>
      </c>
      <c r="DU47" s="54">
        <v>10569.56</v>
      </c>
      <c r="DV47" s="54">
        <v>10569.56</v>
      </c>
      <c r="DW47" s="54">
        <v>1319.5599999999995</v>
      </c>
      <c r="DX47" s="54">
        <v>1319.5599999999995</v>
      </c>
      <c r="DY47" s="54">
        <v>1319.5599999999995</v>
      </c>
      <c r="DZ47" s="54">
        <v>1319.5599999999995</v>
      </c>
      <c r="EA47" s="54">
        <v>1319.5599999999995</v>
      </c>
      <c r="EB47" s="54">
        <v>1319.5599999999995</v>
      </c>
      <c r="EC47" s="54">
        <v>1319.5599999999995</v>
      </c>
      <c r="ED47" s="54">
        <v>1319.5599999999995</v>
      </c>
      <c r="EE47" s="54">
        <v>1319.5599999999995</v>
      </c>
      <c r="EF47" s="54">
        <v>1319.5599999999995</v>
      </c>
      <c r="EG47" s="54">
        <v>1319.5599999999995</v>
      </c>
      <c r="EH47" s="54">
        <v>1319.5599999999995</v>
      </c>
      <c r="EI47" s="54">
        <v>1319.5599999999995</v>
      </c>
      <c r="EJ47" s="54">
        <v>1319.5599999999995</v>
      </c>
      <c r="EK47" s="54">
        <v>1319.5599999999995</v>
      </c>
      <c r="EL47" s="54">
        <v>1319.5599999999995</v>
      </c>
      <c r="EM47" s="54">
        <v>1319.5599999999995</v>
      </c>
      <c r="EN47" s="54">
        <v>1319.5599999999995</v>
      </c>
      <c r="EO47" s="54">
        <v>1319.5599999999995</v>
      </c>
      <c r="EP47" s="54">
        <v>1319.5599999999995</v>
      </c>
      <c r="EQ47" s="54">
        <v>1319.5599999999995</v>
      </c>
      <c r="ER47" s="54">
        <v>1319.5599999999995</v>
      </c>
    </row>
    <row r="48" spans="1:148" ht="16">
      <c r="A48" s="41" t="s">
        <v>45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4">
        <v>31641.77</v>
      </c>
      <c r="BX48" s="54">
        <v>31641.77</v>
      </c>
      <c r="BY48" s="54">
        <v>31641.77</v>
      </c>
      <c r="BZ48" s="54">
        <v>31641.77</v>
      </c>
      <c r="CA48" s="54">
        <v>31641.77</v>
      </c>
      <c r="CB48" s="54">
        <v>31641.77</v>
      </c>
      <c r="CC48" s="54">
        <v>31641.77</v>
      </c>
      <c r="CD48" s="54">
        <v>31641.77</v>
      </c>
      <c r="CE48" s="54">
        <v>31641.77</v>
      </c>
      <c r="CF48" s="54">
        <v>31641.77</v>
      </c>
      <c r="CG48" s="54">
        <v>31641.77</v>
      </c>
      <c r="CH48" s="54">
        <v>31641.77</v>
      </c>
      <c r="CI48" s="54">
        <v>31641.77</v>
      </c>
      <c r="CJ48" s="54">
        <v>31641.77</v>
      </c>
      <c r="CK48" s="54">
        <v>31641.77</v>
      </c>
      <c r="CL48" s="54">
        <v>31641.77</v>
      </c>
      <c r="CM48" s="54">
        <v>31641.77</v>
      </c>
      <c r="CN48" s="54">
        <v>31641.77</v>
      </c>
      <c r="CO48" s="54">
        <v>31641.77</v>
      </c>
      <c r="CP48" s="54">
        <v>31641.77</v>
      </c>
      <c r="CQ48" s="54">
        <v>31641.77</v>
      </c>
      <c r="CR48" s="54">
        <v>31641.77</v>
      </c>
      <c r="CS48" s="54">
        <v>31641.77</v>
      </c>
      <c r="CT48" s="54">
        <v>31641.77</v>
      </c>
      <c r="CU48" s="54">
        <v>31641.77</v>
      </c>
      <c r="CV48" s="54">
        <v>31641.77</v>
      </c>
      <c r="CW48" s="54">
        <v>31641.77</v>
      </c>
      <c r="CX48" s="54">
        <v>31641.77</v>
      </c>
      <c r="CY48" s="54">
        <v>31641.77</v>
      </c>
      <c r="CZ48" s="54">
        <v>31641.77</v>
      </c>
      <c r="DA48" s="54">
        <v>31641.77</v>
      </c>
      <c r="DB48" s="54">
        <v>31641.77</v>
      </c>
      <c r="DC48" s="54">
        <v>31641.77</v>
      </c>
      <c r="DD48" s="54">
        <v>31641.77</v>
      </c>
      <c r="DE48" s="54">
        <v>31641.77</v>
      </c>
      <c r="DF48" s="54">
        <v>31641.77</v>
      </c>
      <c r="DG48" s="54">
        <v>31641.77</v>
      </c>
      <c r="DH48" s="54">
        <v>31641.77</v>
      </c>
      <c r="DI48" s="54">
        <v>31641.77</v>
      </c>
      <c r="DJ48" s="54">
        <v>31641.77</v>
      </c>
      <c r="DK48" s="54">
        <v>31641.77</v>
      </c>
      <c r="DL48" s="54">
        <v>31641.77</v>
      </c>
      <c r="DM48" s="54">
        <v>31641.77</v>
      </c>
      <c r="DN48" s="54">
        <v>31641.77</v>
      </c>
      <c r="DO48" s="54">
        <v>31641.77</v>
      </c>
      <c r="DP48" s="54">
        <v>31641.77</v>
      </c>
      <c r="DQ48" s="54">
        <v>31641.77</v>
      </c>
      <c r="DR48" s="54">
        <v>0</v>
      </c>
      <c r="DS48" s="54">
        <v>0</v>
      </c>
      <c r="DT48" s="54">
        <v>0</v>
      </c>
      <c r="DU48" s="54">
        <v>0</v>
      </c>
      <c r="DV48" s="54">
        <v>0</v>
      </c>
      <c r="DW48" s="54">
        <v>0</v>
      </c>
      <c r="DX48" s="54">
        <v>0</v>
      </c>
      <c r="DY48" s="54">
        <v>0</v>
      </c>
      <c r="DZ48" s="54">
        <v>0</v>
      </c>
      <c r="EA48" s="54">
        <v>0</v>
      </c>
      <c r="EB48" s="54">
        <v>0</v>
      </c>
      <c r="EC48" s="54">
        <v>0</v>
      </c>
      <c r="ED48" s="54">
        <v>0</v>
      </c>
      <c r="EE48" s="54">
        <v>0</v>
      </c>
      <c r="EF48" s="54">
        <v>0</v>
      </c>
      <c r="EG48" s="54">
        <v>0</v>
      </c>
      <c r="EH48" s="54">
        <v>0</v>
      </c>
      <c r="EI48" s="54">
        <v>0</v>
      </c>
      <c r="EJ48" s="54">
        <v>0</v>
      </c>
      <c r="EK48" s="54">
        <v>0</v>
      </c>
      <c r="EL48" s="54">
        <v>0</v>
      </c>
      <c r="EM48" s="54">
        <v>0</v>
      </c>
      <c r="EN48" s="54">
        <v>0</v>
      </c>
      <c r="EO48" s="54">
        <v>0</v>
      </c>
      <c r="EP48" s="54">
        <v>0</v>
      </c>
      <c r="EQ48" s="54">
        <v>0</v>
      </c>
      <c r="ER48" s="54">
        <v>0</v>
      </c>
    </row>
    <row r="49" spans="1:148" ht="16">
      <c r="A49" s="41" t="s">
        <v>46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4">
        <v>26826.32</v>
      </c>
      <c r="CC49" s="54">
        <v>26826.32</v>
      </c>
      <c r="CD49" s="54">
        <v>26826.32</v>
      </c>
      <c r="CE49" s="54">
        <v>26826.32</v>
      </c>
      <c r="CF49" s="54">
        <v>26826.32</v>
      </c>
      <c r="CG49" s="54">
        <v>26826.32</v>
      </c>
      <c r="CH49" s="54">
        <v>26826.32</v>
      </c>
      <c r="CI49" s="54">
        <v>26826.32</v>
      </c>
      <c r="CJ49" s="54">
        <v>26826.32</v>
      </c>
      <c r="CK49" s="54">
        <v>26826.32</v>
      </c>
      <c r="CL49" s="54">
        <v>26826.32</v>
      </c>
      <c r="CM49" s="54">
        <v>26826.32</v>
      </c>
      <c r="CN49" s="54">
        <v>26826.32</v>
      </c>
      <c r="CO49" s="54">
        <v>26826.32</v>
      </c>
      <c r="CP49" s="54">
        <v>26826.32</v>
      </c>
      <c r="CQ49" s="54">
        <v>26826.32</v>
      </c>
      <c r="CR49" s="54">
        <v>26826.32</v>
      </c>
      <c r="CS49" s="54">
        <v>26826.32</v>
      </c>
      <c r="CT49" s="54">
        <v>26826.32</v>
      </c>
      <c r="CU49" s="54">
        <v>26826.32</v>
      </c>
      <c r="CV49" s="54">
        <v>26826.32</v>
      </c>
      <c r="CW49" s="54">
        <v>26826.32</v>
      </c>
      <c r="CX49" s="54">
        <v>26826.32</v>
      </c>
      <c r="CY49" s="54">
        <v>26826.32</v>
      </c>
      <c r="CZ49" s="54">
        <v>26826.32</v>
      </c>
      <c r="DA49" s="54">
        <v>26826.32</v>
      </c>
      <c r="DB49" s="54">
        <v>26826.32</v>
      </c>
      <c r="DC49" s="54">
        <v>26826.32</v>
      </c>
      <c r="DD49" s="54">
        <v>26826.32</v>
      </c>
      <c r="DE49" s="54">
        <v>26826.32</v>
      </c>
      <c r="DF49" s="54">
        <v>26826.32</v>
      </c>
      <c r="DG49" s="54">
        <v>26826.32</v>
      </c>
      <c r="DH49" s="54">
        <v>26826.32</v>
      </c>
      <c r="DI49" s="54">
        <v>26826.32</v>
      </c>
      <c r="DJ49" s="54">
        <v>26826.32</v>
      </c>
      <c r="DK49" s="54">
        <v>26826.32</v>
      </c>
      <c r="DL49" s="54">
        <v>26826.32</v>
      </c>
      <c r="DM49" s="54">
        <v>26826.32</v>
      </c>
      <c r="DN49" s="54">
        <v>0</v>
      </c>
      <c r="DO49" s="54">
        <v>0</v>
      </c>
      <c r="DP49" s="54">
        <v>0</v>
      </c>
      <c r="DQ49" s="54">
        <v>0</v>
      </c>
      <c r="DR49" s="54">
        <v>0</v>
      </c>
      <c r="DS49" s="54">
        <v>0</v>
      </c>
      <c r="DT49" s="54">
        <v>0</v>
      </c>
      <c r="DU49" s="54">
        <v>0</v>
      </c>
      <c r="DV49" s="54">
        <v>0</v>
      </c>
      <c r="DW49" s="54">
        <v>0</v>
      </c>
      <c r="DX49" s="54">
        <v>0</v>
      </c>
      <c r="DY49" s="54">
        <v>0</v>
      </c>
      <c r="DZ49" s="54">
        <v>0</v>
      </c>
      <c r="EA49" s="54">
        <v>0</v>
      </c>
      <c r="EB49" s="54">
        <v>0</v>
      </c>
      <c r="EC49" s="54">
        <v>0</v>
      </c>
      <c r="ED49" s="54">
        <v>0</v>
      </c>
      <c r="EE49" s="54">
        <v>0</v>
      </c>
      <c r="EF49" s="54">
        <v>0</v>
      </c>
      <c r="EG49" s="54">
        <v>0</v>
      </c>
      <c r="EH49" s="54">
        <v>0</v>
      </c>
      <c r="EI49" s="54">
        <v>0</v>
      </c>
      <c r="EJ49" s="54">
        <v>0</v>
      </c>
      <c r="EK49" s="54">
        <v>0</v>
      </c>
      <c r="EL49" s="54">
        <v>0</v>
      </c>
      <c r="EM49" s="54">
        <v>0</v>
      </c>
      <c r="EN49" s="54">
        <v>0</v>
      </c>
      <c r="EO49" s="54">
        <v>0</v>
      </c>
      <c r="EP49" s="54">
        <v>0</v>
      </c>
      <c r="EQ49" s="54">
        <v>0</v>
      </c>
      <c r="ER49" s="54">
        <v>0</v>
      </c>
    </row>
    <row r="50" spans="1:148" ht="16">
      <c r="A50" s="41" t="s">
        <v>47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4">
        <v>27187.83</v>
      </c>
      <c r="CD50" s="54">
        <v>27187.83</v>
      </c>
      <c r="CE50" s="54">
        <v>27187.83</v>
      </c>
      <c r="CF50" s="54">
        <v>27187.83</v>
      </c>
      <c r="CG50" s="54">
        <v>27187.83</v>
      </c>
      <c r="CH50" s="54">
        <v>27187.83</v>
      </c>
      <c r="CI50" s="54">
        <v>27187.83</v>
      </c>
      <c r="CJ50" s="54">
        <v>27187.83</v>
      </c>
      <c r="CK50" s="54">
        <v>27187.83</v>
      </c>
      <c r="CL50" s="54">
        <v>27187.83</v>
      </c>
      <c r="CM50" s="54">
        <v>27187.83</v>
      </c>
      <c r="CN50" s="54">
        <v>27187.83</v>
      </c>
      <c r="CO50" s="54">
        <v>27187.83</v>
      </c>
      <c r="CP50" s="54">
        <v>27187.83</v>
      </c>
      <c r="CQ50" s="54">
        <v>27187.83</v>
      </c>
      <c r="CR50" s="54">
        <v>27187.83</v>
      </c>
      <c r="CS50" s="54">
        <v>27187.83</v>
      </c>
      <c r="CT50" s="54">
        <v>27187.83</v>
      </c>
      <c r="CU50" s="54">
        <v>27187.83</v>
      </c>
      <c r="CV50" s="54">
        <v>27187.83</v>
      </c>
      <c r="CW50" s="54">
        <v>27187.83</v>
      </c>
      <c r="CX50" s="54">
        <v>27187.83</v>
      </c>
      <c r="CY50" s="54">
        <v>27187.83</v>
      </c>
      <c r="CZ50" s="54">
        <v>27187.83</v>
      </c>
      <c r="DA50" s="54">
        <v>27187.83</v>
      </c>
      <c r="DB50" s="54">
        <v>27187.83</v>
      </c>
      <c r="DC50" s="54">
        <v>27187.83</v>
      </c>
      <c r="DD50" s="54">
        <v>27187.83</v>
      </c>
      <c r="DE50" s="54">
        <v>27187.83</v>
      </c>
      <c r="DF50" s="54">
        <v>27187.83</v>
      </c>
      <c r="DG50" s="54">
        <v>27187.83</v>
      </c>
      <c r="DH50" s="54">
        <v>0</v>
      </c>
      <c r="DI50" s="54">
        <v>0</v>
      </c>
      <c r="DJ50" s="54">
        <v>0</v>
      </c>
      <c r="DK50" s="54">
        <v>0</v>
      </c>
      <c r="DL50" s="54">
        <v>0</v>
      </c>
      <c r="DM50" s="54">
        <v>0</v>
      </c>
      <c r="DN50" s="54">
        <v>0</v>
      </c>
      <c r="DO50" s="54">
        <v>0</v>
      </c>
      <c r="DP50" s="54">
        <v>0</v>
      </c>
      <c r="DQ50" s="54">
        <v>0</v>
      </c>
      <c r="DR50" s="54">
        <v>0</v>
      </c>
      <c r="DS50" s="54">
        <v>0</v>
      </c>
      <c r="DT50" s="54">
        <v>0</v>
      </c>
      <c r="DU50" s="54">
        <v>0</v>
      </c>
      <c r="DV50" s="54">
        <v>0</v>
      </c>
      <c r="DW50" s="54">
        <v>0</v>
      </c>
      <c r="DX50" s="54">
        <v>0</v>
      </c>
      <c r="DY50" s="54">
        <v>0</v>
      </c>
      <c r="DZ50" s="54">
        <v>0</v>
      </c>
      <c r="EA50" s="54">
        <v>0</v>
      </c>
      <c r="EB50" s="54">
        <v>0</v>
      </c>
      <c r="EC50" s="54">
        <v>0</v>
      </c>
      <c r="ED50" s="54">
        <v>0</v>
      </c>
      <c r="EE50" s="54">
        <v>0</v>
      </c>
      <c r="EF50" s="54">
        <v>0</v>
      </c>
      <c r="EG50" s="54">
        <v>0</v>
      </c>
      <c r="EH50" s="54">
        <v>0</v>
      </c>
      <c r="EI50" s="54">
        <v>0</v>
      </c>
      <c r="EJ50" s="54">
        <v>0</v>
      </c>
      <c r="EK50" s="54">
        <v>0</v>
      </c>
      <c r="EL50" s="54">
        <v>0</v>
      </c>
      <c r="EM50" s="54">
        <v>0</v>
      </c>
      <c r="EN50" s="54">
        <v>0</v>
      </c>
      <c r="EO50" s="54">
        <v>0</v>
      </c>
      <c r="EP50" s="54">
        <v>0</v>
      </c>
      <c r="EQ50" s="54">
        <v>0</v>
      </c>
      <c r="ER50" s="54">
        <v>0</v>
      </c>
    </row>
    <row r="51" spans="1:148" ht="16">
      <c r="A51" s="41" t="s">
        <v>48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4">
        <v>-89155.92</v>
      </c>
      <c r="CH51" s="54">
        <v>-89155.92</v>
      </c>
      <c r="CI51" s="54">
        <v>-89155.92</v>
      </c>
      <c r="CJ51" s="54">
        <v>-89155.92</v>
      </c>
      <c r="CK51" s="54">
        <v>-89155.92</v>
      </c>
      <c r="CL51" s="54">
        <v>-89155.92</v>
      </c>
      <c r="CM51" s="54">
        <v>-89155.92</v>
      </c>
      <c r="CN51" s="54">
        <v>-89155.92</v>
      </c>
      <c r="CO51" s="54">
        <v>-89155.92</v>
      </c>
      <c r="CP51" s="54">
        <v>-89155.92</v>
      </c>
      <c r="CQ51" s="54">
        <v>-89155.92</v>
      </c>
      <c r="CR51" s="54">
        <v>-89155.92</v>
      </c>
      <c r="CS51" s="54">
        <v>-99725.48</v>
      </c>
      <c r="CT51" s="54">
        <v>-99725.48</v>
      </c>
      <c r="CU51" s="54">
        <v>-99725.48</v>
      </c>
      <c r="CV51" s="54">
        <v>-99725.48</v>
      </c>
      <c r="CW51" s="54">
        <v>-99725.48</v>
      </c>
      <c r="CX51" s="54">
        <v>-99725.48</v>
      </c>
      <c r="CY51" s="54">
        <v>-99725.48</v>
      </c>
      <c r="CZ51" s="54">
        <v>-99725.48</v>
      </c>
      <c r="DA51" s="54">
        <v>-99725.48</v>
      </c>
      <c r="DB51" s="54">
        <v>-99725.48</v>
      </c>
      <c r="DC51" s="54">
        <v>-99725.48</v>
      </c>
      <c r="DD51" s="54">
        <v>-99725.48</v>
      </c>
      <c r="DE51" s="54">
        <v>-99725.48</v>
      </c>
      <c r="DF51" s="54">
        <v>-99725.48</v>
      </c>
      <c r="DG51" s="54">
        <v>-99725.48</v>
      </c>
      <c r="DH51" s="54">
        <v>-72537.65</v>
      </c>
      <c r="DI51" s="54">
        <v>-72537.65</v>
      </c>
      <c r="DJ51" s="54">
        <v>-72537.65</v>
      </c>
      <c r="DK51" s="54">
        <v>-72537.65</v>
      </c>
      <c r="DL51" s="54">
        <v>-72537.65</v>
      </c>
      <c r="DM51" s="54">
        <v>-72537.65</v>
      </c>
      <c r="DN51" s="54">
        <v>-45711.329999999994</v>
      </c>
      <c r="DO51" s="54">
        <v>-45711.329999999994</v>
      </c>
      <c r="DP51" s="54">
        <v>-45711.329999999994</v>
      </c>
      <c r="DQ51" s="54">
        <v>-45711.329999999994</v>
      </c>
      <c r="DR51" s="54">
        <v>-10569.559999999998</v>
      </c>
      <c r="DS51" s="54">
        <v>-10569.559999999998</v>
      </c>
      <c r="DT51" s="54">
        <v>-10569.559999999998</v>
      </c>
      <c r="DU51" s="54">
        <v>-10569.559999999998</v>
      </c>
      <c r="DV51" s="54">
        <v>-10569.559999999998</v>
      </c>
      <c r="DW51" s="54">
        <v>-1319.5599999999977</v>
      </c>
      <c r="DX51" s="54">
        <v>-1319.5599999999977</v>
      </c>
      <c r="DY51" s="54">
        <v>-1319.5599999999977</v>
      </c>
      <c r="DZ51" s="54">
        <v>-1319.5599999999977</v>
      </c>
      <c r="EA51" s="54">
        <v>-1319.5599999999977</v>
      </c>
      <c r="EB51" s="54">
        <v>-1319.5599999999977</v>
      </c>
      <c r="EC51" s="54">
        <v>-1319.5599999999977</v>
      </c>
      <c r="ED51" s="54">
        <v>-1319.5599999999977</v>
      </c>
      <c r="EE51" s="54">
        <v>-1319.5599999999977</v>
      </c>
      <c r="EF51" s="54">
        <v>-1319.5599999999977</v>
      </c>
      <c r="EG51" s="54">
        <v>-1319.5599999999977</v>
      </c>
      <c r="EH51" s="54">
        <v>-1319.5599999999977</v>
      </c>
      <c r="EI51" s="54">
        <v>-1319.5599999999977</v>
      </c>
      <c r="EJ51" s="54">
        <v>-1319.5599999999977</v>
      </c>
      <c r="EK51" s="54">
        <v>-1319.5599999999977</v>
      </c>
      <c r="EL51" s="54">
        <v>-1319.5599999999977</v>
      </c>
      <c r="EM51" s="54">
        <v>-1319.5599999999977</v>
      </c>
      <c r="EN51" s="54">
        <v>-1319.5599999999977</v>
      </c>
      <c r="EO51" s="54">
        <v>-1319.5599999999977</v>
      </c>
      <c r="EP51" s="54">
        <v>-1319.5599999999977</v>
      </c>
      <c r="EQ51" s="54">
        <v>-1319.5599999999977</v>
      </c>
      <c r="ER51" s="54">
        <v>-1319.5599999999977</v>
      </c>
    </row>
    <row r="52" spans="1:148" ht="16">
      <c r="A52" s="48" t="s">
        <v>49</v>
      </c>
      <c r="B52" s="55">
        <f>B46+B47+B48+B49+B50+B51</f>
        <v>0.0</v>
      </c>
      <c r="C52" s="55">
        <f>C46+C47+C48+C49+C50+C51</f>
        <v>0.0</v>
      </c>
      <c r="D52" s="55">
        <f>D46+D47+D48+D49+D50+D51</f>
        <v>0.0</v>
      </c>
      <c r="E52" s="55">
        <f>E46+E47+E48+E49+E50+E51</f>
        <v>0.0</v>
      </c>
      <c r="F52" s="55">
        <f>F46+F47+F48+F49+F50+F51</f>
        <v>0.0</v>
      </c>
      <c r="G52" s="55">
        <f>G46+G47+G48+G49+G50+G51</f>
        <v>0.0</v>
      </c>
      <c r="H52" s="55">
        <f>H46+H47+H48+H49+H50+H51</f>
        <v>0.0</v>
      </c>
      <c r="I52" s="55">
        <f>I46+I47+I48+I49+I50+I51</f>
        <v>0.0</v>
      </c>
      <c r="J52" s="55">
        <f>J46+J47+J48+J49+J50+J51</f>
        <v>0.0</v>
      </c>
      <c r="K52" s="55">
        <f>K46+K47+K48+K49+K50+K51</f>
        <v>0.0</v>
      </c>
      <c r="L52" s="55">
        <f>L46+L47+L48+L49+L50+L51</f>
        <v>0.0</v>
      </c>
      <c r="M52" s="55">
        <f>M46+M47+M48+M49+M50+M51</f>
        <v>0.0</v>
      </c>
      <c r="N52" s="55">
        <f>N46+N47+N48+N49+N50+N51</f>
        <v>0.0</v>
      </c>
      <c r="O52" s="55">
        <f>O46+O47+O48+O49+O50+O51</f>
        <v>0.0</v>
      </c>
      <c r="P52" s="55">
        <f>P46+P47+P48+P49+P50+P51</f>
        <v>0.0</v>
      </c>
      <c r="Q52" s="55">
        <f>Q46+Q47+Q48+Q49+Q50+Q51</f>
        <v>0.0</v>
      </c>
      <c r="R52" s="55">
        <f>R46+R47+R48+R49+R50+R51</f>
        <v>0.0</v>
      </c>
      <c r="S52" s="55">
        <f>S46+S47+S48+S49+S50+S51</f>
        <v>0.0</v>
      </c>
      <c r="T52" s="55">
        <f>T46+T47+T48+T49+T50+T51</f>
        <v>0.0</v>
      </c>
      <c r="U52" s="55">
        <f>U46+U47+U48+U49+U50+U51</f>
        <v>0.0</v>
      </c>
      <c r="V52" s="55">
        <f>V46+V47+V48+V49+V50+V51</f>
        <v>0.0</v>
      </c>
      <c r="W52" s="55">
        <f>W46+W47+W48+W49+W50+W51</f>
        <v>0.0</v>
      </c>
      <c r="X52" s="55">
        <f>X46+X47+X48+X49+X50+X51</f>
        <v>0.0</v>
      </c>
      <c r="Y52" s="55">
        <f>Y46+Y47+Y48+Y49+Y50+Y51</f>
        <v>0.0</v>
      </c>
      <c r="Z52" s="55">
        <f>Z46+Z47+Z48+Z49+Z50+Z51</f>
        <v>0.0</v>
      </c>
      <c r="AA52" s="55">
        <f>AA46+AA47+AA48+AA49+AA50+AA51</f>
        <v>0.0</v>
      </c>
      <c r="AB52" s="55">
        <f>AB46+AB47+AB48+AB49+AB50+AB51</f>
        <v>0.0</v>
      </c>
      <c r="AC52" s="55">
        <f>AC46+AC47+AC48+AC49+AC50+AC51</f>
        <v>0.0</v>
      </c>
      <c r="AD52" s="55">
        <f>AD46+AD47+AD48+AD49+AD50+AD51</f>
        <v>0.0</v>
      </c>
      <c r="AE52" s="55">
        <f>AE46+AE47+AE48+AE49+AE50+AE51</f>
        <v>0.0</v>
      </c>
      <c r="AF52" s="55">
        <f>AF46+AF47+AF48+AF49+AF50+AF51</f>
        <v>0.0</v>
      </c>
      <c r="AG52" s="55">
        <f>AG46+AG47+AG48+AG49+AG50+AG51</f>
        <v>0.0</v>
      </c>
      <c r="AH52" s="55">
        <f>AH46+AH47+AH48+AH49+AH50+AH51</f>
        <v>0.0</v>
      </c>
      <c r="AI52" s="55">
        <f>AI46+AI47+AI48+AI49+AI50+AI51</f>
        <v>0.0</v>
      </c>
      <c r="AJ52" s="55">
        <f>AJ46+AJ47+AJ48+AJ49+AJ50+AJ51</f>
        <v>0.0</v>
      </c>
      <c r="AK52" s="55">
        <f>AK46+AK47+AK48+AK49+AK50+AK51</f>
        <v>0.0</v>
      </c>
      <c r="AL52" s="55">
        <f>AL46+AL47+AL48+AL49+AL50+AL51</f>
        <v>0.0</v>
      </c>
      <c r="AM52" s="55">
        <f>AM46+AM47+AM48+AM49+AM50+AM51</f>
        <v>0.0</v>
      </c>
      <c r="AN52" s="55">
        <f>AN46+AN47+AN48+AN49+AN50+AN51</f>
        <v>0.0</v>
      </c>
      <c r="AO52" s="55">
        <f>AO46+AO47+AO48+AO49+AO50+AO51</f>
        <v>0.0</v>
      </c>
      <c r="AP52" s="55">
        <f>AP46+AP47+AP48+AP49+AP50+AP51</f>
        <v>0.0</v>
      </c>
      <c r="AQ52" s="55">
        <f>AQ46+AQ47+AQ48+AQ49+AQ50+AQ51</f>
        <v>0.0</v>
      </c>
      <c r="AR52" s="55">
        <f>AR46+AR47+AR48+AR49+AR50+AR51</f>
        <v>0.0</v>
      </c>
      <c r="AS52" s="55">
        <f>AS46+AS47+AS48+AS49+AS50+AS51</f>
        <v>0.0</v>
      </c>
      <c r="AT52" s="55">
        <f>AT46+AT47+AT48+AT49+AT50+AT51</f>
        <v>0.0</v>
      </c>
      <c r="AU52" s="55">
        <f>AU46+AU47+AU48+AU49+AU50+AU51</f>
        <v>0.0</v>
      </c>
      <c r="AV52" s="55">
        <f>AV46+AV47+AV48+AV49+AV50+AV51</f>
        <v>0.0</v>
      </c>
      <c r="AW52" s="55">
        <f>AW46+AW47+AW48+AW49+AW50+AW51</f>
        <v>0.0</v>
      </c>
      <c r="AX52" s="55">
        <f>AX46+AX47+AX48+AX49+AX50+AX51</f>
        <v>0.0</v>
      </c>
      <c r="AY52" s="55">
        <f>AY46+AY47+AY48+AY49+AY50+AY51</f>
        <v>0.0</v>
      </c>
      <c r="AZ52" s="55">
        <f>AZ46+AZ47+AZ48+AZ49+AZ50+AZ51</f>
        <v>0.0</v>
      </c>
      <c r="BA52" s="55">
        <f>BA46+BA47+BA48+BA49+BA50+BA51</f>
        <v>0.0</v>
      </c>
      <c r="BB52" s="55">
        <f>BB46+BB47+BB48+BB49+BB50+BB51</f>
        <v>0.0</v>
      </c>
      <c r="BC52" s="55">
        <f>BC46+BC47+BC48+BC49+BC50+BC51</f>
        <v>0.0</v>
      </c>
      <c r="BD52" s="55">
        <f>BD46+BD47+BD48+BD49+BD50+BD51</f>
        <v>0.0</v>
      </c>
      <c r="BE52" s="55">
        <f>BE46+BE47+BE48+BE49+BE50+BE51</f>
        <v>0.0</v>
      </c>
      <c r="BF52" s="55">
        <f>BF46+BF47+BF48+BF49+BF50+BF51</f>
        <v>0.0</v>
      </c>
      <c r="BG52" s="55">
        <f>BG46+BG47+BG48+BG49+BG50+BG51</f>
        <v>0.0</v>
      </c>
      <c r="BH52" s="55">
        <f>BH46+BH47+BH48+BH49+BH50+BH51</f>
        <v>0.0</v>
      </c>
      <c r="BI52" s="55">
        <f>BI46+BI47+BI48+BI49+BI50+BI51</f>
        <v>0.0</v>
      </c>
      <c r="BJ52" s="55">
        <f>BJ46+BJ47+BJ48+BJ49+BJ50+BJ51</f>
        <v>0.0</v>
      </c>
      <c r="BK52" s="55">
        <f>BK46+BK47+BK48+BK49+BK50+BK51</f>
        <v>3500.0</v>
      </c>
      <c r="BL52" s="55">
        <f>BL46+BL47+BL48+BL49+BL50+BL51</f>
        <v>3500.0</v>
      </c>
      <c r="BM52" s="55">
        <f>BM46+BM47+BM48+BM49+BM50+BM51</f>
        <v>3500.0</v>
      </c>
      <c r="BN52" s="55">
        <f>BN46+BN47+BN48+BN49+BN50+BN51</f>
        <v>3500.0</v>
      </c>
      <c r="BO52" s="55">
        <f>BO46+BO47+BO48+BO49+BO50+BO51</f>
        <v>4695.08</v>
      </c>
      <c r="BP52" s="55">
        <f>BP46+BP47+BP48+BP49+BP50+BP51</f>
        <v>4695.08</v>
      </c>
      <c r="BQ52" s="55">
        <f>BQ46+BQ47+BQ48+BQ49+BQ50+BQ51</f>
        <v>4695.08</v>
      </c>
      <c r="BR52" s="55">
        <f>BR46+BR47+BR48+BR49+BR50+BR51</f>
        <v>4695.08</v>
      </c>
      <c r="BS52" s="55">
        <f>BS46+BS47+BS48+BS49+BS50+BS51</f>
        <v>4695.08</v>
      </c>
      <c r="BT52" s="55">
        <f>BT46+BT47+BT48+BT49+BT50+BT51</f>
        <v>4695.08</v>
      </c>
      <c r="BU52" s="55">
        <f>BU46+BU47+BU48+BU49+BU50+BU51</f>
        <v>5452.0</v>
      </c>
      <c r="BV52" s="55">
        <f>BV46+BV47+BV48+BV49+BV50+BV51</f>
        <v>4695.08</v>
      </c>
      <c r="BW52" s="55">
        <f>BW46+BW47+BW48+BW49+BW50+BW51</f>
        <v>36336.85</v>
      </c>
      <c r="BX52" s="55">
        <f>BX46+BX47+BX48+BX49+BX50+BX51</f>
        <v>36336.85</v>
      </c>
      <c r="BY52" s="55">
        <f>BY46+BY47+BY48+BY49+BY50+BY51</f>
        <v>36336.85</v>
      </c>
      <c r="BZ52" s="55">
        <f>BZ46+BZ47+BZ48+BZ49+BZ50+BZ51</f>
        <v>36336.85</v>
      </c>
      <c r="CA52" s="55">
        <f>CA46+CA47+CA48+CA49+CA50+CA51</f>
        <v>36336.85</v>
      </c>
      <c r="CB52" s="55">
        <f>CB46+CB47+CB48+CB49+CB50+CB51</f>
        <v>63163.17</v>
      </c>
      <c r="CC52" s="55">
        <f>CC46+CC47+CC48+CC49+CC50+CC51</f>
        <v>90351.0</v>
      </c>
      <c r="CD52" s="55">
        <f>CD46+CD47+CD48+CD49+CD50+CD51</f>
        <v>90351.0</v>
      </c>
      <c r="CE52" s="55">
        <f>CE46+CE47+CE48+CE49+CE50+CE51</f>
        <v>90351.0</v>
      </c>
      <c r="CF52" s="55">
        <f>CF46+CF47+CF48+CF49+CF50+CF51</f>
        <v>90351.0</v>
      </c>
      <c r="CG52" s="55">
        <f>CG46+CG47+CG48+CG49+CG50+CG51</f>
        <v>0.0</v>
      </c>
      <c r="CH52" s="55">
        <f>CH46+CH47+CH48+CH49+CH50+CH51</f>
        <v>1319.5600000000122</v>
      </c>
      <c r="CI52" s="55">
        <f>CI46+CI47+CI48+CI49+CI50+CI51</f>
        <v>1319.5600000000122</v>
      </c>
      <c r="CJ52" s="55">
        <f>CJ46+CJ47+CJ48+CJ49+CJ50+CJ51</f>
        <v>1319.5600000000122</v>
      </c>
      <c r="CK52" s="55">
        <f>CK46+CK47+CK48+CK49+CK50+CK51</f>
        <v>1319.5600000000122</v>
      </c>
      <c r="CL52" s="55">
        <f>CL46+CL47+CL48+CL49+CL50+CL51</f>
        <v>1319.5600000000122</v>
      </c>
      <c r="CM52" s="55">
        <f>CM46+CM47+CM48+CM49+CM50+CM51</f>
        <v>1319.5600000000122</v>
      </c>
      <c r="CN52" s="55">
        <f>CN46+CN47+CN48+CN49+CN50+CN51</f>
        <v>1319.5600000000122</v>
      </c>
      <c r="CO52" s="55">
        <f>CO46+CO47+CO48+CO49+CO50+CO51</f>
        <v>1319.5600000000122</v>
      </c>
      <c r="CP52" s="55">
        <f>CP46+CP47+CP48+CP49+CP50+CP51</f>
        <v>10569.559999999998</v>
      </c>
      <c r="CQ52" s="55">
        <f>CQ46+CQ47+CQ48+CQ49+CQ50+CQ51</f>
        <v>10569.559999999998</v>
      </c>
      <c r="CR52" s="55">
        <f>CR46+CR47+CR48+CR49+CR50+CR51</f>
        <v>10569.559999999998</v>
      </c>
      <c r="CS52" s="55">
        <f>CS46+CS47+CS48+CS49+CS50+CS51</f>
        <v>0.0</v>
      </c>
      <c r="CT52" s="55">
        <f>CT46+CT47+CT48+CT49+CT50+CT51</f>
        <v>0.0</v>
      </c>
      <c r="CU52" s="55">
        <f>CU46+CU47+CU48+CU49+CU50+CU51</f>
        <v>0.0</v>
      </c>
      <c r="CV52" s="55">
        <f>CV46+CV47+CV48+CV49+CV50+CV51</f>
        <v>0.0</v>
      </c>
      <c r="CW52" s="55">
        <f>CW46+CW47+CW48+CW49+CW50+CW51</f>
        <v>0.0</v>
      </c>
      <c r="CX52" s="55">
        <f>CX46+CX47+CX48+CX49+CX50+CX51</f>
        <v>0.0</v>
      </c>
      <c r="CY52" s="55">
        <f>CY46+CY47+CY48+CY49+CY50+CY51</f>
        <v>0.0</v>
      </c>
      <c r="CZ52" s="55">
        <f>CZ46+CZ47+CZ48+CZ49+CZ50+CZ51</f>
        <v>0.0</v>
      </c>
      <c r="DA52" s="55">
        <f>DA46+DA47+DA48+DA49+DA50+DA51</f>
        <v>0.0</v>
      </c>
      <c r="DB52" s="55">
        <f>DB46+DB47+DB48+DB49+DB50+DB51</f>
        <v>0.0</v>
      </c>
      <c r="DC52" s="55">
        <f>DC46+DC47+DC48+DC49+DC50+DC51</f>
        <v>0.0</v>
      </c>
      <c r="DD52" s="55">
        <f>DD46+DD47+DD48+DD49+DD50+DD51</f>
        <v>0.0</v>
      </c>
      <c r="DE52" s="55">
        <f>DE46+DE47+DE48+DE49+DE50+DE51</f>
        <v>0.0</v>
      </c>
      <c r="DF52" s="55">
        <f>DF46+DF47+DF48+DF49+DF50+DF51</f>
        <v>0.0</v>
      </c>
      <c r="DG52" s="55">
        <f>DG46+DG47+DG48+DG49+DG50+DG51</f>
        <v>0.0</v>
      </c>
      <c r="DH52" s="55">
        <f>DH46+DH47+DH48+DH49+DH50+DH51</f>
        <v>0.0</v>
      </c>
      <c r="DI52" s="55">
        <f>DI46+DI47+DI48+DI49+DI50+DI51</f>
        <v>0.0</v>
      </c>
      <c r="DJ52" s="55">
        <f>DJ46+DJ47+DJ48+DJ49+DJ50+DJ51</f>
        <v>0.0</v>
      </c>
      <c r="DK52" s="55">
        <f>DK46+DK47+DK48+DK49+DK50+DK51</f>
        <v>0.0</v>
      </c>
      <c r="DL52" s="55">
        <f>DL46+DL47+DL48+DL49+DL50+DL51</f>
        <v>0.0</v>
      </c>
      <c r="DM52" s="55">
        <f>DM46+DM47+DM48+DM49+DM50+DM51</f>
        <v>0.0</v>
      </c>
      <c r="DN52" s="55">
        <f>DN46+DN47+DN48+DN49+DN50+DN51</f>
        <v>0.0</v>
      </c>
      <c r="DO52" s="55">
        <f>DO46+DO47+DO48+DO49+DO50+DO51</f>
        <v>0.0</v>
      </c>
      <c r="DP52" s="55">
        <f>DP46+DP47+DP48+DP49+DP50+DP51</f>
        <v>0.0</v>
      </c>
      <c r="DQ52" s="55">
        <f>DQ46+DQ47+DQ48+DQ49+DQ50+DQ51</f>
        <v>0.0</v>
      </c>
      <c r="DR52" s="55">
        <f>DR46+DR47+DR48+DR49+DR50+DR51</f>
        <v>0.0</v>
      </c>
      <c r="DS52" s="55">
        <f>DS46+DS47+DS48+DS49+DS50+DS51</f>
        <v>0.0</v>
      </c>
      <c r="DT52" s="55">
        <f>DT46+DT47+DT48+DT49+DT50+DT51</f>
        <v>0.0</v>
      </c>
      <c r="DU52" s="55">
        <f>DU46+DU47+DU48+DU49+DU50+DU51</f>
        <v>0.0</v>
      </c>
      <c r="DV52" s="55">
        <f>DV46+DV47+DV48+DV49+DV50+DV51</f>
        <v>0.0</v>
      </c>
      <c r="DW52" s="55">
        <f>DW46+DW47+DW48+DW49+DW50+DW51</f>
        <v>0.0</v>
      </c>
      <c r="DX52" s="55">
        <f>DX46+DX47+DX48+DX49+DX50+DX51</f>
        <v>0.0</v>
      </c>
      <c r="DY52" s="55">
        <f>DY46+DY47+DY48+DY49+DY50+DY51</f>
        <v>0.0</v>
      </c>
      <c r="DZ52" s="55">
        <f>DZ46+DZ47+DZ48+DZ49+DZ50+DZ51</f>
        <v>0.0</v>
      </c>
      <c r="EA52" s="55">
        <f>EA46+EA47+EA48+EA49+EA50+EA51</f>
        <v>0.0</v>
      </c>
      <c r="EB52" s="55">
        <f>EB46+EB47+EB48+EB49+EB50+EB51</f>
        <v>0.0</v>
      </c>
      <c r="EC52" s="55">
        <f>EC46+EC47+EC48+EC49+EC50+EC51</f>
        <v>0.0</v>
      </c>
      <c r="ED52" s="55">
        <f>ED46+ED47+ED48+ED49+ED50+ED51</f>
        <v>0.0</v>
      </c>
      <c r="EE52" s="55">
        <f>EE46+EE47+EE48+EE49+EE50+EE51</f>
        <v>0.0</v>
      </c>
      <c r="EF52" s="55">
        <f>EF46+EF47+EF48+EF49+EF50+EF51</f>
        <v>0.0</v>
      </c>
      <c r="EG52" s="55">
        <f>EG46+EG47+EG48+EG49+EG50+EG51</f>
        <v>0.0</v>
      </c>
      <c r="EH52" s="55">
        <f>EH46+EH47+EH48+EH49+EH50+EH51</f>
        <v>0.0</v>
      </c>
      <c r="EI52" s="55">
        <f>EI46+EI47+EI48+EI49+EI50+EI51</f>
        <v>0.0</v>
      </c>
      <c r="EJ52" s="55">
        <f>EJ46+EJ47+EJ48+EJ49+EJ50+EJ51</f>
        <v>0.0</v>
      </c>
      <c r="EK52" s="55">
        <f>EK46+EK47+EK48+EK49+EK50+EK51</f>
        <v>0.0</v>
      </c>
      <c r="EL52" s="55">
        <f>EL46+EL47+EL48+EL49+EL50+EL51</f>
        <v>0.0</v>
      </c>
      <c r="EM52" s="55">
        <f>EM46+EM47+EM48+EM49+EM50+EM51</f>
        <v>0.0</v>
      </c>
      <c r="EN52" s="55">
        <f>EN46+EN47+EN48+EN49+EN50+EN51</f>
        <v>0.0</v>
      </c>
      <c r="EO52" s="55">
        <f>EO46+EO47+EO48+EO49+EO50+EO51</f>
        <v>0.0</v>
      </c>
      <c r="EP52" s="55">
        <f>EP46+EP47+EP48+EP49+EP50+EP51</f>
        <v>0.0</v>
      </c>
      <c r="EQ52" s="55">
        <f>EQ46+EQ47+EQ48+EQ49+EQ50+EQ51</f>
        <v>0.0</v>
      </c>
      <c r="ER52" s="55">
        <f>ER46+ER47+ER48+ER49+ER50+ER51</f>
        <v>0.0</v>
      </c>
    </row>
    <row r="53" spans="1:148" ht="16">
      <c r="A53" s="40" t="s">
        <v>50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</row>
    <row r="54" spans="1:148" ht="16">
      <c r="A54" s="41" t="s">
        <v>51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4">
        <v>8799.4</v>
      </c>
      <c r="CI54" s="54">
        <v>8799.4</v>
      </c>
      <c r="CJ54" s="54">
        <v>8799.4</v>
      </c>
      <c r="CK54" s="54">
        <v>8799.4</v>
      </c>
      <c r="CL54" s="54">
        <v>8799.4</v>
      </c>
      <c r="CM54" s="54">
        <v>8799.4</v>
      </c>
      <c r="CN54" s="54">
        <v>8799.4</v>
      </c>
      <c r="CO54" s="54">
        <v>8799.4</v>
      </c>
      <c r="CP54" s="54">
        <v>8799.4</v>
      </c>
      <c r="CQ54" s="54">
        <v>8799.4</v>
      </c>
      <c r="CR54" s="54">
        <v>8799.4</v>
      </c>
      <c r="CS54" s="54">
        <v>8799.4</v>
      </c>
      <c r="CT54" s="54">
        <v>8799.4</v>
      </c>
      <c r="CU54" s="54">
        <v>8799.4</v>
      </c>
      <c r="CV54" s="54">
        <v>8799.4</v>
      </c>
      <c r="CW54" s="54">
        <v>8799.4</v>
      </c>
      <c r="CX54" s="54">
        <v>8799.4</v>
      </c>
      <c r="CY54" s="54">
        <v>8799.4</v>
      </c>
      <c r="CZ54" s="54">
        <v>8799.4</v>
      </c>
      <c r="DA54" s="54">
        <v>8799.4</v>
      </c>
      <c r="DB54" s="54">
        <v>8799.4</v>
      </c>
      <c r="DC54" s="54">
        <v>8799.4</v>
      </c>
      <c r="DD54" s="54">
        <v>8799.4</v>
      </c>
      <c r="DE54" s="54">
        <v>8799.4</v>
      </c>
      <c r="DF54" s="54">
        <v>8799.4</v>
      </c>
      <c r="DG54" s="54">
        <v>8799.4</v>
      </c>
      <c r="DH54" s="54">
        <v>8799.4</v>
      </c>
      <c r="DI54" s="54">
        <v>8799.4</v>
      </c>
      <c r="DJ54" s="54">
        <v>8799.4</v>
      </c>
      <c r="DK54" s="54">
        <v>8799.4</v>
      </c>
      <c r="DL54" s="54">
        <v>8799.4</v>
      </c>
      <c r="DM54" s="54">
        <v>8799.4</v>
      </c>
      <c r="DN54" s="54">
        <v>8799.4</v>
      </c>
      <c r="DO54" s="54">
        <v>8799.4</v>
      </c>
      <c r="DP54" s="54">
        <v>8799.4</v>
      </c>
      <c r="DQ54" s="54">
        <v>8799.4</v>
      </c>
      <c r="DR54" s="54">
        <v>8799.4</v>
      </c>
      <c r="DS54" s="54">
        <v>8799.4</v>
      </c>
      <c r="DT54" s="54">
        <v>8799.4</v>
      </c>
      <c r="DU54" s="54">
        <v>8799.4</v>
      </c>
      <c r="DV54" s="54">
        <v>8799.4</v>
      </c>
      <c r="DW54" s="54">
        <v>0</v>
      </c>
      <c r="DX54" s="54">
        <v>0</v>
      </c>
      <c r="DY54" s="54">
        <v>0</v>
      </c>
      <c r="DZ54" s="54">
        <v>0</v>
      </c>
      <c r="EA54" s="54">
        <v>0</v>
      </c>
      <c r="EB54" s="54">
        <v>0</v>
      </c>
      <c r="EC54" s="54">
        <v>0</v>
      </c>
      <c r="ED54" s="54">
        <v>0</v>
      </c>
      <c r="EE54" s="54">
        <v>0</v>
      </c>
      <c r="EF54" s="54">
        <v>0</v>
      </c>
      <c r="EG54" s="54">
        <v>0</v>
      </c>
      <c r="EH54" s="54">
        <v>0</v>
      </c>
      <c r="EI54" s="54">
        <v>0</v>
      </c>
      <c r="EJ54" s="54">
        <v>0</v>
      </c>
      <c r="EK54" s="54">
        <v>0</v>
      </c>
      <c r="EL54" s="54">
        <v>0</v>
      </c>
      <c r="EM54" s="54">
        <v>0</v>
      </c>
      <c r="EN54" s="54">
        <v>0</v>
      </c>
      <c r="EO54" s="54">
        <v>0</v>
      </c>
      <c r="EP54" s="54">
        <v>0</v>
      </c>
      <c r="EQ54" s="54">
        <v>0</v>
      </c>
      <c r="ER54" s="54">
        <v>0</v>
      </c>
    </row>
    <row r="55" spans="1:148" ht="16">
      <c r="A55" s="48" t="s">
        <v>52</v>
      </c>
      <c r="B55" s="55">
        <f>B53+B54</f>
        <v>0.0</v>
      </c>
      <c r="C55" s="55">
        <f>C53+C54</f>
        <v>0.0</v>
      </c>
      <c r="D55" s="55">
        <f>D53+D54</f>
        <v>0.0</v>
      </c>
      <c r="E55" s="55">
        <f>E53+E54</f>
        <v>0.0</v>
      </c>
      <c r="F55" s="55">
        <f>F53+F54</f>
        <v>0.0</v>
      </c>
      <c r="G55" s="55">
        <f>G53+G54</f>
        <v>0.0</v>
      </c>
      <c r="H55" s="55">
        <f>H53+H54</f>
        <v>0.0</v>
      </c>
      <c r="I55" s="55">
        <f>I53+I54</f>
        <v>0.0</v>
      </c>
      <c r="J55" s="55">
        <f>J53+J54</f>
        <v>0.0</v>
      </c>
      <c r="K55" s="55">
        <f>K53+K54</f>
        <v>0.0</v>
      </c>
      <c r="L55" s="55">
        <f>L53+L54</f>
        <v>0.0</v>
      </c>
      <c r="M55" s="55">
        <f>M53+M54</f>
        <v>0.0</v>
      </c>
      <c r="N55" s="55">
        <f>N53+N54</f>
        <v>0.0</v>
      </c>
      <c r="O55" s="55">
        <f>O53+O54</f>
        <v>0.0</v>
      </c>
      <c r="P55" s="55">
        <f>P53+P54</f>
        <v>0.0</v>
      </c>
      <c r="Q55" s="55">
        <f>Q53+Q54</f>
        <v>0.0</v>
      </c>
      <c r="R55" s="55">
        <f>R53+R54</f>
        <v>0.0</v>
      </c>
      <c r="S55" s="55">
        <f>S53+S54</f>
        <v>0.0</v>
      </c>
      <c r="T55" s="55">
        <f>T53+T54</f>
        <v>0.0</v>
      </c>
      <c r="U55" s="55">
        <f>U53+U54</f>
        <v>0.0</v>
      </c>
      <c r="V55" s="55">
        <f>V53+V54</f>
        <v>0.0</v>
      </c>
      <c r="W55" s="55">
        <f>W53+W54</f>
        <v>0.0</v>
      </c>
      <c r="X55" s="55">
        <f>X53+X54</f>
        <v>0.0</v>
      </c>
      <c r="Y55" s="55">
        <f>Y53+Y54</f>
        <v>0.0</v>
      </c>
      <c r="Z55" s="55">
        <f>Z53+Z54</f>
        <v>0.0</v>
      </c>
      <c r="AA55" s="55">
        <f>AA53+AA54</f>
        <v>0.0</v>
      </c>
      <c r="AB55" s="55">
        <f>AB53+AB54</f>
        <v>0.0</v>
      </c>
      <c r="AC55" s="55">
        <f>AC53+AC54</f>
        <v>0.0</v>
      </c>
      <c r="AD55" s="55">
        <f>AD53+AD54</f>
        <v>0.0</v>
      </c>
      <c r="AE55" s="55">
        <f>AE53+AE54</f>
        <v>0.0</v>
      </c>
      <c r="AF55" s="55">
        <f>AF53+AF54</f>
        <v>0.0</v>
      </c>
      <c r="AG55" s="55">
        <f>AG53+AG54</f>
        <v>0.0</v>
      </c>
      <c r="AH55" s="55">
        <f>AH53+AH54</f>
        <v>0.0</v>
      </c>
      <c r="AI55" s="55">
        <f>AI53+AI54</f>
        <v>0.0</v>
      </c>
      <c r="AJ55" s="55">
        <f>AJ53+AJ54</f>
        <v>0.0</v>
      </c>
      <c r="AK55" s="55">
        <f>AK53+AK54</f>
        <v>0.0</v>
      </c>
      <c r="AL55" s="55">
        <f>AL53+AL54</f>
        <v>0.0</v>
      </c>
      <c r="AM55" s="55">
        <f>AM53+AM54</f>
        <v>0.0</v>
      </c>
      <c r="AN55" s="55">
        <f>AN53+AN54</f>
        <v>0.0</v>
      </c>
      <c r="AO55" s="55">
        <f>AO53+AO54</f>
        <v>0.0</v>
      </c>
      <c r="AP55" s="55">
        <f>AP53+AP54</f>
        <v>0.0</v>
      </c>
      <c r="AQ55" s="55">
        <f>AQ53+AQ54</f>
        <v>0.0</v>
      </c>
      <c r="AR55" s="55">
        <f>AR53+AR54</f>
        <v>0.0</v>
      </c>
      <c r="AS55" s="55">
        <f>AS53+AS54</f>
        <v>0.0</v>
      </c>
      <c r="AT55" s="55">
        <f>AT53+AT54</f>
        <v>0.0</v>
      </c>
      <c r="AU55" s="55">
        <f>AU53+AU54</f>
        <v>0.0</v>
      </c>
      <c r="AV55" s="55">
        <f>AV53+AV54</f>
        <v>0.0</v>
      </c>
      <c r="AW55" s="55">
        <f>AW53+AW54</f>
        <v>0.0</v>
      </c>
      <c r="AX55" s="55">
        <f>AX53+AX54</f>
        <v>0.0</v>
      </c>
      <c r="AY55" s="55">
        <f>AY53+AY54</f>
        <v>0.0</v>
      </c>
      <c r="AZ55" s="55">
        <f>AZ53+AZ54</f>
        <v>0.0</v>
      </c>
      <c r="BA55" s="55">
        <f>BA53+BA54</f>
        <v>0.0</v>
      </c>
      <c r="BB55" s="55">
        <f>BB53+BB54</f>
        <v>0.0</v>
      </c>
      <c r="BC55" s="55">
        <f>BC53+BC54</f>
        <v>0.0</v>
      </c>
      <c r="BD55" s="55">
        <f>BD53+BD54</f>
        <v>0.0</v>
      </c>
      <c r="BE55" s="55">
        <f>BE53+BE54</f>
        <v>0.0</v>
      </c>
      <c r="BF55" s="55">
        <f>BF53+BF54</f>
        <v>0.0</v>
      </c>
      <c r="BG55" s="55">
        <f>BG53+BG54</f>
        <v>0.0</v>
      </c>
      <c r="BH55" s="55">
        <f>BH53+BH54</f>
        <v>0.0</v>
      </c>
      <c r="BI55" s="55">
        <f>BI53+BI54</f>
        <v>0.0</v>
      </c>
      <c r="BJ55" s="55">
        <f>BJ53+BJ54</f>
        <v>0.0</v>
      </c>
      <c r="BK55" s="55">
        <f>BK53+BK54</f>
        <v>0.0</v>
      </c>
      <c r="BL55" s="55">
        <f>BL53+BL54</f>
        <v>0.0</v>
      </c>
      <c r="BM55" s="55">
        <f>BM53+BM54</f>
        <v>0.0</v>
      </c>
      <c r="BN55" s="55">
        <f>BN53+BN54</f>
        <v>0.0</v>
      </c>
      <c r="BO55" s="55">
        <f>BO53+BO54</f>
        <v>0.0</v>
      </c>
      <c r="BP55" s="55">
        <f>BP53+BP54</f>
        <v>0.0</v>
      </c>
      <c r="BQ55" s="55">
        <f>BQ53+BQ54</f>
        <v>0.0</v>
      </c>
      <c r="BR55" s="55">
        <f>BR53+BR54</f>
        <v>0.0</v>
      </c>
      <c r="BS55" s="55">
        <f>BS53+BS54</f>
        <v>0.0</v>
      </c>
      <c r="BT55" s="55">
        <f>BT53+BT54</f>
        <v>0.0</v>
      </c>
      <c r="BU55" s="55">
        <f>BU53+BU54</f>
        <v>0.0</v>
      </c>
      <c r="BV55" s="55">
        <f>BV53+BV54</f>
        <v>0.0</v>
      </c>
      <c r="BW55" s="55">
        <f>BW53+BW54</f>
        <v>0.0</v>
      </c>
      <c r="BX55" s="55">
        <f>BX53+BX54</f>
        <v>0.0</v>
      </c>
      <c r="BY55" s="55">
        <f>BY53+BY54</f>
        <v>0.0</v>
      </c>
      <c r="BZ55" s="55">
        <f>BZ53+BZ54</f>
        <v>0.0</v>
      </c>
      <c r="CA55" s="55">
        <f>CA53+CA54</f>
        <v>0.0</v>
      </c>
      <c r="CB55" s="55">
        <f>CB53+CB54</f>
        <v>0.0</v>
      </c>
      <c r="CC55" s="55">
        <f>CC53+CC54</f>
        <v>0.0</v>
      </c>
      <c r="CD55" s="55">
        <f>CD53+CD54</f>
        <v>0.0</v>
      </c>
      <c r="CE55" s="55">
        <f>CE53+CE54</f>
        <v>0.0</v>
      </c>
      <c r="CF55" s="55">
        <f>CF53+CF54</f>
        <v>0.0</v>
      </c>
      <c r="CG55" s="55">
        <f>CG53+CG54</f>
        <v>0.0</v>
      </c>
      <c r="CH55" s="55">
        <f>CH53+CH54</f>
        <v>8799.4</v>
      </c>
      <c r="CI55" s="55">
        <f>CI53+CI54</f>
        <v>8799.4</v>
      </c>
      <c r="CJ55" s="55">
        <f>CJ53+CJ54</f>
        <v>8799.4</v>
      </c>
      <c r="CK55" s="55">
        <f>CK53+CK54</f>
        <v>8799.4</v>
      </c>
      <c r="CL55" s="55">
        <f>CL53+CL54</f>
        <v>8799.4</v>
      </c>
      <c r="CM55" s="55">
        <f>CM53+CM54</f>
        <v>8799.4</v>
      </c>
      <c r="CN55" s="55">
        <f>CN53+CN54</f>
        <v>8799.4</v>
      </c>
      <c r="CO55" s="55">
        <f>CO53+CO54</f>
        <v>8799.4</v>
      </c>
      <c r="CP55" s="55">
        <f>CP53+CP54</f>
        <v>8799.4</v>
      </c>
      <c r="CQ55" s="55">
        <f>CQ53+CQ54</f>
        <v>8799.4</v>
      </c>
      <c r="CR55" s="55">
        <f>CR53+CR54</f>
        <v>8799.4</v>
      </c>
      <c r="CS55" s="55">
        <f>CS53+CS54</f>
        <v>8799.4</v>
      </c>
      <c r="CT55" s="55">
        <f>CT53+CT54</f>
        <v>8799.4</v>
      </c>
      <c r="CU55" s="55">
        <f>CU53+CU54</f>
        <v>8799.4</v>
      </c>
      <c r="CV55" s="55">
        <f>CV53+CV54</f>
        <v>8799.4</v>
      </c>
      <c r="CW55" s="55">
        <f>CW53+CW54</f>
        <v>8799.4</v>
      </c>
      <c r="CX55" s="55">
        <f>CX53+CX54</f>
        <v>8799.4</v>
      </c>
      <c r="CY55" s="55">
        <f>CY53+CY54</f>
        <v>8799.4</v>
      </c>
      <c r="CZ55" s="55">
        <f>CZ53+CZ54</f>
        <v>8799.4</v>
      </c>
      <c r="DA55" s="55">
        <f>DA53+DA54</f>
        <v>8799.4</v>
      </c>
      <c r="DB55" s="55">
        <f>DB53+DB54</f>
        <v>8799.4</v>
      </c>
      <c r="DC55" s="55">
        <f>DC53+DC54</f>
        <v>8799.4</v>
      </c>
      <c r="DD55" s="55">
        <f>DD53+DD54</f>
        <v>8799.4</v>
      </c>
      <c r="DE55" s="55">
        <f>DE53+DE54</f>
        <v>8799.4</v>
      </c>
      <c r="DF55" s="55">
        <f>DF53+DF54</f>
        <v>8799.4</v>
      </c>
      <c r="DG55" s="55">
        <f>DG53+DG54</f>
        <v>8799.4</v>
      </c>
      <c r="DH55" s="55">
        <f>DH53+DH54</f>
        <v>8799.4</v>
      </c>
      <c r="DI55" s="55">
        <f>DI53+DI54</f>
        <v>8799.4</v>
      </c>
      <c r="DJ55" s="55">
        <f>DJ53+DJ54</f>
        <v>8799.4</v>
      </c>
      <c r="DK55" s="55">
        <f>DK53+DK54</f>
        <v>8799.4</v>
      </c>
      <c r="DL55" s="55">
        <f>DL53+DL54</f>
        <v>8799.4</v>
      </c>
      <c r="DM55" s="55">
        <f>DM53+DM54</f>
        <v>8799.4</v>
      </c>
      <c r="DN55" s="55">
        <f>DN53+DN54</f>
        <v>8799.4</v>
      </c>
      <c r="DO55" s="55">
        <f>DO53+DO54</f>
        <v>8799.4</v>
      </c>
      <c r="DP55" s="55">
        <f>DP53+DP54</f>
        <v>8799.4</v>
      </c>
      <c r="DQ55" s="55">
        <f>DQ53+DQ54</f>
        <v>8799.4</v>
      </c>
      <c r="DR55" s="55">
        <f>DR53+DR54</f>
        <v>8799.4</v>
      </c>
      <c r="DS55" s="55">
        <f>DS53+DS54</f>
        <v>8799.4</v>
      </c>
      <c r="DT55" s="55">
        <f>DT53+DT54</f>
        <v>8799.4</v>
      </c>
      <c r="DU55" s="55">
        <f>DU53+DU54</f>
        <v>8799.4</v>
      </c>
      <c r="DV55" s="55">
        <f>DV53+DV54</f>
        <v>8799.4</v>
      </c>
      <c r="DW55" s="55">
        <f>DW53+DW54</f>
        <v>0.0</v>
      </c>
      <c r="DX55" s="55">
        <f>DX53+DX54</f>
        <v>0.0</v>
      </c>
      <c r="DY55" s="55">
        <f>DY53+DY54</f>
        <v>0.0</v>
      </c>
      <c r="DZ55" s="55">
        <f>DZ53+DZ54</f>
        <v>0.0</v>
      </c>
      <c r="EA55" s="55">
        <f>EA53+EA54</f>
        <v>0.0</v>
      </c>
      <c r="EB55" s="55">
        <f>EB53+EB54</f>
        <v>0.0</v>
      </c>
      <c r="EC55" s="55">
        <f>EC53+EC54</f>
        <v>0.0</v>
      </c>
      <c r="ED55" s="55">
        <f>ED53+ED54</f>
        <v>0.0</v>
      </c>
      <c r="EE55" s="55">
        <f>EE53+EE54</f>
        <v>0.0</v>
      </c>
      <c r="EF55" s="55">
        <f>EF53+EF54</f>
        <v>0.0</v>
      </c>
      <c r="EG55" s="55">
        <f>EG53+EG54</f>
        <v>0.0</v>
      </c>
      <c r="EH55" s="55">
        <f>EH53+EH54</f>
        <v>0.0</v>
      </c>
      <c r="EI55" s="55">
        <f>EI53+EI54</f>
        <v>0.0</v>
      </c>
      <c r="EJ55" s="55">
        <f>EJ53+EJ54</f>
        <v>0.0</v>
      </c>
      <c r="EK55" s="55">
        <f>EK53+EK54</f>
        <v>0.0</v>
      </c>
      <c r="EL55" s="55">
        <f>EL53+EL54</f>
        <v>0.0</v>
      </c>
      <c r="EM55" s="55">
        <f>EM53+EM54</f>
        <v>0.0</v>
      </c>
      <c r="EN55" s="55">
        <f>EN53+EN54</f>
        <v>0.0</v>
      </c>
      <c r="EO55" s="55">
        <f>EO53+EO54</f>
        <v>0.0</v>
      </c>
      <c r="EP55" s="55">
        <f>EP53+EP54</f>
        <v>0.0</v>
      </c>
      <c r="EQ55" s="55">
        <f>EQ53+EQ54</f>
        <v>0.0</v>
      </c>
      <c r="ER55" s="55">
        <f>ER53+ER54</f>
        <v>0.0</v>
      </c>
    </row>
    <row r="56" spans="1:148" ht="16">
      <c r="A56" s="49" t="s">
        <v>53</v>
      </c>
      <c r="B56" s="55">
        <f>B6+B45+B52+B55</f>
        <v>3709.62</v>
      </c>
      <c r="C56" s="55">
        <f>C6+C45+C52+C55</f>
        <v>2393.7099999999996</v>
      </c>
      <c r="D56" s="55">
        <f>D6+D45+D52+D55</f>
        <v>-1799.3100000000004</v>
      </c>
      <c r="E56" s="55">
        <f>E6+E45+E52+E55</f>
        <v>-4158.780000000001</v>
      </c>
      <c r="F56" s="55">
        <f>F6+F45+F52+F55</f>
        <v>-3040.0700000000006</v>
      </c>
      <c r="G56" s="55">
        <f>G6+G45+G52+G55</f>
        <v>-3426.1499999999996</v>
      </c>
      <c r="H56" s="55">
        <f>H6+H45+H52+H55</f>
        <v>-5504.79</v>
      </c>
      <c r="I56" s="55">
        <f>I6+I45+I52+I55</f>
        <v>-8700.01</v>
      </c>
      <c r="J56" s="55">
        <f>J6+J45+J52+J55</f>
        <v>-13547.07</v>
      </c>
      <c r="K56" s="55">
        <f>K6+K45+K52+K55</f>
        <v>-11657.91</v>
      </c>
      <c r="L56" s="55">
        <f>L6+L45+L52+L55</f>
        <v>-11086.029999999999</v>
      </c>
      <c r="M56" s="55">
        <f>M6+M45+M52+M55</f>
        <v>7358.5700000000015</v>
      </c>
      <c r="N56" s="55">
        <f>N6+N45+N52+N55</f>
        <v>2643.700000000001</v>
      </c>
      <c r="O56" s="55">
        <f>O6+O45+O52+O55</f>
        <v>8196.970000000001</v>
      </c>
      <c r="P56" s="55">
        <f>P6+P45+P52+P55</f>
        <v>9468.5</v>
      </c>
      <c r="Q56" s="55">
        <f>Q6+Q45+Q52+Q55</f>
        <v>3697.0900000000006</v>
      </c>
      <c r="R56" s="55">
        <f>R6+R45+R52+R55</f>
        <v>4520.67</v>
      </c>
      <c r="S56" s="55">
        <f>S6+S45+S52+S55</f>
        <v>27317.82</v>
      </c>
      <c r="T56" s="55">
        <f>T6+T45+T52+T55</f>
        <v>8984.130000000001</v>
      </c>
      <c r="U56" s="55">
        <f>U6+U45+U52+U55</f>
        <v>5610.710000000001</v>
      </c>
      <c r="V56" s="55">
        <f>V6+V45+V52+V55</f>
        <v>8259.210000000001</v>
      </c>
      <c r="W56" s="55">
        <f>W6+W45+W52+W55</f>
        <v>41957.76</v>
      </c>
      <c r="X56" s="55">
        <f>X6+X45+X52+X55</f>
        <v>22724.750000000007</v>
      </c>
      <c r="Y56" s="55">
        <f>Y6+Y45+Y52+Y55</f>
        <v>107861.86000000002</v>
      </c>
      <c r="Z56" s="55">
        <f>Z6+Z45+Z52+Z55</f>
        <v>88799.09000000003</v>
      </c>
      <c r="AA56" s="55">
        <f>AA6+AA45+AA52+AA55</f>
        <v>71809.05000000003</v>
      </c>
      <c r="AB56" s="55">
        <f>AB6+AB45+AB52+AB55</f>
        <v>79757.19000000002</v>
      </c>
      <c r="AC56" s="55">
        <f>AC6+AC45+AC52+AC55</f>
        <v>78634.76000000002</v>
      </c>
      <c r="AD56" s="55">
        <f>AD6+AD45+AD52+AD55</f>
        <v>60256.55000000002</v>
      </c>
      <c r="AE56" s="55">
        <f>AE6+AE45+AE52+AE55</f>
        <v>52113.550000000025</v>
      </c>
      <c r="AF56" s="55">
        <f>AF6+AF45+AF52+AF55</f>
        <v>54178.72000000003</v>
      </c>
      <c r="AG56" s="55">
        <f>AG6+AG45+AG52+AG55</f>
        <v>47565.13000000002</v>
      </c>
      <c r="AH56" s="55">
        <f>AH6+AH45+AH52+AH55</f>
        <v>30816.41000000002</v>
      </c>
      <c r="AI56" s="55">
        <f>AI6+AI45+AI52+AI55</f>
        <v>33734.870000000024</v>
      </c>
      <c r="AJ56" s="55">
        <f>AJ6+AJ45+AJ52+AJ55</f>
        <v>31626.860000000022</v>
      </c>
      <c r="AK56" s="55">
        <f>AK6+AK45+AK52+AK55</f>
        <v>22631.580000000027</v>
      </c>
      <c r="AL56" s="55">
        <f>AL6+AL45+AL52+AL55</f>
        <v>16112.640000000023</v>
      </c>
      <c r="AM56" s="55">
        <f>AM6+AM45+AM52+AM55</f>
        <v>16103.770000000026</v>
      </c>
      <c r="AN56" s="55">
        <f>AN6+AN45+AN52+AN55</f>
        <v>19896.360000000022</v>
      </c>
      <c r="AO56" s="55">
        <f>AO6+AO45+AO52+AO55</f>
        <v>25433.700000000026</v>
      </c>
      <c r="AP56" s="55">
        <f>AP6+AP45+AP52+AP55</f>
        <v>62844.50000000003</v>
      </c>
      <c r="AQ56" s="55">
        <f>AQ6+AQ45+AQ52+AQ55</f>
        <v>80540.23000000003</v>
      </c>
      <c r="AR56" s="55">
        <f>AR6+AR45+AR52+AR55</f>
        <v>55934.14000000003</v>
      </c>
      <c r="AS56" s="55">
        <f>AS6+AS45+AS52+AS55</f>
        <v>45132.070000000036</v>
      </c>
      <c r="AT56" s="55">
        <f>AT6+AT45+AT52+AT55</f>
        <v>28705.37000000003</v>
      </c>
      <c r="AU56" s="55">
        <f>AU6+AU45+AU52+AU55</f>
        <v>61320.66000000004</v>
      </c>
      <c r="AV56" s="55">
        <f>AV6+AV45+AV52+AV55</f>
        <v>59817.460000000036</v>
      </c>
      <c r="AW56" s="55">
        <f>AW6+AW45+AW52+AW55</f>
        <v>47313.37000000004</v>
      </c>
      <c r="AX56" s="55">
        <f>AX6+AX45+AX52+AX55</f>
        <v>52545.500000000044</v>
      </c>
      <c r="AY56" s="55">
        <f>AY6+AY45+AY52+AY55</f>
        <v>25976.310000000034</v>
      </c>
      <c r="AZ56" s="55">
        <f>AZ6+AZ45+AZ52+AZ55</f>
        <v>21903.880000000037</v>
      </c>
      <c r="BA56" s="55">
        <f>BA6+BA45+BA52+BA55</f>
        <v>47997.29000000004</v>
      </c>
      <c r="BB56" s="55">
        <f>BB6+BB45+BB52+BB55</f>
        <v>48156.83000000003</v>
      </c>
      <c r="BC56" s="55">
        <f>BC6+BC45+BC52+BC55</f>
        <v>46495.83000000004</v>
      </c>
      <c r="BD56" s="55">
        <f>BD6+BD45+BD52+BD55</f>
        <v>39022.95000000003</v>
      </c>
      <c r="BE56" s="55">
        <f>BE6+BE45+BE52+BE55</f>
        <v>31150.640000000036</v>
      </c>
      <c r="BF56" s="55">
        <f>BF6+BF45+BF52+BF55</f>
        <v>63744.19000000004</v>
      </c>
      <c r="BG56" s="55">
        <f>BG6+BG45+BG52+BG55</f>
        <v>45894.79000000004</v>
      </c>
      <c r="BH56" s="55">
        <f>BH6+BH45+BH52+BH55</f>
        <v>61093.29000000004</v>
      </c>
      <c r="BI56" s="55">
        <f>BI6+BI45+BI52+BI55</f>
        <v>64730.91000000004</v>
      </c>
      <c r="BJ56" s="55">
        <f>BJ6+BJ45+BJ52+BJ55</f>
        <v>66353.84000000004</v>
      </c>
      <c r="BK56" s="55">
        <f>BK6+BK45+BK52+BK55</f>
        <v>64105.30000000005</v>
      </c>
      <c r="BL56" s="55">
        <f>BL6+BL45+BL52+BL55</f>
        <v>99111.89000000004</v>
      </c>
      <c r="BM56" s="55">
        <f>BM6+BM45+BM52+BM55</f>
        <v>120709.50000000004</v>
      </c>
      <c r="BN56" s="55">
        <f>BN6+BN45+BN52+BN55</f>
        <v>95571.95000000006</v>
      </c>
      <c r="BO56" s="55">
        <f>BO6+BO45+BO52+BO55</f>
        <v>89503.45000000006</v>
      </c>
      <c r="BP56" s="55">
        <f>BP6+BP45+BP52+BP55</f>
        <v>98272.53000000006</v>
      </c>
      <c r="BQ56" s="55">
        <f>BQ6+BQ45+BQ52+BQ55</f>
        <v>132885.81000000006</v>
      </c>
      <c r="BR56" s="55">
        <f>BR6+BR45+BR52+BR55</f>
        <v>175087.97000000006</v>
      </c>
      <c r="BS56" s="55">
        <f>BS6+BS45+BS52+BS55</f>
        <v>169795.94000000003</v>
      </c>
      <c r="BT56" s="55">
        <f>BT6+BT45+BT52+BT55</f>
        <v>143858.33000000005</v>
      </c>
      <c r="BU56" s="55">
        <f>BU6+BU45+BU52+BU55</f>
        <v>63472.30000000005</v>
      </c>
      <c r="BV56" s="55">
        <f>BV6+BV45+BV52+BV55</f>
        <v>177339.00000000003</v>
      </c>
      <c r="BW56" s="55">
        <f>BW6+BW45+BW52+BW55</f>
        <v>224130.66000000006</v>
      </c>
      <c r="BX56" s="55">
        <f>BX6+BX45+BX52+BX55</f>
        <v>234955.49000000005</v>
      </c>
      <c r="BY56" s="55">
        <f>BY6+BY45+BY52+BY55</f>
        <v>242804.59000000005</v>
      </c>
      <c r="BZ56" s="55">
        <f>BZ6+BZ45+BZ52+BZ55</f>
        <v>294535.58</v>
      </c>
      <c r="CA56" s="55">
        <f>CA6+CA45+CA52+CA55</f>
        <v>342289.35000000003</v>
      </c>
      <c r="CB56" s="55">
        <f>CB6+CB45+CB52+CB55</f>
        <v>347981.49000000005</v>
      </c>
      <c r="CC56" s="55">
        <f>CC6+CC45+CC52+CC55</f>
        <v>399578.18000000005</v>
      </c>
      <c r="CD56" s="55">
        <f>CD6+CD45+CD52+CD55</f>
        <v>423038.9600000001</v>
      </c>
      <c r="CE56" s="55">
        <f>CE6+CE45+CE52+CE55</f>
        <v>500814.4</v>
      </c>
      <c r="CF56" s="55">
        <f>CF6+CF45+CF52+CF55</f>
        <v>469151.80000000005</v>
      </c>
      <c r="CG56" s="55">
        <f>CG6+CG45+CG52+CG55</f>
        <v>405441.94000000006</v>
      </c>
      <c r="CH56" s="55">
        <f>CH6+CH45+CH52+CH55</f>
        <v>418857.0900000001</v>
      </c>
      <c r="CI56" s="55">
        <f>CI6+CI45+CI52+CI55</f>
        <v>433404.74000000005</v>
      </c>
      <c r="CJ56" s="55">
        <f>CJ6+CJ45+CJ52+CJ55</f>
        <v>502129.60000000003</v>
      </c>
      <c r="CK56" s="55">
        <f>CK6+CK45+CK52+CK55</f>
        <v>502569.56000000006</v>
      </c>
      <c r="CL56" s="55">
        <f>CL6+CL45+CL52+CL55</f>
        <v>456727.0200000001</v>
      </c>
      <c r="CM56" s="55">
        <f>CM6+CM45+CM52+CM55</f>
        <v>491354.5800000001</v>
      </c>
      <c r="CN56" s="55">
        <f>CN6+CN45+CN52+CN55</f>
        <v>567405.6900000001</v>
      </c>
      <c r="CO56" s="55">
        <f>CO6+CO45+CO52+CO55</f>
        <v>582530.2000000001</v>
      </c>
      <c r="CP56" s="55">
        <f>CP6+CP45+CP52+CP55</f>
        <v>543350.5900000002</v>
      </c>
      <c r="CQ56" s="55">
        <f>CQ6+CQ45+CQ52+CQ55</f>
        <v>464923.14000000013</v>
      </c>
      <c r="CR56" s="55">
        <f>CR6+CR45+CR52+CR55</f>
        <v>569759.65</v>
      </c>
      <c r="CS56" s="55">
        <f>CS6+CS45+CS52+CS55</f>
        <v>607159.05</v>
      </c>
      <c r="CT56" s="55">
        <f>CT6+CT45+CT52+CT55</f>
        <v>635237.6900000001</v>
      </c>
      <c r="CU56" s="55">
        <f>CU6+CU45+CU52+CU55</f>
        <v>648202.87</v>
      </c>
      <c r="CV56" s="55">
        <f>CV6+CV45+CV52+CV55</f>
        <v>536183.15</v>
      </c>
      <c r="CW56" s="55">
        <f>CW6+CW45+CW52+CW55</f>
        <v>501875.76</v>
      </c>
      <c r="CX56" s="55">
        <f>CX6+CX45+CX52+CX55</f>
        <v>436661.13000000006</v>
      </c>
      <c r="CY56" s="55">
        <f>CY6+CY45+CY52+CY55</f>
        <v>439521.14</v>
      </c>
      <c r="CZ56" s="55">
        <f>CZ6+CZ45+CZ52+CZ55</f>
        <v>464227.30000000005</v>
      </c>
      <c r="DA56" s="55">
        <f>DA6+DA45+DA52+DA55</f>
        <v>392180.13000000006</v>
      </c>
      <c r="DB56" s="55">
        <f>DB6+DB45+DB52+DB55</f>
        <v>574440.7300000001</v>
      </c>
      <c r="DC56" s="55">
        <f>DC6+DC45+DC52+DC55</f>
        <v>710280.41</v>
      </c>
      <c r="DD56" s="55">
        <f>DD6+DD45+DD52+DD55</f>
        <v>778379.7899999999</v>
      </c>
      <c r="DE56" s="55">
        <f>DE6+DE45+DE52+DE55</f>
        <v>700412.7300000001</v>
      </c>
      <c r="DF56" s="55">
        <f>DF6+DF45+DF52+DF55</f>
        <v>609959.93</v>
      </c>
      <c r="DG56" s="55">
        <f>DG6+DG45+DG52+DG55</f>
        <v>489668.02</v>
      </c>
      <c r="DH56" s="55">
        <f>DH6+DH45+DH52+DH55</f>
        <v>634075.9400000001</v>
      </c>
      <c r="DI56" s="55">
        <f>DI6+DI45+DI52+DI55</f>
        <v>587859.8000000002</v>
      </c>
      <c r="DJ56" s="55">
        <f>DJ6+DJ45+DJ52+DJ55</f>
        <v>405173.53</v>
      </c>
      <c r="DK56" s="55">
        <f>DK6+DK45+DK52+DK55</f>
        <v>460661.38000000006</v>
      </c>
      <c r="DL56" s="55">
        <f>DL6+DL45+DL52+DL55</f>
        <v>499951.2400000001</v>
      </c>
      <c r="DM56" s="55">
        <f>DM6+DM45+DM52+DM55</f>
        <v>426456.79000000004</v>
      </c>
      <c r="DN56" s="55">
        <f>DN6+DN45+DN52+DN55</f>
        <v>319653.0200000001</v>
      </c>
      <c r="DO56" s="55">
        <f>DO6+DO45+DO52+DO55</f>
        <v>346645.76</v>
      </c>
      <c r="DP56" s="55">
        <f>DP6+DP45+DP52+DP55</f>
        <v>328244.81000000006</v>
      </c>
      <c r="DQ56" s="55">
        <f>DQ6+DQ45+DQ52+DQ55</f>
        <v>502888.7400000001</v>
      </c>
      <c r="DR56" s="55">
        <f>DR6+DR45+DR52+DR55</f>
        <v>365858.06000000006</v>
      </c>
      <c r="DS56" s="55">
        <f>DS6+DS45+DS52+DS55</f>
        <v>322615.8900000001</v>
      </c>
      <c r="DT56" s="55">
        <f>DT6+DT45+DT52+DT55</f>
        <v>298276.7100000001</v>
      </c>
      <c r="DU56" s="55">
        <f>DU6+DU45+DU52+DU55</f>
        <v>263182.34</v>
      </c>
      <c r="DV56" s="55">
        <f>DV6+DV45+DV52+DV55</f>
        <v>230591.03</v>
      </c>
      <c r="DW56" s="55">
        <f>DW6+DW45+DW52+DW55</f>
        <v>244430.85000000003</v>
      </c>
      <c r="DX56" s="55">
        <f>DX6+DX45+DX52+DX55</f>
        <v>256270.80000000002</v>
      </c>
      <c r="DY56" s="55">
        <f>DY6+DY45+DY52+DY55</f>
        <v>233242.26</v>
      </c>
      <c r="DZ56" s="55">
        <f>DZ6+DZ45+DZ52+DZ55</f>
        <v>251337.75999999998</v>
      </c>
      <c r="EA56" s="55">
        <f>EA6+EA45+EA52+EA55</f>
        <v>301305.23</v>
      </c>
      <c r="EB56" s="55">
        <f>EB6+EB45+EB52+EB55</f>
        <v>218760.73000000004</v>
      </c>
      <c r="EC56" s="55">
        <f>EC6+EC45+EC52+EC55</f>
        <v>226997.45</v>
      </c>
      <c r="ED56" s="55">
        <f>ED6+ED45+ED52+ED55</f>
        <v>300855.63</v>
      </c>
      <c r="EE56" s="55">
        <f>EE6+EE45+EE52+EE55</f>
        <v>278456.19</v>
      </c>
      <c r="EF56" s="55">
        <f>EF6+EF45+EF52+EF55</f>
        <v>255829.48000000004</v>
      </c>
      <c r="EG56" s="55">
        <f>EG6+EG45+EG52+EG55</f>
        <v>230044.31000000003</v>
      </c>
      <c r="EH56" s="55">
        <f>EH6+EH45+EH52+EH55</f>
        <v>229983.62000000005</v>
      </c>
      <c r="EI56" s="55">
        <f>EI6+EI45+EI52+EI55</f>
        <v>238184.92</v>
      </c>
      <c r="EJ56" s="55">
        <f>EJ6+EJ45+EJ52+EJ55</f>
        <v>263333.78</v>
      </c>
      <c r="EK56" s="55">
        <f>EK6+EK45+EK52+EK55</f>
        <v>240353.11000000002</v>
      </c>
      <c r="EL56" s="55">
        <f>EL6+EL45+EL52+EL55</f>
        <v>220542.31000000003</v>
      </c>
      <c r="EM56" s="55">
        <f>EM6+EM45+EM52+EM55</f>
        <v>219767.76</v>
      </c>
      <c r="EN56" s="55">
        <f>EN6+EN45+EN52+EN55</f>
        <v>210818.34</v>
      </c>
      <c r="EO56" s="55">
        <f>EO6+EO45+EO52+EO55</f>
        <v>212863.28000000003</v>
      </c>
      <c r="EP56" s="55">
        <f>EP6+EP45+EP52+EP55</f>
        <v>188932.2</v>
      </c>
      <c r="EQ56" s="55">
        <f>EQ6+EQ45+EQ52+EQ55</f>
        <v>182837.65000000002</v>
      </c>
      <c r="ER56" s="55">
        <f>ER6+ER45+ER52+ER55</f>
        <v>171557.02000000002</v>
      </c>
    </row>
    <row r="57" spans="1:148" ht="16">
      <c r="A57" s="39" t="s">
        <v>54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</row>
    <row r="58" spans="1:148" ht="16">
      <c r="A58" s="40" t="s">
        <v>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</row>
    <row r="59" spans="1:148" ht="16">
      <c r="A59" s="41" t="s">
        <v>56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</row>
    <row r="60" spans="1:148" ht="16">
      <c r="A60" s="42" t="s">
        <v>57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</row>
    <row r="61" spans="1:148" ht="16">
      <c r="A61" s="44" t="s">
        <v>58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4">
        <v>0</v>
      </c>
      <c r="R61" s="54">
        <v>0</v>
      </c>
      <c r="S61" s="54">
        <v>0</v>
      </c>
      <c r="T61" s="54">
        <v>0</v>
      </c>
      <c r="U61" s="54">
        <v>0</v>
      </c>
      <c r="V61" s="54">
        <v>0</v>
      </c>
      <c r="W61" s="54">
        <v>924.64</v>
      </c>
      <c r="X61" s="54">
        <v>0</v>
      </c>
      <c r="Y61" s="54">
        <v>0</v>
      </c>
      <c r="Z61" s="54">
        <v>4458.07</v>
      </c>
      <c r="AA61" s="54">
        <v>7033.67</v>
      </c>
      <c r="AB61" s="54">
        <v>11210.09</v>
      </c>
      <c r="AC61" s="54">
        <v>5375.97</v>
      </c>
      <c r="AD61" s="54">
        <v>1414.2500000000005</v>
      </c>
      <c r="AE61" s="54">
        <v>1901.5800000000004</v>
      </c>
      <c r="AF61" s="54">
        <v>3700.63</v>
      </c>
      <c r="AG61" s="54">
        <v>4302.85</v>
      </c>
      <c r="AH61" s="54">
        <v>6762.82</v>
      </c>
      <c r="AI61" s="54">
        <v>9785.27</v>
      </c>
      <c r="AJ61" s="54">
        <v>9933.060000000001</v>
      </c>
      <c r="AK61" s="54">
        <v>3290.6000000000013</v>
      </c>
      <c r="AL61" s="54">
        <v>1670.3000000000013</v>
      </c>
      <c r="AM61" s="54">
        <v>1765.8400000000013</v>
      </c>
      <c r="AN61" s="54">
        <v>4986.720000000001</v>
      </c>
      <c r="AO61" s="54">
        <v>6075.690000000001</v>
      </c>
      <c r="AP61" s="54">
        <v>10493.660000000002</v>
      </c>
      <c r="AQ61" s="54">
        <v>17950.79</v>
      </c>
      <c r="AR61" s="54">
        <v>8907.880000000001</v>
      </c>
      <c r="AS61" s="54">
        <v>9298.970000000001</v>
      </c>
      <c r="AT61" s="54">
        <v>4127.410000000001</v>
      </c>
      <c r="AU61" s="54">
        <v>10048.79</v>
      </c>
      <c r="AV61" s="54">
        <v>15297.29</v>
      </c>
      <c r="AW61" s="54">
        <v>5311.6</v>
      </c>
      <c r="AX61" s="54">
        <v>9780.71</v>
      </c>
      <c r="AY61" s="54">
        <v>6822.839999999999</v>
      </c>
      <c r="AZ61" s="54">
        <v>6171.69</v>
      </c>
      <c r="BA61" s="54">
        <v>18242.63</v>
      </c>
      <c r="BB61" s="54">
        <v>21213.11</v>
      </c>
      <c r="BC61" s="54">
        <v>20560.41</v>
      </c>
      <c r="BD61" s="54">
        <v>12143.85</v>
      </c>
      <c r="BE61" s="54">
        <v>8480.92</v>
      </c>
      <c r="BF61" s="54">
        <v>12602.98</v>
      </c>
      <c r="BG61" s="54">
        <v>13123.59</v>
      </c>
      <c r="BH61" s="54">
        <v>10816.86</v>
      </c>
      <c r="BI61" s="54">
        <v>2163.380000000001</v>
      </c>
      <c r="BJ61" s="54">
        <v>19332.33</v>
      </c>
      <c r="BK61" s="54">
        <v>30367.18</v>
      </c>
      <c r="BL61" s="54">
        <v>13808.939999999999</v>
      </c>
      <c r="BM61" s="54">
        <v>24874.739999999998</v>
      </c>
      <c r="BN61" s="54">
        <v>15205.349999999999</v>
      </c>
      <c r="BO61" s="54">
        <v>11125.619999999999</v>
      </c>
      <c r="BP61" s="54">
        <v>15929.119999999999</v>
      </c>
      <c r="BQ61" s="54">
        <v>41984.81</v>
      </c>
      <c r="BR61" s="54">
        <v>26450.199999999997</v>
      </c>
      <c r="BS61" s="54">
        <v>11485.859999999997</v>
      </c>
      <c r="BT61" s="54">
        <v>3258.109999999997</v>
      </c>
      <c r="BU61" s="54">
        <v>-3.183231456205249E-12</v>
      </c>
      <c r="BV61" s="54">
        <v>3467.999999999997</v>
      </c>
      <c r="BW61" s="54">
        <v>6368.019999999997</v>
      </c>
      <c r="BX61" s="54">
        <v>10847.489999999998</v>
      </c>
      <c r="BY61" s="54">
        <v>1254.8699999999972</v>
      </c>
      <c r="BZ61" s="54">
        <v>899.9999999999972</v>
      </c>
      <c r="CA61" s="54">
        <v>15161.409999999996</v>
      </c>
      <c r="CB61" s="54">
        <v>15466.419999999996</v>
      </c>
      <c r="CC61" s="54">
        <v>1343.6199999999972</v>
      </c>
      <c r="CD61" s="54">
        <v>6672.619999999997</v>
      </c>
      <c r="CE61" s="54">
        <v>8284.329999999998</v>
      </c>
      <c r="CF61" s="54">
        <v>5982.019999999999</v>
      </c>
      <c r="CG61" s="54">
        <v>744.9999999999982</v>
      </c>
      <c r="CH61" s="54">
        <v>2183.499999999998</v>
      </c>
      <c r="CI61" s="54">
        <v>2550.8399999999983</v>
      </c>
      <c r="CJ61" s="54">
        <v>589.9999999999984</v>
      </c>
      <c r="CK61" s="54">
        <v>12044.009999999998</v>
      </c>
      <c r="CL61" s="54">
        <v>23513.469999999998</v>
      </c>
      <c r="CM61" s="54">
        <v>12532.649999999998</v>
      </c>
      <c r="CN61" s="54">
        <v>3322.1799999999985</v>
      </c>
      <c r="CO61" s="54">
        <v>8992.039999999997</v>
      </c>
      <c r="CP61" s="54">
        <v>72556.9</v>
      </c>
      <c r="CQ61" s="54">
        <v>54247.98999999999</v>
      </c>
      <c r="CR61" s="54">
        <v>179221.46999999997</v>
      </c>
      <c r="CS61" s="54">
        <v>190740.86</v>
      </c>
      <c r="CT61" s="54">
        <v>69647.09999999999</v>
      </c>
      <c r="CU61" s="54">
        <v>95580.19999999998</v>
      </c>
      <c r="CV61" s="54">
        <v>106469.31999999998</v>
      </c>
      <c r="CW61" s="54">
        <v>71642.61999999998</v>
      </c>
      <c r="CX61" s="54">
        <v>53547.669999999984</v>
      </c>
      <c r="CY61" s="54">
        <v>31150.509999999984</v>
      </c>
      <c r="CZ61" s="54">
        <v>37039.599999999984</v>
      </c>
      <c r="DA61" s="54">
        <v>43112.65999999998</v>
      </c>
      <c r="DB61" s="54">
        <v>121633.26999999999</v>
      </c>
      <c r="DC61" s="54">
        <v>125084.38999999998</v>
      </c>
      <c r="DD61" s="54">
        <v>214951.50999999998</v>
      </c>
      <c r="DE61" s="54">
        <v>109143.15999999997</v>
      </c>
      <c r="DF61" s="54">
        <v>68736.57999999997</v>
      </c>
      <c r="DG61" s="54">
        <v>122793.42999999996</v>
      </c>
      <c r="DH61" s="54">
        <v>149636.29999999996</v>
      </c>
      <c r="DI61" s="54">
        <v>124003.65999999996</v>
      </c>
      <c r="DJ61" s="54">
        <v>76029.59999999996</v>
      </c>
      <c r="DK61" s="54">
        <v>86161.63999999996</v>
      </c>
      <c r="DL61" s="54">
        <v>164224.42999999993</v>
      </c>
      <c r="DM61" s="54">
        <v>192080.12999999995</v>
      </c>
      <c r="DN61" s="54">
        <v>122265.50999999995</v>
      </c>
      <c r="DO61" s="54">
        <v>153335.48999999996</v>
      </c>
      <c r="DP61" s="54">
        <v>156040.86999999997</v>
      </c>
      <c r="DQ61" s="54">
        <v>145665.46999999997</v>
      </c>
      <c r="DR61" s="54">
        <v>118690.42999999996</v>
      </c>
      <c r="DS61" s="54">
        <v>130752.82999999996</v>
      </c>
      <c r="DT61" s="54">
        <v>119572.32999999996</v>
      </c>
      <c r="DU61" s="54">
        <v>135563.71999999997</v>
      </c>
      <c r="DV61" s="54">
        <v>155259.67999999996</v>
      </c>
      <c r="DW61" s="54">
        <v>188537.19999999995</v>
      </c>
      <c r="DX61" s="54">
        <v>198811.61999999997</v>
      </c>
      <c r="DY61" s="54">
        <v>205036.90999999997</v>
      </c>
      <c r="DZ61" s="54">
        <v>234794.49999999997</v>
      </c>
      <c r="EA61" s="54">
        <v>302988.55999999994</v>
      </c>
      <c r="EB61" s="54">
        <v>254626.06999999995</v>
      </c>
      <c r="EC61" s="54">
        <v>243570.72999999995</v>
      </c>
      <c r="ED61" s="54">
        <v>190903.08999999997</v>
      </c>
      <c r="EE61" s="54">
        <v>194490.15999999997</v>
      </c>
      <c r="EF61" s="54">
        <v>182756.00999999998</v>
      </c>
      <c r="EG61" s="54">
        <v>180295.87999999998</v>
      </c>
      <c r="EH61" s="54">
        <v>181730.58999999997</v>
      </c>
      <c r="EI61" s="54">
        <v>199112.09999999998</v>
      </c>
      <c r="EJ61" s="54">
        <v>165187.15999999997</v>
      </c>
      <c r="EK61" s="54">
        <v>170095.23999999996</v>
      </c>
      <c r="EL61" s="54">
        <v>172703.09999999995</v>
      </c>
      <c r="EM61" s="54">
        <v>173290.54999999996</v>
      </c>
      <c r="EN61" s="54">
        <v>175397.67999999996</v>
      </c>
      <c r="EO61" s="54">
        <v>170239.80999999997</v>
      </c>
      <c r="EP61" s="54">
        <v>167571.79999999996</v>
      </c>
      <c r="EQ61" s="54">
        <v>167571.79999999996</v>
      </c>
      <c r="ER61" s="54">
        <v>167571.79999999996</v>
      </c>
    </row>
    <row r="62" spans="1:148" ht="16">
      <c r="A62" s="47" t="s">
        <v>59</v>
      </c>
      <c r="B62" s="55">
        <f>B60+B61</f>
        <v>0.0</v>
      </c>
      <c r="C62" s="55">
        <f>C60+C61</f>
        <v>0.0</v>
      </c>
      <c r="D62" s="55">
        <f>D60+D61</f>
        <v>0.0</v>
      </c>
      <c r="E62" s="55">
        <f>E60+E61</f>
        <v>0.0</v>
      </c>
      <c r="F62" s="55">
        <f>F60+F61</f>
        <v>0.0</v>
      </c>
      <c r="G62" s="55">
        <f>G60+G61</f>
        <v>0.0</v>
      </c>
      <c r="H62" s="55">
        <f>H60+H61</f>
        <v>0.0</v>
      </c>
      <c r="I62" s="55">
        <f>I60+I61</f>
        <v>0.0</v>
      </c>
      <c r="J62" s="55">
        <f>J60+J61</f>
        <v>0.0</v>
      </c>
      <c r="K62" s="55">
        <f>K60+K61</f>
        <v>0.0</v>
      </c>
      <c r="L62" s="55">
        <f>L60+L61</f>
        <v>0.0</v>
      </c>
      <c r="M62" s="55">
        <f>M60+M61</f>
        <v>0.0</v>
      </c>
      <c r="N62" s="55">
        <f>N60+N61</f>
        <v>0.0</v>
      </c>
      <c r="O62" s="55">
        <f>O60+O61</f>
        <v>0.0</v>
      </c>
      <c r="P62" s="55">
        <f>P60+P61</f>
        <v>0.0</v>
      </c>
      <c r="Q62" s="55">
        <f>Q60+Q61</f>
        <v>0.0</v>
      </c>
      <c r="R62" s="55">
        <f>R60+R61</f>
        <v>0.0</v>
      </c>
      <c r="S62" s="55">
        <f>S60+S61</f>
        <v>0.0</v>
      </c>
      <c r="T62" s="55">
        <f>T60+T61</f>
        <v>0.0</v>
      </c>
      <c r="U62" s="55">
        <f>U60+U61</f>
        <v>0.0</v>
      </c>
      <c r="V62" s="55">
        <f>V60+V61</f>
        <v>0.0</v>
      </c>
      <c r="W62" s="55">
        <f>W60+W61</f>
        <v>924.64</v>
      </c>
      <c r="X62" s="55">
        <f>X60+X61</f>
        <v>0.0</v>
      </c>
      <c r="Y62" s="55">
        <f>Y60+Y61</f>
        <v>0.0</v>
      </c>
      <c r="Z62" s="55">
        <f>Z60+Z61</f>
        <v>4458.07</v>
      </c>
      <c r="AA62" s="55">
        <f>AA60+AA61</f>
        <v>7033.67</v>
      </c>
      <c r="AB62" s="55">
        <f>AB60+AB61</f>
        <v>11210.09</v>
      </c>
      <c r="AC62" s="55">
        <f>AC60+AC61</f>
        <v>5375.97</v>
      </c>
      <c r="AD62" s="55">
        <f>AD60+AD61</f>
        <v>1414.2500000000005</v>
      </c>
      <c r="AE62" s="55">
        <f>AE60+AE61</f>
        <v>1901.5800000000004</v>
      </c>
      <c r="AF62" s="55">
        <f>AF60+AF61</f>
        <v>3700.63</v>
      </c>
      <c r="AG62" s="55">
        <f>AG60+AG61</f>
        <v>4302.85</v>
      </c>
      <c r="AH62" s="55">
        <f>AH60+AH61</f>
        <v>6762.82</v>
      </c>
      <c r="AI62" s="55">
        <f>AI60+AI61</f>
        <v>9785.27</v>
      </c>
      <c r="AJ62" s="55">
        <f>AJ60+AJ61</f>
        <v>9933.060000000001</v>
      </c>
      <c r="AK62" s="55">
        <f>AK60+AK61</f>
        <v>3290.6000000000013</v>
      </c>
      <c r="AL62" s="55">
        <f>AL60+AL61</f>
        <v>1670.3000000000013</v>
      </c>
      <c r="AM62" s="55">
        <f>AM60+AM61</f>
        <v>1765.8400000000013</v>
      </c>
      <c r="AN62" s="55">
        <f>AN60+AN61</f>
        <v>4986.720000000001</v>
      </c>
      <c r="AO62" s="55">
        <f>AO60+AO61</f>
        <v>6075.690000000001</v>
      </c>
      <c r="AP62" s="55">
        <f>AP60+AP61</f>
        <v>10493.660000000002</v>
      </c>
      <c r="AQ62" s="55">
        <f>AQ60+AQ61</f>
        <v>17950.79</v>
      </c>
      <c r="AR62" s="55">
        <f>AR60+AR61</f>
        <v>8907.880000000001</v>
      </c>
      <c r="AS62" s="55">
        <f>AS60+AS61</f>
        <v>9298.970000000001</v>
      </c>
      <c r="AT62" s="55">
        <f>AT60+AT61</f>
        <v>4127.410000000001</v>
      </c>
      <c r="AU62" s="55">
        <f>AU60+AU61</f>
        <v>10048.79</v>
      </c>
      <c r="AV62" s="55">
        <f>AV60+AV61</f>
        <v>15297.29</v>
      </c>
      <c r="AW62" s="55">
        <f>AW60+AW61</f>
        <v>5311.6</v>
      </c>
      <c r="AX62" s="55">
        <f>AX60+AX61</f>
        <v>9780.71</v>
      </c>
      <c r="AY62" s="55">
        <f>AY60+AY61</f>
        <v>6822.839999999999</v>
      </c>
      <c r="AZ62" s="55">
        <f>AZ60+AZ61</f>
        <v>6171.69</v>
      </c>
      <c r="BA62" s="55">
        <f>BA60+BA61</f>
        <v>18242.63</v>
      </c>
      <c r="BB62" s="55">
        <f>BB60+BB61</f>
        <v>21213.11</v>
      </c>
      <c r="BC62" s="55">
        <f>BC60+BC61</f>
        <v>20560.41</v>
      </c>
      <c r="BD62" s="55">
        <f>BD60+BD61</f>
        <v>12143.85</v>
      </c>
      <c r="BE62" s="55">
        <f>BE60+BE61</f>
        <v>8480.92</v>
      </c>
      <c r="BF62" s="55">
        <f>BF60+BF61</f>
        <v>12602.98</v>
      </c>
      <c r="BG62" s="55">
        <f>BG60+BG61</f>
        <v>13123.59</v>
      </c>
      <c r="BH62" s="55">
        <f>BH60+BH61</f>
        <v>10816.86</v>
      </c>
      <c r="BI62" s="55">
        <f>BI60+BI61</f>
        <v>2163.380000000001</v>
      </c>
      <c r="BJ62" s="55">
        <f>BJ60+BJ61</f>
        <v>19332.33</v>
      </c>
      <c r="BK62" s="55">
        <f>BK60+BK61</f>
        <v>30367.18</v>
      </c>
      <c r="BL62" s="55">
        <f>BL60+BL61</f>
        <v>13808.939999999999</v>
      </c>
      <c r="BM62" s="55">
        <f>BM60+BM61</f>
        <v>24874.739999999998</v>
      </c>
      <c r="BN62" s="55">
        <f>BN60+BN61</f>
        <v>15205.349999999999</v>
      </c>
      <c r="BO62" s="55">
        <f>BO60+BO61</f>
        <v>11125.619999999999</v>
      </c>
      <c r="BP62" s="55">
        <f>BP60+BP61</f>
        <v>15929.119999999999</v>
      </c>
      <c r="BQ62" s="55">
        <f>BQ60+BQ61</f>
        <v>41984.81</v>
      </c>
      <c r="BR62" s="55">
        <f>BR60+BR61</f>
        <v>26450.199999999997</v>
      </c>
      <c r="BS62" s="55">
        <f>BS60+BS61</f>
        <v>11485.859999999997</v>
      </c>
      <c r="BT62" s="55">
        <f>BT60+BT61</f>
        <v>3258.109999999997</v>
      </c>
      <c r="BU62" s="55">
        <f>BU60+BU61</f>
        <v>-3.183231456205249E-12</v>
      </c>
      <c r="BV62" s="55">
        <f>BV60+BV61</f>
        <v>3467.999999999997</v>
      </c>
      <c r="BW62" s="55">
        <f>BW60+BW61</f>
        <v>6368.019999999997</v>
      </c>
      <c r="BX62" s="55">
        <f>BX60+BX61</f>
        <v>10847.489999999998</v>
      </c>
      <c r="BY62" s="55">
        <f>BY60+BY61</f>
        <v>1254.8699999999972</v>
      </c>
      <c r="BZ62" s="55">
        <f>BZ60+BZ61</f>
        <v>899.9999999999972</v>
      </c>
      <c r="CA62" s="55">
        <f>CA60+CA61</f>
        <v>15161.409999999996</v>
      </c>
      <c r="CB62" s="55">
        <f>CB60+CB61</f>
        <v>15466.419999999996</v>
      </c>
      <c r="CC62" s="55">
        <f>CC60+CC61</f>
        <v>1343.6199999999972</v>
      </c>
      <c r="CD62" s="55">
        <f>CD60+CD61</f>
        <v>6672.619999999997</v>
      </c>
      <c r="CE62" s="55">
        <f>CE60+CE61</f>
        <v>8284.329999999998</v>
      </c>
      <c r="CF62" s="55">
        <f>CF60+CF61</f>
        <v>5982.019999999999</v>
      </c>
      <c r="CG62" s="55">
        <f>CG60+CG61</f>
        <v>744.9999999999982</v>
      </c>
      <c r="CH62" s="55">
        <f>CH60+CH61</f>
        <v>2183.499999999998</v>
      </c>
      <c r="CI62" s="55">
        <f>CI60+CI61</f>
        <v>2550.8399999999983</v>
      </c>
      <c r="CJ62" s="55">
        <f>CJ60+CJ61</f>
        <v>589.9999999999984</v>
      </c>
      <c r="CK62" s="55">
        <f>CK60+CK61</f>
        <v>12044.009999999998</v>
      </c>
      <c r="CL62" s="55">
        <f>CL60+CL61</f>
        <v>23513.469999999998</v>
      </c>
      <c r="CM62" s="55">
        <f>CM60+CM61</f>
        <v>12532.649999999998</v>
      </c>
      <c r="CN62" s="55">
        <f>CN60+CN61</f>
        <v>3322.1799999999985</v>
      </c>
      <c r="CO62" s="55">
        <f>CO60+CO61</f>
        <v>8992.039999999997</v>
      </c>
      <c r="CP62" s="55">
        <f>CP60+CP61</f>
        <v>72556.9</v>
      </c>
      <c r="CQ62" s="55">
        <f>CQ60+CQ61</f>
        <v>54247.98999999999</v>
      </c>
      <c r="CR62" s="55">
        <f>CR60+CR61</f>
        <v>179221.46999999997</v>
      </c>
      <c r="CS62" s="55">
        <f>CS60+CS61</f>
        <v>190740.86</v>
      </c>
      <c r="CT62" s="55">
        <f>CT60+CT61</f>
        <v>69647.09999999999</v>
      </c>
      <c r="CU62" s="55">
        <f>CU60+CU61</f>
        <v>95580.19999999998</v>
      </c>
      <c r="CV62" s="55">
        <f>CV60+CV61</f>
        <v>106469.31999999998</v>
      </c>
      <c r="CW62" s="55">
        <f>CW60+CW61</f>
        <v>71642.61999999998</v>
      </c>
      <c r="CX62" s="55">
        <f>CX60+CX61</f>
        <v>53547.669999999984</v>
      </c>
      <c r="CY62" s="55">
        <f>CY60+CY61</f>
        <v>31150.509999999984</v>
      </c>
      <c r="CZ62" s="55">
        <f>CZ60+CZ61</f>
        <v>37039.599999999984</v>
      </c>
      <c r="DA62" s="55">
        <f>DA60+DA61</f>
        <v>43112.65999999998</v>
      </c>
      <c r="DB62" s="55">
        <f>DB60+DB61</f>
        <v>121633.26999999999</v>
      </c>
      <c r="DC62" s="55">
        <f>DC60+DC61</f>
        <v>125084.38999999998</v>
      </c>
      <c r="DD62" s="55">
        <f>DD60+DD61</f>
        <v>214951.50999999998</v>
      </c>
      <c r="DE62" s="55">
        <f>DE60+DE61</f>
        <v>109143.15999999997</v>
      </c>
      <c r="DF62" s="55">
        <f>DF60+DF61</f>
        <v>68736.57999999997</v>
      </c>
      <c r="DG62" s="55">
        <f>DG60+DG61</f>
        <v>122793.42999999996</v>
      </c>
      <c r="DH62" s="55">
        <f>DH60+DH61</f>
        <v>149636.29999999996</v>
      </c>
      <c r="DI62" s="55">
        <f>DI60+DI61</f>
        <v>124003.65999999996</v>
      </c>
      <c r="DJ62" s="55">
        <f>DJ60+DJ61</f>
        <v>76029.59999999996</v>
      </c>
      <c r="DK62" s="55">
        <f>DK60+DK61</f>
        <v>86161.63999999996</v>
      </c>
      <c r="DL62" s="55">
        <f>DL60+DL61</f>
        <v>164224.42999999993</v>
      </c>
      <c r="DM62" s="55">
        <f>DM60+DM61</f>
        <v>192080.12999999995</v>
      </c>
      <c r="DN62" s="55">
        <f>DN60+DN61</f>
        <v>122265.50999999995</v>
      </c>
      <c r="DO62" s="55">
        <f>DO60+DO61</f>
        <v>153335.48999999996</v>
      </c>
      <c r="DP62" s="55">
        <f>DP60+DP61</f>
        <v>156040.86999999997</v>
      </c>
      <c r="DQ62" s="55">
        <f>DQ60+DQ61</f>
        <v>145665.46999999997</v>
      </c>
      <c r="DR62" s="55">
        <f>DR60+DR61</f>
        <v>118690.42999999996</v>
      </c>
      <c r="DS62" s="55">
        <f>DS60+DS61</f>
        <v>130752.82999999996</v>
      </c>
      <c r="DT62" s="55">
        <f>DT60+DT61</f>
        <v>119572.32999999996</v>
      </c>
      <c r="DU62" s="55">
        <f>DU60+DU61</f>
        <v>135563.71999999997</v>
      </c>
      <c r="DV62" s="55">
        <f>DV60+DV61</f>
        <v>155259.67999999996</v>
      </c>
      <c r="DW62" s="55">
        <f>DW60+DW61</f>
        <v>188537.19999999995</v>
      </c>
      <c r="DX62" s="55">
        <f>DX60+DX61</f>
        <v>198811.61999999997</v>
      </c>
      <c r="DY62" s="55">
        <f>DY60+DY61</f>
        <v>205036.90999999997</v>
      </c>
      <c r="DZ62" s="55">
        <f>DZ60+DZ61</f>
        <v>234794.49999999997</v>
      </c>
      <c r="EA62" s="55">
        <f>EA60+EA61</f>
        <v>302988.55999999994</v>
      </c>
      <c r="EB62" s="55">
        <f>EB60+EB61</f>
        <v>254626.06999999995</v>
      </c>
      <c r="EC62" s="55">
        <f>EC60+EC61</f>
        <v>243570.72999999995</v>
      </c>
      <c r="ED62" s="55">
        <f>ED60+ED61</f>
        <v>190903.08999999997</v>
      </c>
      <c r="EE62" s="55">
        <f>EE60+EE61</f>
        <v>194490.15999999997</v>
      </c>
      <c r="EF62" s="55">
        <f>EF60+EF61</f>
        <v>182756.00999999998</v>
      </c>
      <c r="EG62" s="55">
        <f>EG60+EG61</f>
        <v>180295.87999999998</v>
      </c>
      <c r="EH62" s="55">
        <f>EH60+EH61</f>
        <v>181730.58999999997</v>
      </c>
      <c r="EI62" s="55">
        <f>EI60+EI61</f>
        <v>199112.09999999998</v>
      </c>
      <c r="EJ62" s="55">
        <f>EJ60+EJ61</f>
        <v>165187.15999999997</v>
      </c>
      <c r="EK62" s="55">
        <f>EK60+EK61</f>
        <v>170095.23999999996</v>
      </c>
      <c r="EL62" s="55">
        <f>EL60+EL61</f>
        <v>172703.09999999995</v>
      </c>
      <c r="EM62" s="55">
        <f>EM60+EM61</f>
        <v>173290.54999999996</v>
      </c>
      <c r="EN62" s="55">
        <f>EN60+EN61</f>
        <v>175397.67999999996</v>
      </c>
      <c r="EO62" s="55">
        <f>EO60+EO61</f>
        <v>170239.80999999997</v>
      </c>
      <c r="EP62" s="55">
        <f>EP60+EP61</f>
        <v>167571.79999999996</v>
      </c>
      <c r="EQ62" s="55">
        <f>EQ60+EQ61</f>
        <v>167571.79999999996</v>
      </c>
      <c r="ER62" s="55">
        <f>ER60+ER61</f>
        <v>167571.79999999996</v>
      </c>
    </row>
    <row r="63" spans="1:148" ht="16">
      <c r="A63" s="42" t="s">
        <v>60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</row>
    <row r="64" spans="1:148" ht="16">
      <c r="A64" s="44" t="s">
        <v>61</v>
      </c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4">
        <v>2811.0</v>
      </c>
      <c r="AZ64" s="54">
        <v>4241.0</v>
      </c>
      <c r="BA64" s="54">
        <v>4241.0</v>
      </c>
      <c r="BB64" s="54">
        <v>4241.0</v>
      </c>
      <c r="BC64" s="54">
        <v>4241.0</v>
      </c>
      <c r="BD64" s="54">
        <v>4241.0</v>
      </c>
      <c r="BE64" s="54">
        <v>4241.0</v>
      </c>
      <c r="BF64" s="54">
        <v>4241.0</v>
      </c>
      <c r="BG64" s="54">
        <v>4241.0</v>
      </c>
      <c r="BH64" s="54">
        <v>4241.0</v>
      </c>
      <c r="BI64" s="54">
        <v>4241.0</v>
      </c>
      <c r="BJ64" s="54">
        <v>4241.0</v>
      </c>
      <c r="BK64" s="54">
        <v>4241.0</v>
      </c>
      <c r="BL64" s="54">
        <v>4241.0</v>
      </c>
      <c r="BM64" s="54">
        <v>4241.0</v>
      </c>
      <c r="BN64" s="54">
        <v>4241.0</v>
      </c>
      <c r="BO64" s="54">
        <v>0</v>
      </c>
      <c r="BP64" s="54">
        <v>0</v>
      </c>
      <c r="BQ64" s="54">
        <v>0</v>
      </c>
      <c r="BR64" s="54">
        <v>0</v>
      </c>
      <c r="BS64" s="54">
        <v>0</v>
      </c>
      <c r="BT64" s="54">
        <v>0</v>
      </c>
      <c r="BU64" s="54">
        <v>0</v>
      </c>
      <c r="BV64" s="54">
        <v>0</v>
      </c>
      <c r="BW64" s="54">
        <v>0</v>
      </c>
      <c r="BX64" s="54">
        <v>0</v>
      </c>
      <c r="BY64" s="54">
        <v>0</v>
      </c>
      <c r="BZ64" s="54">
        <v>0</v>
      </c>
      <c r="CA64" s="54">
        <v>0</v>
      </c>
      <c r="CB64" s="54">
        <v>0</v>
      </c>
      <c r="CC64" s="54">
        <v>0</v>
      </c>
      <c r="CD64" s="54">
        <v>0</v>
      </c>
      <c r="CE64" s="54">
        <v>0</v>
      </c>
      <c r="CF64" s="54">
        <v>0</v>
      </c>
      <c r="CG64" s="54">
        <v>0</v>
      </c>
      <c r="CH64" s="54">
        <v>0</v>
      </c>
      <c r="CI64" s="54">
        <v>0</v>
      </c>
      <c r="CJ64" s="54">
        <v>0</v>
      </c>
      <c r="CK64" s="54">
        <v>0</v>
      </c>
      <c r="CL64" s="54">
        <v>0</v>
      </c>
      <c r="CM64" s="54">
        <v>0</v>
      </c>
      <c r="CN64" s="54">
        <v>0</v>
      </c>
      <c r="CO64" s="54">
        <v>0</v>
      </c>
      <c r="CP64" s="54">
        <v>0</v>
      </c>
      <c r="CQ64" s="54">
        <v>0</v>
      </c>
      <c r="CR64" s="54">
        <v>0</v>
      </c>
      <c r="CS64" s="54">
        <v>0</v>
      </c>
      <c r="CT64" s="54">
        <v>0</v>
      </c>
      <c r="CU64" s="54">
        <v>0</v>
      </c>
      <c r="CV64" s="54">
        <v>0</v>
      </c>
      <c r="CW64" s="54">
        <v>0</v>
      </c>
      <c r="CX64" s="54">
        <v>0</v>
      </c>
      <c r="CY64" s="54">
        <v>0</v>
      </c>
      <c r="CZ64" s="54">
        <v>0</v>
      </c>
      <c r="DA64" s="54">
        <v>0</v>
      </c>
      <c r="DB64" s="54">
        <v>0</v>
      </c>
      <c r="DC64" s="54">
        <v>0</v>
      </c>
      <c r="DD64" s="54">
        <v>0</v>
      </c>
      <c r="DE64" s="54">
        <v>0</v>
      </c>
      <c r="DF64" s="54">
        <v>0</v>
      </c>
      <c r="DG64" s="54">
        <v>0</v>
      </c>
      <c r="DH64" s="54">
        <v>0</v>
      </c>
      <c r="DI64" s="54">
        <v>0</v>
      </c>
      <c r="DJ64" s="54">
        <v>0</v>
      </c>
      <c r="DK64" s="54">
        <v>0</v>
      </c>
      <c r="DL64" s="54">
        <v>0</v>
      </c>
      <c r="DM64" s="54">
        <v>0</v>
      </c>
      <c r="DN64" s="54">
        <v>0</v>
      </c>
      <c r="DO64" s="54">
        <v>0</v>
      </c>
      <c r="DP64" s="54">
        <v>0</v>
      </c>
      <c r="DQ64" s="54">
        <v>0</v>
      </c>
      <c r="DR64" s="54">
        <v>0</v>
      </c>
      <c r="DS64" s="54">
        <v>0</v>
      </c>
      <c r="DT64" s="54">
        <v>0</v>
      </c>
      <c r="DU64" s="54">
        <v>0</v>
      </c>
      <c r="DV64" s="54">
        <v>0</v>
      </c>
      <c r="DW64" s="54">
        <v>0</v>
      </c>
      <c r="DX64" s="54">
        <v>0</v>
      </c>
      <c r="DY64" s="54">
        <v>0</v>
      </c>
      <c r="DZ64" s="54">
        <v>0</v>
      </c>
      <c r="EA64" s="54">
        <v>0</v>
      </c>
      <c r="EB64" s="54">
        <v>0</v>
      </c>
      <c r="EC64" s="54">
        <v>0</v>
      </c>
      <c r="ED64" s="54">
        <v>0</v>
      </c>
      <c r="EE64" s="54">
        <v>0</v>
      </c>
      <c r="EF64" s="54">
        <v>0</v>
      </c>
      <c r="EG64" s="54">
        <v>0</v>
      </c>
      <c r="EH64" s="54">
        <v>0</v>
      </c>
      <c r="EI64" s="54">
        <v>0</v>
      </c>
      <c r="EJ64" s="54">
        <v>0</v>
      </c>
      <c r="EK64" s="54">
        <v>0</v>
      </c>
      <c r="EL64" s="54">
        <v>0</v>
      </c>
      <c r="EM64" s="54">
        <v>0</v>
      </c>
      <c r="EN64" s="54">
        <v>0</v>
      </c>
      <c r="EO64" s="54">
        <v>0</v>
      </c>
      <c r="EP64" s="54">
        <v>0</v>
      </c>
      <c r="EQ64" s="54">
        <v>0</v>
      </c>
      <c r="ER64" s="54">
        <v>0</v>
      </c>
    </row>
    <row r="65" spans="1:148" ht="16">
      <c r="A65" s="45" t="s">
        <v>62</v>
      </c>
      <c r="B65" s="54">
        <v>5545.92</v>
      </c>
      <c r="C65" s="54">
        <v>4681.84</v>
      </c>
      <c r="D65" s="54">
        <v>1799.06</v>
      </c>
      <c r="E65" s="54">
        <v>1649.42</v>
      </c>
      <c r="F65" s="54">
        <v>1276.71</v>
      </c>
      <c r="G65" s="54">
        <v>36.569999999999936</v>
      </c>
      <c r="H65" s="54">
        <v>2036.57</v>
      </c>
      <c r="I65" s="54">
        <v>0</v>
      </c>
      <c r="J65" s="54">
        <v>1442.8</v>
      </c>
      <c r="K65" s="54">
        <v>1501.87</v>
      </c>
      <c r="L65" s="54">
        <v>1428.1799999999998</v>
      </c>
      <c r="M65" s="54">
        <v>1193.5699999999997</v>
      </c>
      <c r="N65" s="54">
        <v>1535.2799999999997</v>
      </c>
      <c r="O65" s="54">
        <v>1581.1799999999998</v>
      </c>
      <c r="P65" s="54">
        <v>1525.4599999999998</v>
      </c>
      <c r="Q65" s="54">
        <v>-2.2737367544323206E-13</v>
      </c>
      <c r="R65" s="54">
        <v>-2.2737367544323206E-13</v>
      </c>
      <c r="S65" s="54">
        <v>-2.2737367544323206E-13</v>
      </c>
      <c r="T65" s="54">
        <v>-2.2737367544323206E-13</v>
      </c>
      <c r="U65" s="54">
        <v>-2.2737367544323206E-13</v>
      </c>
      <c r="V65" s="54">
        <v>-2.2737367544323206E-13</v>
      </c>
      <c r="W65" s="54">
        <v>-2.2737367544323206E-13</v>
      </c>
      <c r="X65" s="54">
        <v>-2.2737367544323206E-13</v>
      </c>
      <c r="Y65" s="54">
        <v>-2.2737367544323206E-13</v>
      </c>
      <c r="Z65" s="54">
        <v>-2.2737367544323206E-13</v>
      </c>
      <c r="AA65" s="54">
        <v>-2.2737367544323206E-13</v>
      </c>
      <c r="AB65" s="54">
        <v>-2.2737367544323206E-13</v>
      </c>
      <c r="AC65" s="54">
        <v>-2.2737367544323206E-13</v>
      </c>
      <c r="AD65" s="54">
        <v>-2.2737367544323206E-13</v>
      </c>
      <c r="AE65" s="54">
        <v>-2.2737367544323206E-13</v>
      </c>
      <c r="AF65" s="54">
        <v>-2.2737367544323206E-13</v>
      </c>
      <c r="AG65" s="54">
        <v>-2.2737367544323206E-13</v>
      </c>
      <c r="AH65" s="54">
        <v>-2.2737367544323206E-13</v>
      </c>
      <c r="AI65" s="54">
        <v>-2.2737367544323206E-13</v>
      </c>
      <c r="AJ65" s="54">
        <v>-2.2737367544323206E-13</v>
      </c>
      <c r="AK65" s="54">
        <v>-2.2737367544323206E-13</v>
      </c>
      <c r="AL65" s="54">
        <v>-2.2737367544323206E-13</v>
      </c>
      <c r="AM65" s="54">
        <v>-2.2737367544323206E-13</v>
      </c>
      <c r="AN65" s="54">
        <v>-2.2737367544323206E-13</v>
      </c>
      <c r="AO65" s="54">
        <v>-2.2737367544323206E-13</v>
      </c>
      <c r="AP65" s="54">
        <v>-2.2737367544323206E-13</v>
      </c>
      <c r="AQ65" s="54">
        <v>-2.2737367544323206E-13</v>
      </c>
      <c r="AR65" s="54">
        <v>-2.2737367544323206E-13</v>
      </c>
      <c r="AS65" s="54">
        <v>-2.2737367544323206E-13</v>
      </c>
      <c r="AT65" s="54">
        <v>-2.2737367544323206E-13</v>
      </c>
      <c r="AU65" s="54">
        <v>-2.2737367544323206E-13</v>
      </c>
      <c r="AV65" s="54">
        <v>-2.2737367544323206E-13</v>
      </c>
      <c r="AW65" s="54">
        <v>-2.2737367544323206E-13</v>
      </c>
      <c r="AX65" s="54">
        <v>-2.2737367544323206E-13</v>
      </c>
      <c r="AY65" s="54">
        <v>-2.2737367544323206E-13</v>
      </c>
      <c r="AZ65" s="54">
        <v>-2.2737367544323206E-13</v>
      </c>
      <c r="BA65" s="54">
        <v>-2.2737367544323206E-13</v>
      </c>
      <c r="BB65" s="54">
        <v>-2.2737367544323206E-13</v>
      </c>
      <c r="BC65" s="54">
        <v>-2.2737367544323206E-13</v>
      </c>
      <c r="BD65" s="54">
        <v>-2.2737367544323206E-13</v>
      </c>
      <c r="BE65" s="54">
        <v>-2.2737367544323206E-13</v>
      </c>
      <c r="BF65" s="54">
        <v>-2.2737367544323206E-13</v>
      </c>
      <c r="BG65" s="54">
        <v>-2.2737367544323206E-13</v>
      </c>
      <c r="BH65" s="54">
        <v>-2.2737367544323206E-13</v>
      </c>
      <c r="BI65" s="54">
        <v>-2.2737367544323206E-13</v>
      </c>
      <c r="BJ65" s="54">
        <v>-2.2737367544323206E-13</v>
      </c>
      <c r="BK65" s="54">
        <v>-2.2737367544323206E-13</v>
      </c>
      <c r="BL65" s="54">
        <v>-2.2737367544323206E-13</v>
      </c>
      <c r="BM65" s="54">
        <v>-2.2737367544323206E-13</v>
      </c>
      <c r="BN65" s="54">
        <v>-2.2737367544323206E-13</v>
      </c>
      <c r="BO65" s="54">
        <v>-2.2737367544323206E-13</v>
      </c>
      <c r="BP65" s="54">
        <v>-2.2737367544323206E-13</v>
      </c>
      <c r="BQ65" s="54">
        <v>-2.2737367544323206E-13</v>
      </c>
      <c r="BR65" s="54">
        <v>-2.2737367544323206E-13</v>
      </c>
      <c r="BS65" s="54">
        <v>-2.2737367544323206E-13</v>
      </c>
      <c r="BT65" s="54">
        <v>-2.2737367544323206E-13</v>
      </c>
      <c r="BU65" s="54">
        <v>-2.2737367544323206E-13</v>
      </c>
      <c r="BV65" s="54">
        <v>-2.2737367544323206E-13</v>
      </c>
      <c r="BW65" s="54">
        <v>-2.2737367544323206E-13</v>
      </c>
      <c r="BX65" s="54">
        <v>-2.2737367544323206E-13</v>
      </c>
      <c r="BY65" s="54">
        <v>-2.2737367544323206E-13</v>
      </c>
      <c r="BZ65" s="54">
        <v>-2.2737367544323206E-13</v>
      </c>
      <c r="CA65" s="54">
        <v>-2.2737367544323206E-13</v>
      </c>
      <c r="CB65" s="54">
        <v>-2.2737367544323206E-13</v>
      </c>
      <c r="CC65" s="54">
        <v>-2.2737367544323206E-13</v>
      </c>
      <c r="CD65" s="54">
        <v>-2.2737367544323206E-13</v>
      </c>
      <c r="CE65" s="54">
        <v>-2.2737367544323206E-13</v>
      </c>
      <c r="CF65" s="54">
        <v>-2.2737367544323206E-13</v>
      </c>
      <c r="CG65" s="54">
        <v>-2.2737367544323206E-13</v>
      </c>
      <c r="CH65" s="54">
        <v>-2.2737367544323206E-13</v>
      </c>
      <c r="CI65" s="54">
        <v>-2.2737367544323206E-13</v>
      </c>
      <c r="CJ65" s="54">
        <v>-2.2737367544323206E-13</v>
      </c>
      <c r="CK65" s="54">
        <v>-2.2737367544323206E-13</v>
      </c>
      <c r="CL65" s="54">
        <v>-2.2737367544323206E-13</v>
      </c>
      <c r="CM65" s="54">
        <v>-2.2737367544323206E-13</v>
      </c>
      <c r="CN65" s="54">
        <v>-2.2737367544323206E-13</v>
      </c>
      <c r="CO65" s="54">
        <v>-2.2737367544323206E-13</v>
      </c>
      <c r="CP65" s="54">
        <v>-2.2737367544323206E-13</v>
      </c>
      <c r="CQ65" s="54">
        <v>-2.2737367544323206E-13</v>
      </c>
      <c r="CR65" s="54">
        <v>-2.2737367544323206E-13</v>
      </c>
      <c r="CS65" s="54">
        <v>-2.2737367544323206E-13</v>
      </c>
      <c r="CT65" s="54">
        <v>-2.2737367544323206E-13</v>
      </c>
      <c r="CU65" s="54">
        <v>-2.2737367544323206E-13</v>
      </c>
      <c r="CV65" s="54">
        <v>-2.2737367544323206E-13</v>
      </c>
      <c r="CW65" s="54">
        <v>-2.2737367544323206E-13</v>
      </c>
      <c r="CX65" s="54">
        <v>-2.2737367544323206E-13</v>
      </c>
      <c r="CY65" s="54">
        <v>-2.2737367544323206E-13</v>
      </c>
      <c r="CZ65" s="54">
        <v>-2.2737367544323206E-13</v>
      </c>
      <c r="DA65" s="54">
        <v>-2.2737367544323206E-13</v>
      </c>
      <c r="DB65" s="54">
        <v>-2.2737367544323206E-13</v>
      </c>
      <c r="DC65" s="54">
        <v>-2.2737367544323206E-13</v>
      </c>
      <c r="DD65" s="54">
        <v>-2.2737367544323206E-13</v>
      </c>
      <c r="DE65" s="54">
        <v>-2.2737367544323206E-13</v>
      </c>
      <c r="DF65" s="54">
        <v>-2.2737367544323206E-13</v>
      </c>
      <c r="DG65" s="54">
        <v>-2.2737367544323206E-13</v>
      </c>
      <c r="DH65" s="54">
        <v>-2.2737367544323206E-13</v>
      </c>
      <c r="DI65" s="54">
        <v>-2.2737367544323206E-13</v>
      </c>
      <c r="DJ65" s="54">
        <v>-2.2737367544323206E-13</v>
      </c>
      <c r="DK65" s="54">
        <v>-2.2737367544323206E-13</v>
      </c>
      <c r="DL65" s="54">
        <v>-2.2737367544323206E-13</v>
      </c>
      <c r="DM65" s="54">
        <v>-2.2737367544323206E-13</v>
      </c>
      <c r="DN65" s="54">
        <v>-2.2737367544323206E-13</v>
      </c>
      <c r="DO65" s="54">
        <v>-2.2737367544323206E-13</v>
      </c>
      <c r="DP65" s="54">
        <v>-2.2737367544323206E-13</v>
      </c>
      <c r="DQ65" s="54">
        <v>-2.2737367544323206E-13</v>
      </c>
      <c r="DR65" s="54">
        <v>-2.2737367544323206E-13</v>
      </c>
      <c r="DS65" s="54">
        <v>-2.2737367544323206E-13</v>
      </c>
      <c r="DT65" s="54">
        <v>-2.2737367544323206E-13</v>
      </c>
      <c r="DU65" s="54">
        <v>-2.2737367544323206E-13</v>
      </c>
      <c r="DV65" s="54">
        <v>-2.2737367544323206E-13</v>
      </c>
      <c r="DW65" s="54">
        <v>-2.2737367544323206E-13</v>
      </c>
      <c r="DX65" s="54">
        <v>-2.2737367544323206E-13</v>
      </c>
      <c r="DY65" s="54">
        <v>-2.2737367544323206E-13</v>
      </c>
      <c r="DZ65" s="54">
        <v>-2.2737367544323206E-13</v>
      </c>
      <c r="EA65" s="54">
        <v>-2.2737367544323206E-13</v>
      </c>
      <c r="EB65" s="54">
        <v>-2.2737367544323206E-13</v>
      </c>
      <c r="EC65" s="54">
        <v>-2.2737367544323206E-13</v>
      </c>
      <c r="ED65" s="54">
        <v>-2.2737367544323206E-13</v>
      </c>
      <c r="EE65" s="54">
        <v>-2.2737367544323206E-13</v>
      </c>
      <c r="EF65" s="54">
        <v>-2.2737367544323206E-13</v>
      </c>
      <c r="EG65" s="54">
        <v>-2.2737367544323206E-13</v>
      </c>
      <c r="EH65" s="54">
        <v>-2.2737367544323206E-13</v>
      </c>
      <c r="EI65" s="54">
        <v>-2.2737367544323206E-13</v>
      </c>
      <c r="EJ65" s="54">
        <v>-2.2737367544323206E-13</v>
      </c>
      <c r="EK65" s="54">
        <v>-2.2737367544323206E-13</v>
      </c>
      <c r="EL65" s="54">
        <v>-2.2737367544323206E-13</v>
      </c>
      <c r="EM65" s="54">
        <v>-2.2737367544323206E-13</v>
      </c>
      <c r="EN65" s="54">
        <v>-2.2737367544323206E-13</v>
      </c>
      <c r="EO65" s="54">
        <v>-2.2737367544323206E-13</v>
      </c>
      <c r="EP65" s="54">
        <v>-2.2737367544323206E-13</v>
      </c>
      <c r="EQ65" s="54">
        <v>-2.2737367544323206E-13</v>
      </c>
      <c r="ER65" s="54">
        <v>-2.2737367544323206E-13</v>
      </c>
    </row>
    <row r="66" spans="1:148" ht="16">
      <c r="A66" s="45" t="s">
        <v>63</v>
      </c>
      <c r="B66" s="54">
        <v>2927.75</v>
      </c>
      <c r="C66" s="54">
        <v>2926.53</v>
      </c>
      <c r="D66" s="54">
        <v>2996.7000000000003</v>
      </c>
      <c r="E66" s="54">
        <v>2962.1400000000003</v>
      </c>
      <c r="F66" s="54">
        <v>2954.9800000000005</v>
      </c>
      <c r="G66" s="54">
        <v>2853.9700000000003</v>
      </c>
      <c r="H66" s="54">
        <v>2923.2000000000003</v>
      </c>
      <c r="I66" s="54">
        <v>3028.7300000000005</v>
      </c>
      <c r="J66" s="54">
        <v>2860.0700000000006</v>
      </c>
      <c r="K66" s="54">
        <v>2466.3100000000004</v>
      </c>
      <c r="L66" s="54">
        <v>2522.1000000000004</v>
      </c>
      <c r="M66" s="54">
        <v>2218.2500000000005</v>
      </c>
      <c r="N66" s="54">
        <v>2975.7500000000005</v>
      </c>
      <c r="O66" s="54">
        <v>3076.6300000000006</v>
      </c>
      <c r="P66" s="54">
        <v>2820.3800000000006</v>
      </c>
      <c r="Q66" s="54">
        <v>2890.5400000000004</v>
      </c>
      <c r="R66" s="54">
        <v>2996.3100000000004</v>
      </c>
      <c r="S66" s="54">
        <v>2729.9200000000005</v>
      </c>
      <c r="T66" s="54">
        <v>2566.2000000000007</v>
      </c>
      <c r="U66" s="54">
        <v>2396.3400000000006</v>
      </c>
      <c r="V66" s="54">
        <v>2220.5000000000005</v>
      </c>
      <c r="W66" s="54">
        <v>2042.2100000000005</v>
      </c>
      <c r="X66" s="54">
        <v>1858.5300000000004</v>
      </c>
      <c r="Y66" s="54">
        <v>1671.7700000000004</v>
      </c>
      <c r="Z66" s="54">
        <v>4.547473508864641E-13</v>
      </c>
      <c r="AA66" s="54">
        <v>4.547473508864641E-13</v>
      </c>
      <c r="AB66" s="54">
        <v>4.547473508864641E-13</v>
      </c>
      <c r="AC66" s="54">
        <v>4.547473508864641E-13</v>
      </c>
      <c r="AD66" s="54">
        <v>4.547473508864641E-13</v>
      </c>
      <c r="AE66" s="54">
        <v>4.547473508864641E-13</v>
      </c>
      <c r="AF66" s="54">
        <v>4.547473508864641E-13</v>
      </c>
      <c r="AG66" s="54">
        <v>4.547473508864641E-13</v>
      </c>
      <c r="AH66" s="54">
        <v>4.547473508864641E-13</v>
      </c>
      <c r="AI66" s="54">
        <v>4.547473508864641E-13</v>
      </c>
      <c r="AJ66" s="54">
        <v>4.547473508864641E-13</v>
      </c>
      <c r="AK66" s="54">
        <v>4.547473508864641E-13</v>
      </c>
      <c r="AL66" s="54">
        <v>4.547473508864641E-13</v>
      </c>
      <c r="AM66" s="54">
        <v>4.547473508864641E-13</v>
      </c>
      <c r="AN66" s="54">
        <v>4.547473508864641E-13</v>
      </c>
      <c r="AO66" s="54">
        <v>4.547473508864641E-13</v>
      </c>
      <c r="AP66" s="54">
        <v>4.547473508864641E-13</v>
      </c>
      <c r="AQ66" s="54">
        <v>4.547473508864641E-13</v>
      </c>
      <c r="AR66" s="54">
        <v>4.547473508864641E-13</v>
      </c>
      <c r="AS66" s="54">
        <v>4.547473508864641E-13</v>
      </c>
      <c r="AT66" s="54">
        <v>4.547473508864641E-13</v>
      </c>
      <c r="AU66" s="54">
        <v>4.547473508864641E-13</v>
      </c>
      <c r="AV66" s="54">
        <v>4.547473508864641E-13</v>
      </c>
      <c r="AW66" s="54">
        <v>4.547473508864641E-13</v>
      </c>
      <c r="AX66" s="54">
        <v>4.547473508864641E-13</v>
      </c>
      <c r="AY66" s="54">
        <v>4.547473508864641E-13</v>
      </c>
      <c r="AZ66" s="54">
        <v>4.547473508864641E-13</v>
      </c>
      <c r="BA66" s="54">
        <v>4.547473508864641E-13</v>
      </c>
      <c r="BB66" s="54">
        <v>4.547473508864641E-13</v>
      </c>
      <c r="BC66" s="54">
        <v>4.547473508864641E-13</v>
      </c>
      <c r="BD66" s="54">
        <v>4.547473508864641E-13</v>
      </c>
      <c r="BE66" s="54">
        <v>4.547473508864641E-13</v>
      </c>
      <c r="BF66" s="54">
        <v>4.547473508864641E-13</v>
      </c>
      <c r="BG66" s="54">
        <v>4.547473508864641E-13</v>
      </c>
      <c r="BH66" s="54">
        <v>4.547473508864641E-13</v>
      </c>
      <c r="BI66" s="54">
        <v>4.547473508864641E-13</v>
      </c>
      <c r="BJ66" s="54">
        <v>4.547473508864641E-13</v>
      </c>
      <c r="BK66" s="54">
        <v>4.547473508864641E-13</v>
      </c>
      <c r="BL66" s="54">
        <v>4.547473508864641E-13</v>
      </c>
      <c r="BM66" s="54">
        <v>4.547473508864641E-13</v>
      </c>
      <c r="BN66" s="54">
        <v>4.547473508864641E-13</v>
      </c>
      <c r="BO66" s="54">
        <v>4.547473508864641E-13</v>
      </c>
      <c r="BP66" s="54">
        <v>4.547473508864641E-13</v>
      </c>
      <c r="BQ66" s="54">
        <v>4.547473508864641E-13</v>
      </c>
      <c r="BR66" s="54">
        <v>4.547473508864641E-13</v>
      </c>
      <c r="BS66" s="54">
        <v>4.547473508864641E-13</v>
      </c>
      <c r="BT66" s="54">
        <v>4.547473508864641E-13</v>
      </c>
      <c r="BU66" s="54">
        <v>4.547473508864641E-13</v>
      </c>
      <c r="BV66" s="54">
        <v>4.547473508864641E-13</v>
      </c>
      <c r="BW66" s="54">
        <v>4.547473508864641E-13</v>
      </c>
      <c r="BX66" s="54">
        <v>4.547473508864641E-13</v>
      </c>
      <c r="BY66" s="54">
        <v>4.547473508864641E-13</v>
      </c>
      <c r="BZ66" s="54">
        <v>4.547473508864641E-13</v>
      </c>
      <c r="CA66" s="54">
        <v>4.547473508864641E-13</v>
      </c>
      <c r="CB66" s="54">
        <v>4.547473508864641E-13</v>
      </c>
      <c r="CC66" s="54">
        <v>4.547473508864641E-13</v>
      </c>
      <c r="CD66" s="54">
        <v>4.547473508864641E-13</v>
      </c>
      <c r="CE66" s="54">
        <v>4.547473508864641E-13</v>
      </c>
      <c r="CF66" s="54">
        <v>4.547473508864641E-13</v>
      </c>
      <c r="CG66" s="54">
        <v>4.547473508864641E-13</v>
      </c>
      <c r="CH66" s="54">
        <v>4.547473508864641E-13</v>
      </c>
      <c r="CI66" s="54">
        <v>4.547473508864641E-13</v>
      </c>
      <c r="CJ66" s="54">
        <v>4.547473508864641E-13</v>
      </c>
      <c r="CK66" s="54">
        <v>4.547473508864641E-13</v>
      </c>
      <c r="CL66" s="54">
        <v>4.547473508864641E-13</v>
      </c>
      <c r="CM66" s="54">
        <v>4.547473508864641E-13</v>
      </c>
      <c r="CN66" s="54">
        <v>4.547473508864641E-13</v>
      </c>
      <c r="CO66" s="54">
        <v>4.547473508864641E-13</v>
      </c>
      <c r="CP66" s="54">
        <v>4.547473508864641E-13</v>
      </c>
      <c r="CQ66" s="54">
        <v>4.547473508864641E-13</v>
      </c>
      <c r="CR66" s="54">
        <v>4.547473508864641E-13</v>
      </c>
      <c r="CS66" s="54">
        <v>4.547473508864641E-13</v>
      </c>
      <c r="CT66" s="54">
        <v>4.547473508864641E-13</v>
      </c>
      <c r="CU66" s="54">
        <v>4.547473508864641E-13</v>
      </c>
      <c r="CV66" s="54">
        <v>4.547473508864641E-13</v>
      </c>
      <c r="CW66" s="54">
        <v>4.547473508864641E-13</v>
      </c>
      <c r="CX66" s="54">
        <v>4.547473508864641E-13</v>
      </c>
      <c r="CY66" s="54">
        <v>4.547473508864641E-13</v>
      </c>
      <c r="CZ66" s="54">
        <v>4.547473508864641E-13</v>
      </c>
      <c r="DA66" s="54">
        <v>4.547473508864641E-13</v>
      </c>
      <c r="DB66" s="54">
        <v>4.547473508864641E-13</v>
      </c>
      <c r="DC66" s="54">
        <v>4.547473508864641E-13</v>
      </c>
      <c r="DD66" s="54">
        <v>4.547473508864641E-13</v>
      </c>
      <c r="DE66" s="54">
        <v>4.547473508864641E-13</v>
      </c>
      <c r="DF66" s="54">
        <v>4.547473508864641E-13</v>
      </c>
      <c r="DG66" s="54">
        <v>4.547473508864641E-13</v>
      </c>
      <c r="DH66" s="54">
        <v>4.547473508864641E-13</v>
      </c>
      <c r="DI66" s="54">
        <v>4.547473508864641E-13</v>
      </c>
      <c r="DJ66" s="54">
        <v>4.547473508864641E-13</v>
      </c>
      <c r="DK66" s="54">
        <v>4.547473508864641E-13</v>
      </c>
      <c r="DL66" s="54">
        <v>4.547473508864641E-13</v>
      </c>
      <c r="DM66" s="54">
        <v>4.547473508864641E-13</v>
      </c>
      <c r="DN66" s="54">
        <v>4.547473508864641E-13</v>
      </c>
      <c r="DO66" s="54">
        <v>4.547473508864641E-13</v>
      </c>
      <c r="DP66" s="54">
        <v>4.547473508864641E-13</v>
      </c>
      <c r="DQ66" s="54">
        <v>4.547473508864641E-13</v>
      </c>
      <c r="DR66" s="54">
        <v>4.547473508864641E-13</v>
      </c>
      <c r="DS66" s="54">
        <v>4.547473508864641E-13</v>
      </c>
      <c r="DT66" s="54">
        <v>4.547473508864641E-13</v>
      </c>
      <c r="DU66" s="54">
        <v>4.547473508864641E-13</v>
      </c>
      <c r="DV66" s="54">
        <v>4.547473508864641E-13</v>
      </c>
      <c r="DW66" s="54">
        <v>4.547473508864641E-13</v>
      </c>
      <c r="DX66" s="54">
        <v>4.547473508864641E-13</v>
      </c>
      <c r="DY66" s="54">
        <v>4.547473508864641E-13</v>
      </c>
      <c r="DZ66" s="54">
        <v>4.547473508864641E-13</v>
      </c>
      <c r="EA66" s="54">
        <v>4.547473508864641E-13</v>
      </c>
      <c r="EB66" s="54">
        <v>4.547473508864641E-13</v>
      </c>
      <c r="EC66" s="54">
        <v>4.547473508864641E-13</v>
      </c>
      <c r="ED66" s="54">
        <v>4.547473508864641E-13</v>
      </c>
      <c r="EE66" s="54">
        <v>4.547473508864641E-13</v>
      </c>
      <c r="EF66" s="54">
        <v>4.547473508864641E-13</v>
      </c>
      <c r="EG66" s="54">
        <v>4.547473508864641E-13</v>
      </c>
      <c r="EH66" s="54">
        <v>4.547473508864641E-13</v>
      </c>
      <c r="EI66" s="54">
        <v>4.547473508864641E-13</v>
      </c>
      <c r="EJ66" s="54">
        <v>4.547473508864641E-13</v>
      </c>
      <c r="EK66" s="54">
        <v>4.547473508864641E-13</v>
      </c>
      <c r="EL66" s="54">
        <v>4.547473508864641E-13</v>
      </c>
      <c r="EM66" s="54">
        <v>4.547473508864641E-13</v>
      </c>
      <c r="EN66" s="54">
        <v>4.547473508864641E-13</v>
      </c>
      <c r="EO66" s="54">
        <v>4.547473508864641E-13</v>
      </c>
      <c r="EP66" s="54">
        <v>4.547473508864641E-13</v>
      </c>
      <c r="EQ66" s="54">
        <v>4.547473508864641E-13</v>
      </c>
      <c r="ER66" s="54">
        <v>4.547473508864641E-13</v>
      </c>
    </row>
    <row r="67" spans="1:148" ht="16">
      <c r="A67" s="45" t="s">
        <v>64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4">
        <v>5594.43</v>
      </c>
      <c r="AK67" s="54">
        <v>3777.25</v>
      </c>
      <c r="AL67" s="54">
        <v>4000.14</v>
      </c>
      <c r="AM67" s="54">
        <v>7772.24</v>
      </c>
      <c r="AN67" s="54">
        <v>8050.5199999999995</v>
      </c>
      <c r="AO67" s="54">
        <v>7258.099999999999</v>
      </c>
      <c r="AP67" s="54">
        <v>7415.5599999999995</v>
      </c>
      <c r="AQ67" s="54">
        <v>5304.24</v>
      </c>
      <c r="AR67" s="54">
        <v>5629.3099999999995</v>
      </c>
      <c r="AS67" s="54">
        <v>5713.089999999999</v>
      </c>
      <c r="AT67" s="54">
        <v>2025.7999999999993</v>
      </c>
      <c r="AU67" s="54">
        <v>6731.039999999999</v>
      </c>
      <c r="AV67" s="54">
        <v>5704.169999999999</v>
      </c>
      <c r="AW67" s="54">
        <v>4266.289999999999</v>
      </c>
      <c r="AX67" s="54">
        <v>9716.22</v>
      </c>
      <c r="AY67" s="54">
        <v>6906.029999999999</v>
      </c>
      <c r="AZ67" s="54">
        <v>10700.699999999999</v>
      </c>
      <c r="BA67" s="54">
        <v>7308.259999999998</v>
      </c>
      <c r="BB67" s="54">
        <v>9074.8</v>
      </c>
      <c r="BC67" s="54">
        <v>5283.169999999999</v>
      </c>
      <c r="BD67" s="54">
        <v>7852.689999999999</v>
      </c>
      <c r="BE67" s="54">
        <v>6595.239999999999</v>
      </c>
      <c r="BF67" s="54">
        <v>13610.789999999999</v>
      </c>
      <c r="BG67" s="54">
        <v>10149.14</v>
      </c>
      <c r="BH67" s="54">
        <v>3471.4799999999996</v>
      </c>
      <c r="BI67" s="54">
        <v>1407.1599999999994</v>
      </c>
      <c r="BJ67" s="54">
        <v>11259.18</v>
      </c>
      <c r="BK67" s="54">
        <v>9800.91</v>
      </c>
      <c r="BL67" s="54">
        <v>10773.539999999999</v>
      </c>
      <c r="BM67" s="54">
        <v>13894.8</v>
      </c>
      <c r="BN67" s="54">
        <v>9114.34</v>
      </c>
      <c r="BO67" s="54">
        <v>13525.43</v>
      </c>
      <c r="BP67" s="54">
        <v>0</v>
      </c>
      <c r="BQ67" s="54">
        <v>0</v>
      </c>
      <c r="BR67" s="54">
        <v>0</v>
      </c>
      <c r="BS67" s="54">
        <v>0</v>
      </c>
      <c r="BT67" s="54">
        <v>0</v>
      </c>
      <c r="BU67" s="54">
        <v>0</v>
      </c>
      <c r="BV67" s="54">
        <v>0</v>
      </c>
      <c r="BW67" s="54">
        <v>0</v>
      </c>
      <c r="BX67" s="54">
        <v>0</v>
      </c>
      <c r="BY67" s="54">
        <v>0</v>
      </c>
      <c r="BZ67" s="54">
        <v>0</v>
      </c>
      <c r="CA67" s="54">
        <v>0</v>
      </c>
      <c r="CB67" s="54">
        <v>0</v>
      </c>
      <c r="CC67" s="54">
        <v>0</v>
      </c>
      <c r="CD67" s="54">
        <v>0</v>
      </c>
      <c r="CE67" s="54">
        <v>0</v>
      </c>
      <c r="CF67" s="54">
        <v>0</v>
      </c>
      <c r="CG67" s="54">
        <v>0</v>
      </c>
      <c r="CH67" s="54">
        <v>0</v>
      </c>
      <c r="CI67" s="54">
        <v>0</v>
      </c>
      <c r="CJ67" s="54">
        <v>0</v>
      </c>
      <c r="CK67" s="54">
        <v>0</v>
      </c>
      <c r="CL67" s="54">
        <v>0</v>
      </c>
      <c r="CM67" s="54">
        <v>0</v>
      </c>
      <c r="CN67" s="54">
        <v>0</v>
      </c>
      <c r="CO67" s="54">
        <v>0</v>
      </c>
      <c r="CP67" s="54">
        <v>0</v>
      </c>
      <c r="CQ67" s="54">
        <v>0</v>
      </c>
      <c r="CR67" s="54">
        <v>0</v>
      </c>
      <c r="CS67" s="54">
        <v>0</v>
      </c>
      <c r="CT67" s="54">
        <v>0</v>
      </c>
      <c r="CU67" s="54">
        <v>0</v>
      </c>
      <c r="CV67" s="54">
        <v>0</v>
      </c>
      <c r="CW67" s="54">
        <v>0</v>
      </c>
      <c r="CX67" s="54">
        <v>0</v>
      </c>
      <c r="CY67" s="54">
        <v>0</v>
      </c>
      <c r="CZ67" s="54">
        <v>0</v>
      </c>
      <c r="DA67" s="54">
        <v>0</v>
      </c>
      <c r="DB67" s="54">
        <v>0</v>
      </c>
      <c r="DC67" s="54">
        <v>0</v>
      </c>
      <c r="DD67" s="54">
        <v>0</v>
      </c>
      <c r="DE67" s="54">
        <v>0</v>
      </c>
      <c r="DF67" s="54">
        <v>0</v>
      </c>
      <c r="DG67" s="54">
        <v>0</v>
      </c>
      <c r="DH67" s="54">
        <v>0</v>
      </c>
      <c r="DI67" s="54">
        <v>0</v>
      </c>
      <c r="DJ67" s="54">
        <v>0</v>
      </c>
      <c r="DK67" s="54">
        <v>0</v>
      </c>
      <c r="DL67" s="54">
        <v>0</v>
      </c>
      <c r="DM67" s="54">
        <v>0</v>
      </c>
      <c r="DN67" s="54">
        <v>0</v>
      </c>
      <c r="DO67" s="54">
        <v>0</v>
      </c>
      <c r="DP67" s="54">
        <v>0</v>
      </c>
      <c r="DQ67" s="54">
        <v>0</v>
      </c>
      <c r="DR67" s="54">
        <v>0</v>
      </c>
      <c r="DS67" s="54">
        <v>0</v>
      </c>
      <c r="DT67" s="54">
        <v>0</v>
      </c>
      <c r="DU67" s="54">
        <v>0</v>
      </c>
      <c r="DV67" s="54">
        <v>0</v>
      </c>
      <c r="DW67" s="54">
        <v>0</v>
      </c>
      <c r="DX67" s="54">
        <v>0</v>
      </c>
      <c r="DY67" s="54">
        <v>0</v>
      </c>
      <c r="DZ67" s="54">
        <v>0</v>
      </c>
      <c r="EA67" s="54">
        <v>0</v>
      </c>
      <c r="EB67" s="54">
        <v>0</v>
      </c>
      <c r="EC67" s="54">
        <v>0</v>
      </c>
      <c r="ED67" s="54">
        <v>0</v>
      </c>
      <c r="EE67" s="54">
        <v>0</v>
      </c>
      <c r="EF67" s="54">
        <v>0</v>
      </c>
      <c r="EG67" s="54">
        <v>0</v>
      </c>
      <c r="EH67" s="54">
        <v>0</v>
      </c>
      <c r="EI67" s="54">
        <v>0</v>
      </c>
      <c r="EJ67" s="54">
        <v>0</v>
      </c>
      <c r="EK67" s="54">
        <v>0</v>
      </c>
      <c r="EL67" s="54">
        <v>0</v>
      </c>
      <c r="EM67" s="54">
        <v>0</v>
      </c>
      <c r="EN67" s="54">
        <v>0</v>
      </c>
      <c r="EO67" s="54">
        <v>0</v>
      </c>
      <c r="EP67" s="54">
        <v>0</v>
      </c>
      <c r="EQ67" s="54">
        <v>0</v>
      </c>
      <c r="ER67" s="54">
        <v>0</v>
      </c>
    </row>
    <row r="68" spans="1:148" ht="16">
      <c r="A68" s="45" t="s">
        <v>65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4">
        <v>612.62</v>
      </c>
      <c r="BK68" s="54">
        <v>147.07999999999998</v>
      </c>
      <c r="BL68" s="54">
        <v>3159.04</v>
      </c>
      <c r="BM68" s="54">
        <v>2767.5299999999997</v>
      </c>
      <c r="BN68" s="54">
        <v>74.35999999999967</v>
      </c>
      <c r="BO68" s="54">
        <v>6698.839999999999</v>
      </c>
      <c r="BP68" s="54">
        <v>-9.094947017729282E-13</v>
      </c>
      <c r="BQ68" s="54">
        <v>-9.094947017729282E-13</v>
      </c>
      <c r="BR68" s="54">
        <v>-9.094947017729282E-13</v>
      </c>
      <c r="BS68" s="54">
        <v>-9.094947017729282E-13</v>
      </c>
      <c r="BT68" s="54">
        <v>-9.094947017729282E-13</v>
      </c>
      <c r="BU68" s="54">
        <v>-9.094947017729282E-13</v>
      </c>
      <c r="BV68" s="54">
        <v>-9.094947017729282E-13</v>
      </c>
      <c r="BW68" s="54">
        <v>-9.094947017729282E-13</v>
      </c>
      <c r="BX68" s="54">
        <v>-9.094947017729282E-13</v>
      </c>
      <c r="BY68" s="54">
        <v>-9.094947017729282E-13</v>
      </c>
      <c r="BZ68" s="54">
        <v>-9.094947017729282E-13</v>
      </c>
      <c r="CA68" s="54">
        <v>-9.094947017729282E-13</v>
      </c>
      <c r="CB68" s="54">
        <v>-9.094947017729282E-13</v>
      </c>
      <c r="CC68" s="54">
        <v>-9.094947017729282E-13</v>
      </c>
      <c r="CD68" s="54">
        <v>-9.094947017729282E-13</v>
      </c>
      <c r="CE68" s="54">
        <v>-9.094947017729282E-13</v>
      </c>
      <c r="CF68" s="54">
        <v>-9.094947017729282E-13</v>
      </c>
      <c r="CG68" s="54">
        <v>-9.094947017729282E-13</v>
      </c>
      <c r="CH68" s="54">
        <v>-9.094947017729282E-13</v>
      </c>
      <c r="CI68" s="54">
        <v>-9.094947017729282E-13</v>
      </c>
      <c r="CJ68" s="54">
        <v>-9.094947017729282E-13</v>
      </c>
      <c r="CK68" s="54">
        <v>-9.094947017729282E-13</v>
      </c>
      <c r="CL68" s="54">
        <v>-9.094947017729282E-13</v>
      </c>
      <c r="CM68" s="54">
        <v>-9.094947017729282E-13</v>
      </c>
      <c r="CN68" s="54">
        <v>-9.094947017729282E-13</v>
      </c>
      <c r="CO68" s="54">
        <v>-9.094947017729282E-13</v>
      </c>
      <c r="CP68" s="54">
        <v>-9.094947017729282E-13</v>
      </c>
      <c r="CQ68" s="54">
        <v>-9.094947017729282E-13</v>
      </c>
      <c r="CR68" s="54">
        <v>-9.094947017729282E-13</v>
      </c>
      <c r="CS68" s="54">
        <v>-9.094947017729282E-13</v>
      </c>
      <c r="CT68" s="54">
        <v>-9.094947017729282E-13</v>
      </c>
      <c r="CU68" s="54">
        <v>-9.094947017729282E-13</v>
      </c>
      <c r="CV68" s="54">
        <v>-9.094947017729282E-13</v>
      </c>
      <c r="CW68" s="54">
        <v>-9.094947017729282E-13</v>
      </c>
      <c r="CX68" s="54">
        <v>-9.094947017729282E-13</v>
      </c>
      <c r="CY68" s="54">
        <v>-9.094947017729282E-13</v>
      </c>
      <c r="CZ68" s="54">
        <v>-9.094947017729282E-13</v>
      </c>
      <c r="DA68" s="54">
        <v>-9.094947017729282E-13</v>
      </c>
      <c r="DB68" s="54">
        <v>-9.094947017729282E-13</v>
      </c>
      <c r="DC68" s="54">
        <v>-9.094947017729282E-13</v>
      </c>
      <c r="DD68" s="54">
        <v>-9.094947017729282E-13</v>
      </c>
      <c r="DE68" s="54">
        <v>-9.094947017729282E-13</v>
      </c>
      <c r="DF68" s="54">
        <v>-9.094947017729282E-13</v>
      </c>
      <c r="DG68" s="54">
        <v>-9.094947017729282E-13</v>
      </c>
      <c r="DH68" s="54">
        <v>-9.094947017729282E-13</v>
      </c>
      <c r="DI68" s="54">
        <v>-9.094947017729282E-13</v>
      </c>
      <c r="DJ68" s="54">
        <v>-9.094947017729282E-13</v>
      </c>
      <c r="DK68" s="54">
        <v>-9.094947017729282E-13</v>
      </c>
      <c r="DL68" s="54">
        <v>-9.094947017729282E-13</v>
      </c>
      <c r="DM68" s="54">
        <v>-9.094947017729282E-13</v>
      </c>
      <c r="DN68" s="54">
        <v>-9.094947017729282E-13</v>
      </c>
      <c r="DO68" s="54">
        <v>-9.094947017729282E-13</v>
      </c>
      <c r="DP68" s="54">
        <v>-9.094947017729282E-13</v>
      </c>
      <c r="DQ68" s="54">
        <v>-9.094947017729282E-13</v>
      </c>
      <c r="DR68" s="54">
        <v>-9.094947017729282E-13</v>
      </c>
      <c r="DS68" s="54">
        <v>-9.094947017729282E-13</v>
      </c>
      <c r="DT68" s="54">
        <v>-9.094947017729282E-13</v>
      </c>
      <c r="DU68" s="54">
        <v>-9.094947017729282E-13</v>
      </c>
      <c r="DV68" s="54">
        <v>-9.094947017729282E-13</v>
      </c>
      <c r="DW68" s="54">
        <v>-9.094947017729282E-13</v>
      </c>
      <c r="DX68" s="54">
        <v>-9.094947017729282E-13</v>
      </c>
      <c r="DY68" s="54">
        <v>-9.094947017729282E-13</v>
      </c>
      <c r="DZ68" s="54">
        <v>-9.094947017729282E-13</v>
      </c>
      <c r="EA68" s="54">
        <v>-9.094947017729282E-13</v>
      </c>
      <c r="EB68" s="54">
        <v>-9.094947017729282E-13</v>
      </c>
      <c r="EC68" s="54">
        <v>-9.094947017729282E-13</v>
      </c>
      <c r="ED68" s="54">
        <v>-9.094947017729282E-13</v>
      </c>
      <c r="EE68" s="54">
        <v>-9.094947017729282E-13</v>
      </c>
      <c r="EF68" s="54">
        <v>-9.094947017729282E-13</v>
      </c>
      <c r="EG68" s="54">
        <v>-9.094947017729282E-13</v>
      </c>
      <c r="EH68" s="54">
        <v>-9.094947017729282E-13</v>
      </c>
      <c r="EI68" s="54">
        <v>-9.094947017729282E-13</v>
      </c>
      <c r="EJ68" s="54">
        <v>-9.094947017729282E-13</v>
      </c>
      <c r="EK68" s="54">
        <v>-9.094947017729282E-13</v>
      </c>
      <c r="EL68" s="54">
        <v>-9.094947017729282E-13</v>
      </c>
      <c r="EM68" s="54">
        <v>-9.094947017729282E-13</v>
      </c>
      <c r="EN68" s="54">
        <v>-9.094947017729282E-13</v>
      </c>
      <c r="EO68" s="54">
        <v>-9.094947017729282E-13</v>
      </c>
      <c r="EP68" s="54">
        <v>-9.094947017729282E-13</v>
      </c>
      <c r="EQ68" s="54">
        <v>-9.094947017729282E-13</v>
      </c>
      <c r="ER68" s="54">
        <v>-9.094947017729282E-13</v>
      </c>
    </row>
    <row r="69" spans="1:148" ht="16">
      <c r="A69" s="45" t="s">
        <v>66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4">
        <v>-126.74</v>
      </c>
      <c r="BW69" s="54">
        <v>-126.74</v>
      </c>
      <c r="BX69" s="54">
        <v>-126.74</v>
      </c>
      <c r="BY69" s="54">
        <v>-126.74</v>
      </c>
      <c r="BZ69" s="54">
        <v>-126.74</v>
      </c>
      <c r="CA69" s="54">
        <v>-126.74</v>
      </c>
      <c r="CB69" s="54">
        <v>-126.74</v>
      </c>
      <c r="CC69" s="54">
        <v>-126.74</v>
      </c>
      <c r="CD69" s="54">
        <v>-126.74</v>
      </c>
      <c r="CE69" s="54">
        <v>-126.74</v>
      </c>
      <c r="CF69" s="54">
        <v>-126.74</v>
      </c>
      <c r="CG69" s="54">
        <v>-126.74</v>
      </c>
      <c r="CH69" s="54">
        <v>-126.74</v>
      </c>
      <c r="CI69" s="54">
        <v>-126.74</v>
      </c>
      <c r="CJ69" s="54">
        <v>-126.74</v>
      </c>
      <c r="CK69" s="54">
        <v>-126.74</v>
      </c>
      <c r="CL69" s="54">
        <v>-126.74</v>
      </c>
      <c r="CM69" s="54">
        <v>-126.74</v>
      </c>
      <c r="CN69" s="54">
        <v>-126.74</v>
      </c>
      <c r="CO69" s="54">
        <v>-126.74</v>
      </c>
      <c r="CP69" s="54">
        <v>-126.74</v>
      </c>
      <c r="CQ69" s="54">
        <v>-126.74</v>
      </c>
      <c r="CR69" s="54">
        <v>-126.74</v>
      </c>
      <c r="CS69" s="54">
        <v>-126.74</v>
      </c>
      <c r="CT69" s="54">
        <v>0</v>
      </c>
      <c r="CU69" s="54">
        <v>0</v>
      </c>
      <c r="CV69" s="54">
        <v>0</v>
      </c>
      <c r="CW69" s="54">
        <v>0</v>
      </c>
      <c r="CX69" s="54">
        <v>0</v>
      </c>
      <c r="CY69" s="54">
        <v>0</v>
      </c>
      <c r="CZ69" s="54">
        <v>0</v>
      </c>
      <c r="DA69" s="54">
        <v>0</v>
      </c>
      <c r="DB69" s="54">
        <v>0</v>
      </c>
      <c r="DC69" s="54">
        <v>0</v>
      </c>
      <c r="DD69" s="54">
        <v>0</v>
      </c>
      <c r="DE69" s="54">
        <v>0</v>
      </c>
      <c r="DF69" s="54">
        <v>0</v>
      </c>
      <c r="DG69" s="54">
        <v>0</v>
      </c>
      <c r="DH69" s="54">
        <v>0</v>
      </c>
      <c r="DI69" s="54">
        <v>0</v>
      </c>
      <c r="DJ69" s="54">
        <v>0</v>
      </c>
      <c r="DK69" s="54">
        <v>0</v>
      </c>
      <c r="DL69" s="54">
        <v>0</v>
      </c>
      <c r="DM69" s="54">
        <v>0</v>
      </c>
      <c r="DN69" s="54">
        <v>0</v>
      </c>
      <c r="DO69" s="54">
        <v>0</v>
      </c>
      <c r="DP69" s="54">
        <v>0</v>
      </c>
      <c r="DQ69" s="54">
        <v>0</v>
      </c>
      <c r="DR69" s="54">
        <v>0</v>
      </c>
      <c r="DS69" s="54">
        <v>0</v>
      </c>
      <c r="DT69" s="54">
        <v>0</v>
      </c>
      <c r="DU69" s="54">
        <v>0</v>
      </c>
      <c r="DV69" s="54">
        <v>0</v>
      </c>
      <c r="DW69" s="54">
        <v>0</v>
      </c>
      <c r="DX69" s="54">
        <v>0</v>
      </c>
      <c r="DY69" s="54">
        <v>0</v>
      </c>
      <c r="DZ69" s="54">
        <v>0</v>
      </c>
      <c r="EA69" s="54">
        <v>0</v>
      </c>
      <c r="EB69" s="54">
        <v>0</v>
      </c>
      <c r="EC69" s="54">
        <v>0</v>
      </c>
      <c r="ED69" s="54">
        <v>0</v>
      </c>
      <c r="EE69" s="54">
        <v>0</v>
      </c>
      <c r="EF69" s="54">
        <v>0</v>
      </c>
      <c r="EG69" s="54">
        <v>0</v>
      </c>
      <c r="EH69" s="54">
        <v>0</v>
      </c>
      <c r="EI69" s="54">
        <v>0</v>
      </c>
      <c r="EJ69" s="54">
        <v>0</v>
      </c>
      <c r="EK69" s="54">
        <v>0</v>
      </c>
      <c r="EL69" s="54">
        <v>0</v>
      </c>
      <c r="EM69" s="54">
        <v>0</v>
      </c>
      <c r="EN69" s="54">
        <v>0</v>
      </c>
      <c r="EO69" s="54">
        <v>0</v>
      </c>
      <c r="EP69" s="54">
        <v>0</v>
      </c>
      <c r="EQ69" s="54">
        <v>0</v>
      </c>
      <c r="ER69" s="54">
        <v>0</v>
      </c>
    </row>
    <row r="70" spans="1:148" ht="16">
      <c r="A70" s="46" t="s">
        <v>67</v>
      </c>
      <c r="B70" s="55">
        <f>B64+B65+B66+B67+B68+B69</f>
        <v>8473.67</v>
      </c>
      <c r="C70" s="55">
        <f>C64+C65+C66+C67+C68+C69</f>
        <v>7608.370000000001</v>
      </c>
      <c r="D70" s="55">
        <f>D64+D65+D66+D67+D68+D69</f>
        <v>4795.76</v>
      </c>
      <c r="E70" s="55">
        <f>E64+E65+E66+E67+E68+E69</f>
        <v>4611.56</v>
      </c>
      <c r="F70" s="55">
        <f>F64+F65+F66+F67+F68+F69</f>
        <v>4231.6900000000005</v>
      </c>
      <c r="G70" s="55">
        <f>G64+G65+G66+G67+G68+G69</f>
        <v>2890.54</v>
      </c>
      <c r="H70" s="55">
        <f>H64+H65+H66+H67+H68+H69</f>
        <v>4959.77</v>
      </c>
      <c r="I70" s="55">
        <f>I64+I65+I66+I67+I68+I69</f>
        <v>3028.7300000000005</v>
      </c>
      <c r="J70" s="55">
        <f>J64+J65+J66+J67+J68+J69</f>
        <v>4302.870000000001</v>
      </c>
      <c r="K70" s="55">
        <f>K64+K65+K66+K67+K68+K69</f>
        <v>3968.1800000000003</v>
      </c>
      <c r="L70" s="55">
        <f>L64+L65+L66+L67+L68+L69</f>
        <v>3950.28</v>
      </c>
      <c r="M70" s="55">
        <f>M64+M65+M66+M67+M68+M69</f>
        <v>3411.82</v>
      </c>
      <c r="N70" s="55">
        <f>N64+N65+N66+N67+N68+N69</f>
        <v>4511.030000000001</v>
      </c>
      <c r="O70" s="55">
        <f>O64+O65+O66+O67+O68+O69</f>
        <v>4657.81</v>
      </c>
      <c r="P70" s="55">
        <f>P64+P65+P66+P67+P68+P69</f>
        <v>4345.84</v>
      </c>
      <c r="Q70" s="55">
        <f>Q64+Q65+Q66+Q67+Q68+Q69</f>
        <v>2890.54</v>
      </c>
      <c r="R70" s="55">
        <f>R64+R65+R66+R67+R68+R69</f>
        <v>2996.3100000000004</v>
      </c>
      <c r="S70" s="55">
        <f>S64+S65+S66+S67+S68+S69</f>
        <v>2729.92</v>
      </c>
      <c r="T70" s="55">
        <f>T64+T65+T66+T67+T68+T69</f>
        <v>2566.2000000000007</v>
      </c>
      <c r="U70" s="55">
        <f>U64+U65+U66+U67+U68+U69</f>
        <v>2396.34</v>
      </c>
      <c r="V70" s="55">
        <f>V64+V65+V66+V67+V68+V69</f>
        <v>2220.5</v>
      </c>
      <c r="W70" s="55">
        <f>W64+W65+W66+W67+W68+W69</f>
        <v>2042.2100000000003</v>
      </c>
      <c r="X70" s="55">
        <f>X64+X65+X66+X67+X68+X69</f>
        <v>1858.5300000000002</v>
      </c>
      <c r="Y70" s="55">
        <f>Y64+Y65+Y66+Y67+Y68+Y69</f>
        <v>1671.7700000000002</v>
      </c>
      <c r="Z70" s="55">
        <f>Z64+Z65+Z66+Z67+Z68+Z69</f>
        <v>2.2737367544323206E-13</v>
      </c>
      <c r="AA70" s="55">
        <f>AA64+AA65+AA66+AA67+AA68+AA69</f>
        <v>2.2737367544323206E-13</v>
      </c>
      <c r="AB70" s="55">
        <f>AB64+AB65+AB66+AB67+AB68+AB69</f>
        <v>2.2737367544323206E-13</v>
      </c>
      <c r="AC70" s="55">
        <f>AC64+AC65+AC66+AC67+AC68+AC69</f>
        <v>2.2737367544323206E-13</v>
      </c>
      <c r="AD70" s="55">
        <f>AD64+AD65+AD66+AD67+AD68+AD69</f>
        <v>2.2737367544323206E-13</v>
      </c>
      <c r="AE70" s="55">
        <f>AE64+AE65+AE66+AE67+AE68+AE69</f>
        <v>2.2737367544323206E-13</v>
      </c>
      <c r="AF70" s="55">
        <f>AF64+AF65+AF66+AF67+AF68+AF69</f>
        <v>2.2737367544323206E-13</v>
      </c>
      <c r="AG70" s="55">
        <f>AG64+AG65+AG66+AG67+AG68+AG69</f>
        <v>2.2737367544323206E-13</v>
      </c>
      <c r="AH70" s="55">
        <f>AH64+AH65+AH66+AH67+AH68+AH69</f>
        <v>2.2737367544323206E-13</v>
      </c>
      <c r="AI70" s="55">
        <f>AI64+AI65+AI66+AI67+AI68+AI69</f>
        <v>2.2737367544323206E-13</v>
      </c>
      <c r="AJ70" s="55">
        <f>AJ64+AJ65+AJ66+AJ67+AJ68+AJ69</f>
        <v>5594.43</v>
      </c>
      <c r="AK70" s="55">
        <f>AK64+AK65+AK66+AK67+AK68+AK69</f>
        <v>3777.25</v>
      </c>
      <c r="AL70" s="55">
        <f>AL64+AL65+AL66+AL67+AL68+AL69</f>
        <v>4000.1400000000003</v>
      </c>
      <c r="AM70" s="55">
        <f>AM64+AM65+AM66+AM67+AM68+AM69</f>
        <v>7772.24</v>
      </c>
      <c r="AN70" s="55">
        <f>AN64+AN65+AN66+AN67+AN68+AN69</f>
        <v>8050.5199999999995</v>
      </c>
      <c r="AO70" s="55">
        <f>AO64+AO65+AO66+AO67+AO68+AO69</f>
        <v>7258.099999999999</v>
      </c>
      <c r="AP70" s="55">
        <f>AP64+AP65+AP66+AP67+AP68+AP69</f>
        <v>7415.5599999999995</v>
      </c>
      <c r="AQ70" s="55">
        <f>AQ64+AQ65+AQ66+AQ67+AQ68+AQ69</f>
        <v>5304.24</v>
      </c>
      <c r="AR70" s="55">
        <f>AR64+AR65+AR66+AR67+AR68+AR69</f>
        <v>5629.3099999999995</v>
      </c>
      <c r="AS70" s="55">
        <f>AS64+AS65+AS66+AS67+AS68+AS69</f>
        <v>5713.089999999999</v>
      </c>
      <c r="AT70" s="55">
        <f>AT64+AT65+AT66+AT67+AT68+AT69</f>
        <v>2025.7999999999995</v>
      </c>
      <c r="AU70" s="55">
        <f>AU64+AU65+AU66+AU67+AU68+AU69</f>
        <v>6731.039999999999</v>
      </c>
      <c r="AV70" s="55">
        <f>AV64+AV65+AV66+AV67+AV68+AV69</f>
        <v>5704.169999999999</v>
      </c>
      <c r="AW70" s="55">
        <f>AW64+AW65+AW66+AW67+AW68+AW69</f>
        <v>4266.289999999999</v>
      </c>
      <c r="AX70" s="55">
        <f>AX64+AX65+AX66+AX67+AX68+AX69</f>
        <v>9716.22</v>
      </c>
      <c r="AY70" s="55">
        <f>AY64+AY65+AY66+AY67+AY68+AY69</f>
        <v>9717.029999999999</v>
      </c>
      <c r="AZ70" s="55">
        <f>AZ64+AZ65+AZ66+AZ67+AZ68+AZ69</f>
        <v>14941.699999999999</v>
      </c>
      <c r="BA70" s="55">
        <f>BA64+BA65+BA66+BA67+BA68+BA69</f>
        <v>11549.259999999998</v>
      </c>
      <c r="BB70" s="55">
        <f>BB64+BB65+BB66+BB67+BB68+BB69</f>
        <v>13315.8</v>
      </c>
      <c r="BC70" s="55">
        <f>BC64+BC65+BC66+BC67+BC68+BC69</f>
        <v>9524.169999999998</v>
      </c>
      <c r="BD70" s="55">
        <f>BD64+BD65+BD66+BD67+BD68+BD69</f>
        <v>12093.689999999999</v>
      </c>
      <c r="BE70" s="55">
        <f>BE64+BE65+BE66+BE67+BE68+BE69</f>
        <v>10836.239999999998</v>
      </c>
      <c r="BF70" s="55">
        <f>BF64+BF65+BF66+BF67+BF68+BF69</f>
        <v>17851.79</v>
      </c>
      <c r="BG70" s="55">
        <f>BG64+BG65+BG66+BG67+BG68+BG69</f>
        <v>14390.14</v>
      </c>
      <c r="BH70" s="55">
        <f>BH64+BH65+BH66+BH67+BH68+BH69</f>
        <v>7712.48</v>
      </c>
      <c r="BI70" s="55">
        <f>BI64+BI65+BI66+BI67+BI68+BI69</f>
        <v>5648.16</v>
      </c>
      <c r="BJ70" s="55">
        <f>BJ64+BJ65+BJ66+BJ67+BJ68+BJ69</f>
        <v>16112.800000000001</v>
      </c>
      <c r="BK70" s="55">
        <f>BK64+BK65+BK66+BK67+BK68+BK69</f>
        <v>14188.99</v>
      </c>
      <c r="BL70" s="55">
        <f>BL64+BL65+BL66+BL67+BL68+BL69</f>
        <v>18173.579999999998</v>
      </c>
      <c r="BM70" s="55">
        <f>BM64+BM65+BM66+BM67+BM68+BM69</f>
        <v>20903.329999999998</v>
      </c>
      <c r="BN70" s="55">
        <f>BN64+BN65+BN66+BN67+BN68+BN69</f>
        <v>13429.7</v>
      </c>
      <c r="BO70" s="55">
        <f>BO64+BO65+BO66+BO67+BO68+BO69</f>
        <v>20224.27</v>
      </c>
      <c r="BP70" s="55">
        <f>BP64+BP65+BP66+BP67+BP68+BP69</f>
        <v>-6.821210263296962E-13</v>
      </c>
      <c r="BQ70" s="55">
        <f>BQ64+BQ65+BQ66+BQ67+BQ68+BQ69</f>
        <v>-6.821210263296962E-13</v>
      </c>
      <c r="BR70" s="55">
        <f>BR64+BR65+BR66+BR67+BR68+BR69</f>
        <v>-6.821210263296962E-13</v>
      </c>
      <c r="BS70" s="55">
        <f>BS64+BS65+BS66+BS67+BS68+BS69</f>
        <v>-6.821210263296962E-13</v>
      </c>
      <c r="BT70" s="55">
        <f>BT64+BT65+BT66+BT67+BT68+BT69</f>
        <v>-6.821210263296962E-13</v>
      </c>
      <c r="BU70" s="55">
        <f>BU64+BU65+BU66+BU67+BU68+BU69</f>
        <v>-6.821210263296962E-13</v>
      </c>
      <c r="BV70" s="55">
        <f>BV64+BV65+BV66+BV67+BV68+BV69</f>
        <v>-126.74000000000068</v>
      </c>
      <c r="BW70" s="55">
        <f>BW64+BW65+BW66+BW67+BW68+BW69</f>
        <v>-126.74000000000068</v>
      </c>
      <c r="BX70" s="55">
        <f>BX64+BX65+BX66+BX67+BX68+BX69</f>
        <v>-126.74000000000068</v>
      </c>
      <c r="BY70" s="55">
        <f>BY64+BY65+BY66+BY67+BY68+BY69</f>
        <v>-126.74000000000068</v>
      </c>
      <c r="BZ70" s="55">
        <f>BZ64+BZ65+BZ66+BZ67+BZ68+BZ69</f>
        <v>-126.74000000000068</v>
      </c>
      <c r="CA70" s="55">
        <f>CA64+CA65+CA66+CA67+CA68+CA69</f>
        <v>-126.74000000000068</v>
      </c>
      <c r="CB70" s="55">
        <f>CB64+CB65+CB66+CB67+CB68+CB69</f>
        <v>-126.74000000000068</v>
      </c>
      <c r="CC70" s="55">
        <f>CC64+CC65+CC66+CC67+CC68+CC69</f>
        <v>-126.74000000000068</v>
      </c>
      <c r="CD70" s="55">
        <f>CD64+CD65+CD66+CD67+CD68+CD69</f>
        <v>-126.74000000000068</v>
      </c>
      <c r="CE70" s="55">
        <f>CE64+CE65+CE66+CE67+CE68+CE69</f>
        <v>-126.74000000000068</v>
      </c>
      <c r="CF70" s="55">
        <f>CF64+CF65+CF66+CF67+CF68+CF69</f>
        <v>-126.74000000000068</v>
      </c>
      <c r="CG70" s="55">
        <f>CG64+CG65+CG66+CG67+CG68+CG69</f>
        <v>-126.74000000000068</v>
      </c>
      <c r="CH70" s="55">
        <f>CH64+CH65+CH66+CH67+CH68+CH69</f>
        <v>-126.74000000000068</v>
      </c>
      <c r="CI70" s="55">
        <f>CI64+CI65+CI66+CI67+CI68+CI69</f>
        <v>-126.74000000000068</v>
      </c>
      <c r="CJ70" s="55">
        <f>CJ64+CJ65+CJ66+CJ67+CJ68+CJ69</f>
        <v>-126.74000000000068</v>
      </c>
      <c r="CK70" s="55">
        <f>CK64+CK65+CK66+CK67+CK68+CK69</f>
        <v>-126.74000000000068</v>
      </c>
      <c r="CL70" s="55">
        <f>CL64+CL65+CL66+CL67+CL68+CL69</f>
        <v>-126.74000000000068</v>
      </c>
      <c r="CM70" s="55">
        <f>CM64+CM65+CM66+CM67+CM68+CM69</f>
        <v>-126.74000000000068</v>
      </c>
      <c r="CN70" s="55">
        <f>CN64+CN65+CN66+CN67+CN68+CN69</f>
        <v>-126.74000000000068</v>
      </c>
      <c r="CO70" s="55">
        <f>CO64+CO65+CO66+CO67+CO68+CO69</f>
        <v>-126.74000000000068</v>
      </c>
      <c r="CP70" s="55">
        <f>CP64+CP65+CP66+CP67+CP68+CP69</f>
        <v>-126.74000000000068</v>
      </c>
      <c r="CQ70" s="55">
        <f>CQ64+CQ65+CQ66+CQ67+CQ68+CQ69</f>
        <v>-126.74000000000068</v>
      </c>
      <c r="CR70" s="55">
        <f>CR64+CR65+CR66+CR67+CR68+CR69</f>
        <v>-126.74000000000068</v>
      </c>
      <c r="CS70" s="55">
        <f>CS64+CS65+CS66+CS67+CS68+CS69</f>
        <v>-126.74000000000068</v>
      </c>
      <c r="CT70" s="55">
        <f>CT64+CT65+CT66+CT67+CT68+CT69</f>
        <v>-6.821210263296962E-13</v>
      </c>
      <c r="CU70" s="55">
        <f>CU64+CU65+CU66+CU67+CU68+CU69</f>
        <v>-6.821210263296962E-13</v>
      </c>
      <c r="CV70" s="55">
        <f>CV64+CV65+CV66+CV67+CV68+CV69</f>
        <v>-6.821210263296962E-13</v>
      </c>
      <c r="CW70" s="55">
        <f>CW64+CW65+CW66+CW67+CW68+CW69</f>
        <v>-6.821210263296962E-13</v>
      </c>
      <c r="CX70" s="55">
        <f>CX64+CX65+CX66+CX67+CX68+CX69</f>
        <v>-6.821210263296962E-13</v>
      </c>
      <c r="CY70" s="55">
        <f>CY64+CY65+CY66+CY67+CY68+CY69</f>
        <v>-6.821210263296962E-13</v>
      </c>
      <c r="CZ70" s="55">
        <f>CZ64+CZ65+CZ66+CZ67+CZ68+CZ69</f>
        <v>-6.821210263296962E-13</v>
      </c>
      <c r="DA70" s="55">
        <f>DA64+DA65+DA66+DA67+DA68+DA69</f>
        <v>-6.821210263296962E-13</v>
      </c>
      <c r="DB70" s="55">
        <f>DB64+DB65+DB66+DB67+DB68+DB69</f>
        <v>-6.821210263296962E-13</v>
      </c>
      <c r="DC70" s="55">
        <f>DC64+DC65+DC66+DC67+DC68+DC69</f>
        <v>-6.821210263296962E-13</v>
      </c>
      <c r="DD70" s="55">
        <f>DD64+DD65+DD66+DD67+DD68+DD69</f>
        <v>-6.821210263296962E-13</v>
      </c>
      <c r="DE70" s="55">
        <f>DE64+DE65+DE66+DE67+DE68+DE69</f>
        <v>-6.821210263296962E-13</v>
      </c>
      <c r="DF70" s="55">
        <f>DF64+DF65+DF66+DF67+DF68+DF69</f>
        <v>-6.821210263296962E-13</v>
      </c>
      <c r="DG70" s="55">
        <f>DG64+DG65+DG66+DG67+DG68+DG69</f>
        <v>-6.821210263296962E-13</v>
      </c>
      <c r="DH70" s="55">
        <f>DH64+DH65+DH66+DH67+DH68+DH69</f>
        <v>-6.821210263296962E-13</v>
      </c>
      <c r="DI70" s="55">
        <f>DI64+DI65+DI66+DI67+DI68+DI69</f>
        <v>-6.821210263296962E-13</v>
      </c>
      <c r="DJ70" s="55">
        <f>DJ64+DJ65+DJ66+DJ67+DJ68+DJ69</f>
        <v>-6.821210263296962E-13</v>
      </c>
      <c r="DK70" s="55">
        <f>DK64+DK65+DK66+DK67+DK68+DK69</f>
        <v>-6.821210263296962E-13</v>
      </c>
      <c r="DL70" s="55">
        <f>DL64+DL65+DL66+DL67+DL68+DL69</f>
        <v>-6.821210263296962E-13</v>
      </c>
      <c r="DM70" s="55">
        <f>DM64+DM65+DM66+DM67+DM68+DM69</f>
        <v>-6.821210263296962E-13</v>
      </c>
      <c r="DN70" s="55">
        <f>DN64+DN65+DN66+DN67+DN68+DN69</f>
        <v>-6.821210263296962E-13</v>
      </c>
      <c r="DO70" s="55">
        <f>DO64+DO65+DO66+DO67+DO68+DO69</f>
        <v>-6.821210263296962E-13</v>
      </c>
      <c r="DP70" s="55">
        <f>DP64+DP65+DP66+DP67+DP68+DP69</f>
        <v>-6.821210263296962E-13</v>
      </c>
      <c r="DQ70" s="55">
        <f>DQ64+DQ65+DQ66+DQ67+DQ68+DQ69</f>
        <v>-6.821210263296962E-13</v>
      </c>
      <c r="DR70" s="55">
        <f>DR64+DR65+DR66+DR67+DR68+DR69</f>
        <v>-6.821210263296962E-13</v>
      </c>
      <c r="DS70" s="55">
        <f>DS64+DS65+DS66+DS67+DS68+DS69</f>
        <v>-6.821210263296962E-13</v>
      </c>
      <c r="DT70" s="55">
        <f>DT64+DT65+DT66+DT67+DT68+DT69</f>
        <v>-6.821210263296962E-13</v>
      </c>
      <c r="DU70" s="55">
        <f>DU64+DU65+DU66+DU67+DU68+DU69</f>
        <v>-6.821210263296962E-13</v>
      </c>
      <c r="DV70" s="55">
        <f>DV64+DV65+DV66+DV67+DV68+DV69</f>
        <v>-6.821210263296962E-13</v>
      </c>
      <c r="DW70" s="55">
        <f>DW64+DW65+DW66+DW67+DW68+DW69</f>
        <v>-6.821210263296962E-13</v>
      </c>
      <c r="DX70" s="55">
        <f>DX64+DX65+DX66+DX67+DX68+DX69</f>
        <v>-6.821210263296962E-13</v>
      </c>
      <c r="DY70" s="55">
        <f>DY64+DY65+DY66+DY67+DY68+DY69</f>
        <v>-6.821210263296962E-13</v>
      </c>
      <c r="DZ70" s="55">
        <f>DZ64+DZ65+DZ66+DZ67+DZ68+DZ69</f>
        <v>-6.821210263296962E-13</v>
      </c>
      <c r="EA70" s="55">
        <f>EA64+EA65+EA66+EA67+EA68+EA69</f>
        <v>-6.821210263296962E-13</v>
      </c>
      <c r="EB70" s="55">
        <f>EB64+EB65+EB66+EB67+EB68+EB69</f>
        <v>-6.821210263296962E-13</v>
      </c>
      <c r="EC70" s="55">
        <f>EC64+EC65+EC66+EC67+EC68+EC69</f>
        <v>-6.821210263296962E-13</v>
      </c>
      <c r="ED70" s="55">
        <f>ED64+ED65+ED66+ED67+ED68+ED69</f>
        <v>-6.821210263296962E-13</v>
      </c>
      <c r="EE70" s="55">
        <f>EE64+EE65+EE66+EE67+EE68+EE69</f>
        <v>-6.821210263296962E-13</v>
      </c>
      <c r="EF70" s="55">
        <f>EF64+EF65+EF66+EF67+EF68+EF69</f>
        <v>-6.821210263296962E-13</v>
      </c>
      <c r="EG70" s="55">
        <f>EG64+EG65+EG66+EG67+EG68+EG69</f>
        <v>-6.821210263296962E-13</v>
      </c>
      <c r="EH70" s="55">
        <f>EH64+EH65+EH66+EH67+EH68+EH69</f>
        <v>-6.821210263296962E-13</v>
      </c>
      <c r="EI70" s="55">
        <f>EI64+EI65+EI66+EI67+EI68+EI69</f>
        <v>-6.821210263296962E-13</v>
      </c>
      <c r="EJ70" s="55">
        <f>EJ64+EJ65+EJ66+EJ67+EJ68+EJ69</f>
        <v>-6.821210263296962E-13</v>
      </c>
      <c r="EK70" s="55">
        <f>EK64+EK65+EK66+EK67+EK68+EK69</f>
        <v>-6.821210263296962E-13</v>
      </c>
      <c r="EL70" s="55">
        <f>EL64+EL65+EL66+EL67+EL68+EL69</f>
        <v>-6.821210263296962E-13</v>
      </c>
      <c r="EM70" s="55">
        <f>EM64+EM65+EM66+EM67+EM68+EM69</f>
        <v>-6.821210263296962E-13</v>
      </c>
      <c r="EN70" s="55">
        <f>EN64+EN65+EN66+EN67+EN68+EN69</f>
        <v>-6.821210263296962E-13</v>
      </c>
      <c r="EO70" s="55">
        <f>EO64+EO65+EO66+EO67+EO68+EO69</f>
        <v>-6.821210263296962E-13</v>
      </c>
      <c r="EP70" s="55">
        <f>EP64+EP65+EP66+EP67+EP68+EP69</f>
        <v>-6.821210263296962E-13</v>
      </c>
      <c r="EQ70" s="55">
        <f>EQ64+EQ65+EQ66+EQ67+EQ68+EQ69</f>
        <v>-6.821210263296962E-13</v>
      </c>
      <c r="ER70" s="55">
        <f>ER64+ER65+ER66+ER67+ER68+ER69</f>
        <v>-6.821210263296962E-13</v>
      </c>
    </row>
    <row r="71" spans="1:148" ht="16">
      <c r="A71" s="44" t="s">
        <v>68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4">
        <v>300.0</v>
      </c>
      <c r="BG71" s="54">
        <v>3215.44</v>
      </c>
      <c r="BH71" s="54">
        <v>1036.7000000000003</v>
      </c>
      <c r="BI71" s="54">
        <v>1507.1900000000003</v>
      </c>
      <c r="BJ71" s="54">
        <v>4737.54</v>
      </c>
      <c r="BK71" s="54">
        <v>4993.98</v>
      </c>
      <c r="BL71" s="54">
        <v>5774.62</v>
      </c>
      <c r="BM71" s="54">
        <v>5835.349999999999</v>
      </c>
      <c r="BN71" s="54">
        <v>4309.259999999999</v>
      </c>
      <c r="BO71" s="54">
        <v>1717.499999999999</v>
      </c>
      <c r="BP71" s="54">
        <v>1945.4399999999991</v>
      </c>
      <c r="BQ71" s="54">
        <v>8687.619999999999</v>
      </c>
      <c r="BR71" s="54">
        <v>8917.259999999998</v>
      </c>
      <c r="BS71" s="54">
        <v>9876.899999999998</v>
      </c>
      <c r="BT71" s="54">
        <v>13316.859999999997</v>
      </c>
      <c r="BU71" s="54">
        <v>11508.439999999997</v>
      </c>
      <c r="BV71" s="54">
        <v>4116.169999999996</v>
      </c>
      <c r="BW71" s="54">
        <v>22138.42</v>
      </c>
      <c r="BX71" s="54">
        <v>21723.519999999997</v>
      </c>
      <c r="BY71" s="54">
        <v>2199.109999999997</v>
      </c>
      <c r="BZ71" s="54">
        <v>7758.579999999997</v>
      </c>
      <c r="CA71" s="54">
        <v>10587.009999999997</v>
      </c>
      <c r="CB71" s="54">
        <v>11844.999999999996</v>
      </c>
      <c r="CC71" s="54">
        <v>-682.7700000000041</v>
      </c>
      <c r="CD71" s="54">
        <v>40.899999999995885</v>
      </c>
      <c r="CE71" s="54">
        <v>12171.359999999995</v>
      </c>
      <c r="CF71" s="54">
        <v>206.74999999999454</v>
      </c>
      <c r="CG71" s="54">
        <v>4869.929999999995</v>
      </c>
      <c r="CH71" s="54">
        <v>15821.439999999995</v>
      </c>
      <c r="CI71" s="54">
        <v>20163.129999999994</v>
      </c>
      <c r="CJ71" s="54">
        <v>16156.539999999994</v>
      </c>
      <c r="CK71" s="54">
        <v>19706.719999999994</v>
      </c>
      <c r="CL71" s="54">
        <v>145.55999999999403</v>
      </c>
      <c r="CM71" s="54">
        <v>2175.579999999994</v>
      </c>
      <c r="CN71" s="54">
        <v>2525.849999999994</v>
      </c>
      <c r="CO71" s="54">
        <v>17705.079999999994</v>
      </c>
      <c r="CP71" s="54">
        <v>2059.4099999999944</v>
      </c>
      <c r="CQ71" s="54">
        <v>38100.63</v>
      </c>
      <c r="CR71" s="54">
        <v>82030.92</v>
      </c>
      <c r="CS71" s="54">
        <v>64379.74</v>
      </c>
      <c r="CT71" s="54">
        <v>119393.54999999999</v>
      </c>
      <c r="CU71" s="54">
        <v>165927.12</v>
      </c>
      <c r="CV71" s="54">
        <v>79678.73</v>
      </c>
      <c r="CW71" s="54">
        <v>113439.69</v>
      </c>
      <c r="CX71" s="54">
        <v>76076.77</v>
      </c>
      <c r="CY71" s="54">
        <v>31820.690000000002</v>
      </c>
      <c r="CZ71" s="54">
        <v>20821.36</v>
      </c>
      <c r="DA71" s="54">
        <v>1436.8199999999997</v>
      </c>
      <c r="DB71" s="54">
        <v>58081.8</v>
      </c>
      <c r="DC71" s="54">
        <v>71734.63</v>
      </c>
      <c r="DD71" s="54">
        <v>56239.54000000001</v>
      </c>
      <c r="DE71" s="54">
        <v>54948.100000000006</v>
      </c>
      <c r="DF71" s="54">
        <v>61808.41</v>
      </c>
      <c r="DG71" s="54">
        <v>21441.980000000003</v>
      </c>
      <c r="DH71" s="54">
        <v>70802.1</v>
      </c>
      <c r="DI71" s="54">
        <v>80980.22</v>
      </c>
      <c r="DJ71" s="54">
        <v>62044.22</v>
      </c>
      <c r="DK71" s="54">
        <v>63284.22</v>
      </c>
      <c r="DL71" s="54">
        <v>64549.22</v>
      </c>
      <c r="DM71" s="54">
        <v>59170.11</v>
      </c>
      <c r="DN71" s="54">
        <v>59170.11</v>
      </c>
      <c r="DO71" s="54">
        <v>47982.0</v>
      </c>
      <c r="DP71" s="54">
        <v>42582.0</v>
      </c>
      <c r="DQ71" s="54">
        <v>42582.0</v>
      </c>
      <c r="DR71" s="54">
        <v>31782.0</v>
      </c>
      <c r="DS71" s="54">
        <v>31782.0</v>
      </c>
      <c r="DT71" s="54">
        <v>31782.0</v>
      </c>
      <c r="DU71" s="54">
        <v>31782.0</v>
      </c>
      <c r="DV71" s="54">
        <v>31782.0</v>
      </c>
      <c r="DW71" s="54">
        <v>31782.0</v>
      </c>
      <c r="DX71" s="54">
        <v>26382.0</v>
      </c>
      <c r="DY71" s="54">
        <v>26382.0</v>
      </c>
      <c r="DZ71" s="54">
        <v>20982.0</v>
      </c>
      <c r="EA71" s="54">
        <v>20982.0</v>
      </c>
      <c r="EB71" s="54">
        <v>20982.0</v>
      </c>
      <c r="EC71" s="54">
        <v>20238.0</v>
      </c>
      <c r="ED71" s="54">
        <v>9369.59</v>
      </c>
      <c r="EE71" s="54">
        <v>8515.66</v>
      </c>
      <c r="EF71" s="54">
        <v>7661.73</v>
      </c>
      <c r="EG71" s="54">
        <v>7661.73</v>
      </c>
      <c r="EH71" s="54">
        <v>7661.73</v>
      </c>
      <c r="EI71" s="54">
        <v>0</v>
      </c>
      <c r="EJ71" s="54">
        <v>0</v>
      </c>
      <c r="EK71" s="54">
        <v>0</v>
      </c>
      <c r="EL71" s="54">
        <v>0</v>
      </c>
      <c r="EM71" s="54">
        <v>0</v>
      </c>
      <c r="EN71" s="54">
        <v>0</v>
      </c>
      <c r="EO71" s="54">
        <v>0</v>
      </c>
      <c r="EP71" s="54">
        <v>0</v>
      </c>
      <c r="EQ71" s="54">
        <v>0</v>
      </c>
      <c r="ER71" s="54">
        <v>0</v>
      </c>
    </row>
    <row r="72" spans="1:148" ht="16">
      <c r="A72" s="44" t="s">
        <v>69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4">
        <v>429.53</v>
      </c>
      <c r="BW72" s="54">
        <v>400.0</v>
      </c>
      <c r="BX72" s="54">
        <v>2400.0</v>
      </c>
      <c r="BY72" s="54">
        <v>-1968.2799999999997</v>
      </c>
      <c r="BZ72" s="54">
        <v>3196.29</v>
      </c>
      <c r="CA72" s="54">
        <v>816.8600000000001</v>
      </c>
      <c r="CB72" s="54">
        <v>2028.0700000000002</v>
      </c>
      <c r="CC72" s="54">
        <v>1400.0</v>
      </c>
      <c r="CD72" s="54">
        <v>400.0</v>
      </c>
      <c r="CE72" s="54">
        <v>2367.25</v>
      </c>
      <c r="CF72" s="54">
        <v>1533.04</v>
      </c>
      <c r="CG72" s="54">
        <v>2298.08</v>
      </c>
      <c r="CH72" s="54">
        <v>2940.0</v>
      </c>
      <c r="CI72" s="54">
        <v>2816.86</v>
      </c>
      <c r="CJ72" s="54">
        <v>500.0</v>
      </c>
      <c r="CK72" s="54">
        <v>781.72</v>
      </c>
      <c r="CL72" s="54">
        <v>2432.2</v>
      </c>
      <c r="CM72" s="54">
        <v>1433.3599999999997</v>
      </c>
      <c r="CN72" s="54">
        <v>4571.969999999999</v>
      </c>
      <c r="CO72" s="54">
        <v>3600.8099999999995</v>
      </c>
      <c r="CP72" s="54">
        <v>1015.3499999999995</v>
      </c>
      <c r="CQ72" s="54">
        <v>1469.0999999999995</v>
      </c>
      <c r="CR72" s="54">
        <v>2029.9999999999995</v>
      </c>
      <c r="CS72" s="54">
        <v>211.59999999999945</v>
      </c>
      <c r="CT72" s="54">
        <v>2943.2699999999995</v>
      </c>
      <c r="CU72" s="54">
        <v>331.69999999999936</v>
      </c>
      <c r="CV72" s="54">
        <v>1414.9699999999993</v>
      </c>
      <c r="CW72" s="54">
        <v>1510.9999999999993</v>
      </c>
      <c r="CX72" s="54">
        <v>30274.93</v>
      </c>
      <c r="CY72" s="54">
        <v>5806.110000000001</v>
      </c>
      <c r="CZ72" s="54">
        <v>9.094947017729282E-13</v>
      </c>
      <c r="DA72" s="54">
        <v>9.094947017729282E-13</v>
      </c>
      <c r="DB72" s="54">
        <v>9.094947017729282E-13</v>
      </c>
      <c r="DC72" s="54">
        <v>9.094947017729282E-13</v>
      </c>
      <c r="DD72" s="54">
        <v>9.094947017729282E-13</v>
      </c>
      <c r="DE72" s="54">
        <v>9.094947017729282E-13</v>
      </c>
      <c r="DF72" s="54">
        <v>9.094947017729282E-13</v>
      </c>
      <c r="DG72" s="54">
        <v>9.094947017729282E-13</v>
      </c>
      <c r="DH72" s="54">
        <v>9.094947017729282E-13</v>
      </c>
      <c r="DI72" s="54">
        <v>9.094947017729282E-13</v>
      </c>
      <c r="DJ72" s="54">
        <v>9.094947017729282E-13</v>
      </c>
      <c r="DK72" s="54">
        <v>9.094947017729282E-13</v>
      </c>
      <c r="DL72" s="54">
        <v>9.094947017729282E-13</v>
      </c>
      <c r="DM72" s="54">
        <v>9.094947017729282E-13</v>
      </c>
      <c r="DN72" s="54">
        <v>9.094947017729282E-13</v>
      </c>
      <c r="DO72" s="54">
        <v>9.094947017729282E-13</v>
      </c>
      <c r="DP72" s="54">
        <v>9.094947017729282E-13</v>
      </c>
      <c r="DQ72" s="54">
        <v>9.094947017729282E-13</v>
      </c>
      <c r="DR72" s="54">
        <v>9.094947017729282E-13</v>
      </c>
      <c r="DS72" s="54">
        <v>9.094947017729282E-13</v>
      </c>
      <c r="DT72" s="54">
        <v>9.094947017729282E-13</v>
      </c>
      <c r="DU72" s="54">
        <v>9.094947017729282E-13</v>
      </c>
      <c r="DV72" s="54">
        <v>9.094947017729282E-13</v>
      </c>
      <c r="DW72" s="54">
        <v>9.094947017729282E-13</v>
      </c>
      <c r="DX72" s="54">
        <v>9.094947017729282E-13</v>
      </c>
      <c r="DY72" s="54">
        <v>9.094947017729282E-13</v>
      </c>
      <c r="DZ72" s="54">
        <v>9.094947017729282E-13</v>
      </c>
      <c r="EA72" s="54">
        <v>9.094947017729282E-13</v>
      </c>
      <c r="EB72" s="54">
        <v>9.094947017729282E-13</v>
      </c>
      <c r="EC72" s="54">
        <v>9.094947017729282E-13</v>
      </c>
      <c r="ED72" s="54">
        <v>9.094947017729282E-13</v>
      </c>
      <c r="EE72" s="54">
        <v>9.094947017729282E-13</v>
      </c>
      <c r="EF72" s="54">
        <v>9.094947017729282E-13</v>
      </c>
      <c r="EG72" s="54">
        <v>9.094947017729282E-13</v>
      </c>
      <c r="EH72" s="54">
        <v>9.094947017729282E-13</v>
      </c>
      <c r="EI72" s="54">
        <v>9.094947017729282E-13</v>
      </c>
      <c r="EJ72" s="54">
        <v>9.094947017729282E-13</v>
      </c>
      <c r="EK72" s="54">
        <v>9.094947017729282E-13</v>
      </c>
      <c r="EL72" s="54">
        <v>9.094947017729282E-13</v>
      </c>
      <c r="EM72" s="54">
        <v>9.094947017729282E-13</v>
      </c>
      <c r="EN72" s="54">
        <v>9.094947017729282E-13</v>
      </c>
      <c r="EO72" s="54">
        <v>9.094947017729282E-13</v>
      </c>
      <c r="EP72" s="54">
        <v>9.094947017729282E-13</v>
      </c>
      <c r="EQ72" s="54">
        <v>9.094947017729282E-13</v>
      </c>
      <c r="ER72" s="54">
        <v>9.094947017729282E-13</v>
      </c>
    </row>
    <row r="73" spans="1:148" ht="16">
      <c r="A73" s="44" t="s">
        <v>70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4">
        <v>0</v>
      </c>
      <c r="BW73" s="54">
        <v>55.2</v>
      </c>
      <c r="BX73" s="54">
        <v>776.2</v>
      </c>
      <c r="BY73" s="54">
        <v>2736.77</v>
      </c>
      <c r="BZ73" s="54">
        <v>11606.94</v>
      </c>
      <c r="CA73" s="54">
        <v>4038.370000000001</v>
      </c>
      <c r="CB73" s="54">
        <v>590.5000000000009</v>
      </c>
      <c r="CC73" s="54">
        <v>1789.3700000000008</v>
      </c>
      <c r="CD73" s="54">
        <v>9.094947017729282E-13</v>
      </c>
      <c r="CE73" s="54">
        <v>3463.630000000001</v>
      </c>
      <c r="CF73" s="54">
        <v>3850.930000000001</v>
      </c>
      <c r="CG73" s="54">
        <v>1.3642420526593924E-12</v>
      </c>
      <c r="CH73" s="54">
        <v>43.26000000000136</v>
      </c>
      <c r="CI73" s="54">
        <v>743.2600000000014</v>
      </c>
      <c r="CJ73" s="54">
        <v>89.56000000000131</v>
      </c>
      <c r="CK73" s="54">
        <v>79.46000000000132</v>
      </c>
      <c r="CL73" s="54">
        <v>2240.6900000000014</v>
      </c>
      <c r="CM73" s="54">
        <v>326.5600000000013</v>
      </c>
      <c r="CN73" s="54">
        <v>500.0000000000013</v>
      </c>
      <c r="CO73" s="54">
        <v>500.0000000000013</v>
      </c>
      <c r="CP73" s="54">
        <v>1.3073986337985843E-12</v>
      </c>
      <c r="CQ73" s="54">
        <v>3608.2800000000016</v>
      </c>
      <c r="CR73" s="54">
        <v>1.3642420526593924E-12</v>
      </c>
      <c r="CS73" s="54">
        <v>1755.3000000000013</v>
      </c>
      <c r="CT73" s="54">
        <v>1092.8400000000013</v>
      </c>
      <c r="CU73" s="54">
        <v>6801.280000000001</v>
      </c>
      <c r="CV73" s="54">
        <v>4050.040000000001</v>
      </c>
      <c r="CW73" s="54">
        <v>820.0600000000009</v>
      </c>
      <c r="CX73" s="54">
        <v>31275.260000000002</v>
      </c>
      <c r="CY73" s="54">
        <v>3.637978807091713E-12</v>
      </c>
      <c r="CZ73" s="54">
        <v>3.637978807091713E-12</v>
      </c>
      <c r="DA73" s="54">
        <v>3.637978807091713E-12</v>
      </c>
      <c r="DB73" s="54">
        <v>3.637978807091713E-12</v>
      </c>
      <c r="DC73" s="54">
        <v>3.637978807091713E-12</v>
      </c>
      <c r="DD73" s="54">
        <v>3.637978807091713E-12</v>
      </c>
      <c r="DE73" s="54">
        <v>3.637978807091713E-12</v>
      </c>
      <c r="DF73" s="54">
        <v>3.637978807091713E-12</v>
      </c>
      <c r="DG73" s="54">
        <v>3.637978807091713E-12</v>
      </c>
      <c r="DH73" s="54">
        <v>3.637978807091713E-12</v>
      </c>
      <c r="DI73" s="54">
        <v>3.637978807091713E-12</v>
      </c>
      <c r="DJ73" s="54">
        <v>3.637978807091713E-12</v>
      </c>
      <c r="DK73" s="54">
        <v>3.637978807091713E-12</v>
      </c>
      <c r="DL73" s="54">
        <v>3.637978807091713E-12</v>
      </c>
      <c r="DM73" s="54">
        <v>3.637978807091713E-12</v>
      </c>
      <c r="DN73" s="54">
        <v>3.637978807091713E-12</v>
      </c>
      <c r="DO73" s="54">
        <v>3.637978807091713E-12</v>
      </c>
      <c r="DP73" s="54">
        <v>3.637978807091713E-12</v>
      </c>
      <c r="DQ73" s="54">
        <v>3.637978807091713E-12</v>
      </c>
      <c r="DR73" s="54">
        <v>3.637978807091713E-12</v>
      </c>
      <c r="DS73" s="54">
        <v>3.637978807091713E-12</v>
      </c>
      <c r="DT73" s="54">
        <v>3.637978807091713E-12</v>
      </c>
      <c r="DU73" s="54">
        <v>3.637978807091713E-12</v>
      </c>
      <c r="DV73" s="54">
        <v>3.637978807091713E-12</v>
      </c>
      <c r="DW73" s="54">
        <v>3.637978807091713E-12</v>
      </c>
      <c r="DX73" s="54">
        <v>3.637978807091713E-12</v>
      </c>
      <c r="DY73" s="54">
        <v>3.637978807091713E-12</v>
      </c>
      <c r="DZ73" s="54">
        <v>3.637978807091713E-12</v>
      </c>
      <c r="EA73" s="54">
        <v>3.637978807091713E-12</v>
      </c>
      <c r="EB73" s="54">
        <v>3.637978807091713E-12</v>
      </c>
      <c r="EC73" s="54">
        <v>3.637978807091713E-12</v>
      </c>
      <c r="ED73" s="54">
        <v>3.637978807091713E-12</v>
      </c>
      <c r="EE73" s="54">
        <v>3.637978807091713E-12</v>
      </c>
      <c r="EF73" s="54">
        <v>3.637978807091713E-12</v>
      </c>
      <c r="EG73" s="54">
        <v>3.637978807091713E-12</v>
      </c>
      <c r="EH73" s="54">
        <v>3.637978807091713E-12</v>
      </c>
      <c r="EI73" s="54">
        <v>3.637978807091713E-12</v>
      </c>
      <c r="EJ73" s="54">
        <v>3.637978807091713E-12</v>
      </c>
      <c r="EK73" s="54">
        <v>3.637978807091713E-12</v>
      </c>
      <c r="EL73" s="54">
        <v>3.637978807091713E-12</v>
      </c>
      <c r="EM73" s="54">
        <v>3.637978807091713E-12</v>
      </c>
      <c r="EN73" s="54">
        <v>3.637978807091713E-12</v>
      </c>
      <c r="EO73" s="54">
        <v>3.637978807091713E-12</v>
      </c>
      <c r="EP73" s="54">
        <v>3.637978807091713E-12</v>
      </c>
      <c r="EQ73" s="54">
        <v>3.637978807091713E-12</v>
      </c>
      <c r="ER73" s="54">
        <v>3.637978807091713E-12</v>
      </c>
    </row>
    <row r="74" spans="1:148" ht="16">
      <c r="A74" s="44" t="s">
        <v>71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4">
        <v>0</v>
      </c>
      <c r="CT74" s="54">
        <v>2076.24</v>
      </c>
      <c r="CU74" s="54">
        <v>530.1899999999998</v>
      </c>
      <c r="CV74" s="54">
        <v>1861.4799999999998</v>
      </c>
      <c r="CW74" s="54">
        <v>1920.5599999999997</v>
      </c>
      <c r="CX74" s="54">
        <v>353.64999999999964</v>
      </c>
      <c r="CY74" s="54">
        <v>1560.9899999999996</v>
      </c>
      <c r="CZ74" s="54">
        <v>1622.4299999999996</v>
      </c>
      <c r="DA74" s="54">
        <v>703.8499999999996</v>
      </c>
      <c r="DB74" s="54">
        <v>735.9699999999996</v>
      </c>
      <c r="DC74" s="54">
        <v>2386.6699999999996</v>
      </c>
      <c r="DD74" s="54">
        <v>528.7899999999995</v>
      </c>
      <c r="DE74" s="54">
        <v>1082.2799999999995</v>
      </c>
      <c r="DF74" s="54">
        <v>1184.1399999999994</v>
      </c>
      <c r="DG74" s="54">
        <v>861.5099999999994</v>
      </c>
      <c r="DH74" s="54">
        <v>877.1799999999994</v>
      </c>
      <c r="DI74" s="54">
        <v>691.4499999999994</v>
      </c>
      <c r="DJ74" s="54">
        <v>1055.2799999999993</v>
      </c>
      <c r="DK74" s="54">
        <v>404.1499999999993</v>
      </c>
      <c r="DL74" s="54">
        <v>524.3599999999993</v>
      </c>
      <c r="DM74" s="54">
        <v>694.7999999999993</v>
      </c>
      <c r="DN74" s="54">
        <v>6336.719999999999</v>
      </c>
      <c r="DO74" s="54">
        <v>3631.5799999999995</v>
      </c>
      <c r="DP74" s="54">
        <v>8682.279999999999</v>
      </c>
      <c r="DQ74" s="54">
        <v>8930.999999999998</v>
      </c>
      <c r="DR74" s="54">
        <v>6561.269999999999</v>
      </c>
      <c r="DS74" s="54">
        <v>9011.88</v>
      </c>
      <c r="DT74" s="54">
        <v>8587.929999999998</v>
      </c>
      <c r="DU74" s="54">
        <v>9101.249999999998</v>
      </c>
      <c r="DV74" s="54">
        <v>8943.079999999998</v>
      </c>
      <c r="DW74" s="54">
        <v>9064.189999999999</v>
      </c>
      <c r="DX74" s="54">
        <v>8857.539999999999</v>
      </c>
      <c r="DY74" s="54">
        <v>15216.71</v>
      </c>
      <c r="DZ74" s="54">
        <v>15810.939999999999</v>
      </c>
      <c r="EA74" s="54">
        <v>15352.96</v>
      </c>
      <c r="EB74" s="54">
        <v>14981.189999999999</v>
      </c>
      <c r="EC74" s="54">
        <v>15394.449999999999</v>
      </c>
      <c r="ED74" s="54">
        <v>14263.989999999998</v>
      </c>
      <c r="EE74" s="54">
        <v>13899.999999999998</v>
      </c>
      <c r="EF74" s="54">
        <v>13634.949999999999</v>
      </c>
      <c r="EG74" s="54">
        <v>14006.279999999999</v>
      </c>
      <c r="EH74" s="54">
        <v>13061.07</v>
      </c>
      <c r="EI74" s="54">
        <v>12771.99</v>
      </c>
      <c r="EJ74" s="54">
        <v>12531.59</v>
      </c>
      <c r="EK74" s="54">
        <v>12337.17</v>
      </c>
      <c r="EL74" s="54">
        <v>12673.8</v>
      </c>
      <c r="EM74" s="54">
        <v>13050.65</v>
      </c>
      <c r="EN74" s="54">
        <v>13415.51</v>
      </c>
      <c r="EO74" s="54">
        <v>13210.9</v>
      </c>
      <c r="EP74" s="54">
        <v>13010.64</v>
      </c>
      <c r="EQ74" s="54">
        <v>13010.64</v>
      </c>
      <c r="ER74" s="54">
        <v>13010.64</v>
      </c>
    </row>
    <row r="75" spans="1:148" ht="16">
      <c r="A75" s="44" t="s">
        <v>72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4">
        <v>0</v>
      </c>
      <c r="CU75" s="54">
        <v>0</v>
      </c>
      <c r="CV75" s="54">
        <v>0</v>
      </c>
      <c r="CW75" s="54">
        <v>0</v>
      </c>
      <c r="CX75" s="54">
        <v>0</v>
      </c>
      <c r="CY75" s="54">
        <v>0</v>
      </c>
      <c r="CZ75" s="54">
        <v>6568.25</v>
      </c>
      <c r="DA75" s="54">
        <v>1039.8000000000002</v>
      </c>
      <c r="DB75" s="54">
        <v>14697.009999999998</v>
      </c>
      <c r="DC75" s="54">
        <v>26719.339999999997</v>
      </c>
      <c r="DD75" s="54">
        <v>69.99999999999636</v>
      </c>
      <c r="DE75" s="54">
        <v>20258.169999999995</v>
      </c>
      <c r="DF75" s="54">
        <v>27126.069999999992</v>
      </c>
      <c r="DG75" s="54">
        <v>33966.77999999999</v>
      </c>
      <c r="DH75" s="54">
        <v>36794.17999999999</v>
      </c>
      <c r="DI75" s="54">
        <v>33448.30999999999</v>
      </c>
      <c r="DJ75" s="54">
        <v>48594.88999999999</v>
      </c>
      <c r="DK75" s="54">
        <v>64905.31999999999</v>
      </c>
      <c r="DL75" s="54">
        <v>65024.77999999999</v>
      </c>
      <c r="DM75" s="54">
        <v>64850.15999999999</v>
      </c>
      <c r="DN75" s="54">
        <v>64196.98999999999</v>
      </c>
      <c r="DO75" s="54">
        <v>63505.94999999999</v>
      </c>
      <c r="DP75" s="54">
        <v>62896.47999999999</v>
      </c>
      <c r="DQ75" s="54">
        <v>62219.62999999999</v>
      </c>
      <c r="DR75" s="54">
        <v>61823.10999999999</v>
      </c>
      <c r="DS75" s="54">
        <v>61197.049999999996</v>
      </c>
      <c r="DT75" s="54">
        <v>60542.299999999996</v>
      </c>
      <c r="DU75" s="54">
        <v>59989.28</v>
      </c>
      <c r="DV75" s="54">
        <v>61045.4</v>
      </c>
      <c r="DW75" s="54">
        <v>62195.32</v>
      </c>
      <c r="DX75" s="54">
        <v>63290.28</v>
      </c>
      <c r="DY75" s="54">
        <v>62282.46</v>
      </c>
      <c r="DZ75" s="54">
        <v>62388.35</v>
      </c>
      <c r="EA75" s="54">
        <v>62491.0</v>
      </c>
      <c r="EB75" s="54">
        <v>62491.0</v>
      </c>
      <c r="EC75" s="54">
        <v>62491.0</v>
      </c>
      <c r="ED75" s="54">
        <v>56241.9</v>
      </c>
      <c r="EE75" s="54">
        <v>49992.8</v>
      </c>
      <c r="EF75" s="54">
        <v>43743.700000000004</v>
      </c>
      <c r="EG75" s="54">
        <v>43743.700000000004</v>
      </c>
      <c r="EH75" s="54">
        <v>43743.700000000004</v>
      </c>
      <c r="EI75" s="54">
        <v>7.275957614183426E-12</v>
      </c>
      <c r="EJ75" s="54">
        <v>7.275957614183426E-12</v>
      </c>
      <c r="EK75" s="54">
        <v>7.275957614183426E-12</v>
      </c>
      <c r="EL75" s="54">
        <v>7.275957614183426E-12</v>
      </c>
      <c r="EM75" s="54">
        <v>7.275957614183426E-12</v>
      </c>
      <c r="EN75" s="54">
        <v>7.275957614183426E-12</v>
      </c>
      <c r="EO75" s="54">
        <v>7.275957614183426E-12</v>
      </c>
      <c r="EP75" s="54">
        <v>7.275957614183426E-12</v>
      </c>
      <c r="EQ75" s="54">
        <v>7.275957614183426E-12</v>
      </c>
      <c r="ER75" s="54">
        <v>7.275957614183426E-12</v>
      </c>
    </row>
    <row r="76" spans="1:148" ht="16">
      <c r="A76" s="44" t="s">
        <v>73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4">
        <v>0</v>
      </c>
      <c r="CW76" s="54">
        <v>11.34</v>
      </c>
      <c r="CX76" s="54">
        <v>10959.35</v>
      </c>
      <c r="CY76" s="54">
        <v>409.59000000000015</v>
      </c>
      <c r="CZ76" s="54">
        <v>1601.5500000000002</v>
      </c>
      <c r="DA76" s="54">
        <v>2286.88</v>
      </c>
      <c r="DB76" s="54">
        <v>3890.86</v>
      </c>
      <c r="DC76" s="54">
        <v>9169.73</v>
      </c>
      <c r="DD76" s="54">
        <v>77.86999999999898</v>
      </c>
      <c r="DE76" s="54">
        <v>7114.469999999999</v>
      </c>
      <c r="DF76" s="54">
        <v>15036.869999999999</v>
      </c>
      <c r="DG76" s="54">
        <v>18303.39</v>
      </c>
      <c r="DH76" s="54">
        <v>15717.939999999999</v>
      </c>
      <c r="DI76" s="54">
        <v>14903.71</v>
      </c>
      <c r="DJ76" s="54">
        <v>17676.92</v>
      </c>
      <c r="DK76" s="54">
        <v>18402.76</v>
      </c>
      <c r="DL76" s="54">
        <v>18211.0</v>
      </c>
      <c r="DM76" s="54">
        <v>12255.95</v>
      </c>
      <c r="DN76" s="54">
        <v>12361.92</v>
      </c>
      <c r="DO76" s="54">
        <v>12578.61</v>
      </c>
      <c r="DP76" s="54">
        <v>12759.7</v>
      </c>
      <c r="DQ76" s="54">
        <v>12813.58</v>
      </c>
      <c r="DR76" s="54">
        <v>0</v>
      </c>
      <c r="DS76" s="54">
        <v>636.35</v>
      </c>
      <c r="DT76" s="54">
        <v>267.04</v>
      </c>
      <c r="DU76" s="54">
        <v>444.92</v>
      </c>
      <c r="DV76" s="54">
        <v>726.23</v>
      </c>
      <c r="DW76" s="54">
        <v>63.00999999999999</v>
      </c>
      <c r="DX76" s="54">
        <v>822.5</v>
      </c>
      <c r="DY76" s="54">
        <v>1022.29</v>
      </c>
      <c r="DZ76" s="54">
        <v>1042.61</v>
      </c>
      <c r="EA76" s="54">
        <v>0</v>
      </c>
      <c r="EB76" s="54">
        <v>267.16</v>
      </c>
      <c r="EC76" s="54">
        <v>59.57000000000002</v>
      </c>
      <c r="ED76" s="54">
        <v>318.81000000000006</v>
      </c>
      <c r="EE76" s="54">
        <v>5.684341886080802E-14</v>
      </c>
      <c r="EF76" s="54">
        <v>241.87000000000006</v>
      </c>
      <c r="EG76" s="54">
        <v>410.88000000000005</v>
      </c>
      <c r="EH76" s="54">
        <v>777.58</v>
      </c>
      <c r="EI76" s="54">
        <v>371.38000000000005</v>
      </c>
      <c r="EJ76" s="54">
        <v>172.88000000000005</v>
      </c>
      <c r="EK76" s="54">
        <v>200.00000000000006</v>
      </c>
      <c r="EL76" s="54">
        <v>43.98000000000005</v>
      </c>
      <c r="EM76" s="54">
        <v>683.32</v>
      </c>
      <c r="EN76" s="54">
        <v>517.9200000000001</v>
      </c>
      <c r="EO76" s="54">
        <v>448.1500000000001</v>
      </c>
      <c r="EP76" s="54">
        <v>119.12000000000012</v>
      </c>
      <c r="EQ76" s="54">
        <v>119.12000000000012</v>
      </c>
      <c r="ER76" s="54">
        <v>119.12000000000012</v>
      </c>
    </row>
    <row r="77" spans="1:148" ht="16">
      <c r="A77" s="44" t="s">
        <v>74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4">
        <v>0</v>
      </c>
      <c r="CU77" s="54">
        <v>0</v>
      </c>
      <c r="CV77" s="54">
        <v>0</v>
      </c>
      <c r="CW77" s="54">
        <v>0</v>
      </c>
      <c r="CX77" s="54">
        <v>0</v>
      </c>
      <c r="CY77" s="54">
        <v>1206.23</v>
      </c>
      <c r="CZ77" s="54">
        <v>341.9200000000001</v>
      </c>
      <c r="DA77" s="54">
        <v>5079.8</v>
      </c>
      <c r="DB77" s="54">
        <v>6513.85</v>
      </c>
      <c r="DC77" s="54">
        <v>26752.629999999997</v>
      </c>
      <c r="DD77" s="54">
        <v>24837.339999999997</v>
      </c>
      <c r="DE77" s="54">
        <v>32497.459999999995</v>
      </c>
      <c r="DF77" s="54">
        <v>29459.049999999996</v>
      </c>
      <c r="DG77" s="54">
        <v>30419.169999999995</v>
      </c>
      <c r="DH77" s="54">
        <v>27131.609999999993</v>
      </c>
      <c r="DI77" s="54">
        <v>33207.549999999996</v>
      </c>
      <c r="DJ77" s="54">
        <v>33876.99</v>
      </c>
      <c r="DK77" s="54">
        <v>34276.979999999996</v>
      </c>
      <c r="DL77" s="54">
        <v>33919.399999999994</v>
      </c>
      <c r="DM77" s="54">
        <v>33605.119999999995</v>
      </c>
      <c r="DN77" s="54">
        <v>32511.119999999995</v>
      </c>
      <c r="DO77" s="54">
        <v>31427.119999999995</v>
      </c>
      <c r="DP77" s="54">
        <v>30379.119999999995</v>
      </c>
      <c r="DQ77" s="54">
        <v>29283.119999999995</v>
      </c>
      <c r="DR77" s="54">
        <v>28256.119999999995</v>
      </c>
      <c r="DS77" s="54">
        <v>27214.119999999995</v>
      </c>
      <c r="DT77" s="54">
        <v>26181.119999999995</v>
      </c>
      <c r="DU77" s="54">
        <v>25206.119999999995</v>
      </c>
      <c r="DV77" s="54">
        <v>24195.119999999995</v>
      </c>
      <c r="DW77" s="54">
        <v>-3.637978807091713E-12</v>
      </c>
      <c r="DX77" s="54">
        <v>-3.637978807091713E-12</v>
      </c>
      <c r="DY77" s="54">
        <v>-3.637978807091713E-12</v>
      </c>
      <c r="DZ77" s="54">
        <v>-3.637978807091713E-12</v>
      </c>
      <c r="EA77" s="54">
        <v>-3.637978807091713E-12</v>
      </c>
      <c r="EB77" s="54">
        <v>-3.637978807091713E-12</v>
      </c>
      <c r="EC77" s="54">
        <v>-3.637978807091713E-12</v>
      </c>
      <c r="ED77" s="54">
        <v>-3.637978807091713E-12</v>
      </c>
      <c r="EE77" s="54">
        <v>-3.637978807091713E-12</v>
      </c>
      <c r="EF77" s="54">
        <v>-3.637978807091713E-12</v>
      </c>
      <c r="EG77" s="54">
        <v>-3.637978807091713E-12</v>
      </c>
      <c r="EH77" s="54">
        <v>-3.637978807091713E-12</v>
      </c>
      <c r="EI77" s="54">
        <v>-3.637978807091713E-12</v>
      </c>
      <c r="EJ77" s="54">
        <v>-3.637978807091713E-12</v>
      </c>
      <c r="EK77" s="54">
        <v>-3.637978807091713E-12</v>
      </c>
      <c r="EL77" s="54">
        <v>-3.637978807091713E-12</v>
      </c>
      <c r="EM77" s="54">
        <v>-3.637978807091713E-12</v>
      </c>
      <c r="EN77" s="54">
        <v>-3.637978807091713E-12</v>
      </c>
      <c r="EO77" s="54">
        <v>-3.637978807091713E-12</v>
      </c>
      <c r="EP77" s="54">
        <v>-3.637978807091713E-12</v>
      </c>
      <c r="EQ77" s="54">
        <v>-3.637978807091713E-12</v>
      </c>
      <c r="ER77" s="54">
        <v>-3.637978807091713E-12</v>
      </c>
    </row>
    <row r="78" spans="1:148" ht="16">
      <c r="A78" s="44" t="s">
        <v>75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4">
        <v>138.85</v>
      </c>
      <c r="EM78" s="54">
        <v>3712.85</v>
      </c>
      <c r="EN78" s="54">
        <v>5403.73</v>
      </c>
      <c r="EO78" s="54">
        <v>4213.58</v>
      </c>
      <c r="EP78" s="54">
        <v>3796.0099999999998</v>
      </c>
      <c r="EQ78" s="54">
        <v>3796.0099999999998</v>
      </c>
      <c r="ER78" s="54">
        <v>3796.0099999999998</v>
      </c>
    </row>
    <row r="79" spans="1:148" ht="16">
      <c r="A79" s="47" t="s">
        <v>76</v>
      </c>
      <c r="B79" s="55">
        <f>B63+B70+B71+B72+B73+B74+B75+B76+B77+B78</f>
        <v>8473.67</v>
      </c>
      <c r="C79" s="55">
        <f>C63+C70+C71+C72+C73+C74+C75+C76+C77+C78</f>
        <v>7608.370000000001</v>
      </c>
      <c r="D79" s="55">
        <f>D63+D70+D71+D72+D73+D74+D75+D76+D77+D78</f>
        <v>4795.76</v>
      </c>
      <c r="E79" s="55">
        <f>E63+E70+E71+E72+E73+E74+E75+E76+E77+E78</f>
        <v>4611.56</v>
      </c>
      <c r="F79" s="55">
        <f>F63+F70+F71+F72+F73+F74+F75+F76+F77+F78</f>
        <v>4231.6900000000005</v>
      </c>
      <c r="G79" s="55">
        <f>G63+G70+G71+G72+G73+G74+G75+G76+G77+G78</f>
        <v>2890.54</v>
      </c>
      <c r="H79" s="55">
        <f>H63+H70+H71+H72+H73+H74+H75+H76+H77+H78</f>
        <v>4959.77</v>
      </c>
      <c r="I79" s="55">
        <f>I63+I70+I71+I72+I73+I74+I75+I76+I77+I78</f>
        <v>3028.7300000000005</v>
      </c>
      <c r="J79" s="55">
        <f>J63+J70+J71+J72+J73+J74+J75+J76+J77+J78</f>
        <v>4302.870000000001</v>
      </c>
      <c r="K79" s="55">
        <f>K63+K70+K71+K72+K73+K74+K75+K76+K77+K78</f>
        <v>3968.1800000000003</v>
      </c>
      <c r="L79" s="55">
        <f>L63+L70+L71+L72+L73+L74+L75+L76+L77+L78</f>
        <v>3950.28</v>
      </c>
      <c r="M79" s="55">
        <f>M63+M70+M71+M72+M73+M74+M75+M76+M77+M78</f>
        <v>3411.82</v>
      </c>
      <c r="N79" s="55">
        <f>N63+N70+N71+N72+N73+N74+N75+N76+N77+N78</f>
        <v>4511.030000000001</v>
      </c>
      <c r="O79" s="55">
        <f>O63+O70+O71+O72+O73+O74+O75+O76+O77+O78</f>
        <v>4657.81</v>
      </c>
      <c r="P79" s="55">
        <f>P63+P70+P71+P72+P73+P74+P75+P76+P77+P78</f>
        <v>4345.84</v>
      </c>
      <c r="Q79" s="55">
        <f>Q63+Q70+Q71+Q72+Q73+Q74+Q75+Q76+Q77+Q78</f>
        <v>2890.54</v>
      </c>
      <c r="R79" s="55">
        <f>R63+R70+R71+R72+R73+R74+R75+R76+R77+R78</f>
        <v>2996.3100000000004</v>
      </c>
      <c r="S79" s="55">
        <f>S63+S70+S71+S72+S73+S74+S75+S76+S77+S78</f>
        <v>2729.92</v>
      </c>
      <c r="T79" s="55">
        <f>T63+T70+T71+T72+T73+T74+T75+T76+T77+T78</f>
        <v>2566.2000000000007</v>
      </c>
      <c r="U79" s="55">
        <f>U63+U70+U71+U72+U73+U74+U75+U76+U77+U78</f>
        <v>2396.34</v>
      </c>
      <c r="V79" s="55">
        <f>V63+V70+V71+V72+V73+V74+V75+V76+V77+V78</f>
        <v>2220.5</v>
      </c>
      <c r="W79" s="55">
        <f>W63+W70+W71+W72+W73+W74+W75+W76+W77+W78</f>
        <v>2042.2100000000003</v>
      </c>
      <c r="X79" s="55">
        <f>X63+X70+X71+X72+X73+X74+X75+X76+X77+X78</f>
        <v>1858.5300000000002</v>
      </c>
      <c r="Y79" s="55">
        <f>Y63+Y70+Y71+Y72+Y73+Y74+Y75+Y76+Y77+Y78</f>
        <v>1671.7700000000002</v>
      </c>
      <c r="Z79" s="55">
        <f>Z63+Z70+Z71+Z72+Z73+Z74+Z75+Z76+Z77+Z78</f>
        <v>2.2737367544323206E-13</v>
      </c>
      <c r="AA79" s="55">
        <f>AA63+AA70+AA71+AA72+AA73+AA74+AA75+AA76+AA77+AA78</f>
        <v>2.2737367544323206E-13</v>
      </c>
      <c r="AB79" s="55">
        <f>AB63+AB70+AB71+AB72+AB73+AB74+AB75+AB76+AB77+AB78</f>
        <v>2.2737367544323206E-13</v>
      </c>
      <c r="AC79" s="55">
        <f>AC63+AC70+AC71+AC72+AC73+AC74+AC75+AC76+AC77+AC78</f>
        <v>2.2737367544323206E-13</v>
      </c>
      <c r="AD79" s="55">
        <f>AD63+AD70+AD71+AD72+AD73+AD74+AD75+AD76+AD77+AD78</f>
        <v>2.2737367544323206E-13</v>
      </c>
      <c r="AE79" s="55">
        <f>AE63+AE70+AE71+AE72+AE73+AE74+AE75+AE76+AE77+AE78</f>
        <v>2.2737367544323206E-13</v>
      </c>
      <c r="AF79" s="55">
        <f>AF63+AF70+AF71+AF72+AF73+AF74+AF75+AF76+AF77+AF78</f>
        <v>2.2737367544323206E-13</v>
      </c>
      <c r="AG79" s="55">
        <f>AG63+AG70+AG71+AG72+AG73+AG74+AG75+AG76+AG77+AG78</f>
        <v>2.2737367544323206E-13</v>
      </c>
      <c r="AH79" s="55">
        <f>AH63+AH70+AH71+AH72+AH73+AH74+AH75+AH76+AH77+AH78</f>
        <v>2.2737367544323206E-13</v>
      </c>
      <c r="AI79" s="55">
        <f>AI63+AI70+AI71+AI72+AI73+AI74+AI75+AI76+AI77+AI78</f>
        <v>2.2737367544323206E-13</v>
      </c>
      <c r="AJ79" s="55">
        <f>AJ63+AJ70+AJ71+AJ72+AJ73+AJ74+AJ75+AJ76+AJ77+AJ78</f>
        <v>5594.43</v>
      </c>
      <c r="AK79" s="55">
        <f>AK63+AK70+AK71+AK72+AK73+AK74+AK75+AK76+AK77+AK78</f>
        <v>3777.25</v>
      </c>
      <c r="AL79" s="55">
        <f>AL63+AL70+AL71+AL72+AL73+AL74+AL75+AL76+AL77+AL78</f>
        <v>4000.1400000000003</v>
      </c>
      <c r="AM79" s="55">
        <f>AM63+AM70+AM71+AM72+AM73+AM74+AM75+AM76+AM77+AM78</f>
        <v>7772.24</v>
      </c>
      <c r="AN79" s="55">
        <f>AN63+AN70+AN71+AN72+AN73+AN74+AN75+AN76+AN77+AN78</f>
        <v>8050.5199999999995</v>
      </c>
      <c r="AO79" s="55">
        <f>AO63+AO70+AO71+AO72+AO73+AO74+AO75+AO76+AO77+AO78</f>
        <v>7258.099999999999</v>
      </c>
      <c r="AP79" s="55">
        <f>AP63+AP70+AP71+AP72+AP73+AP74+AP75+AP76+AP77+AP78</f>
        <v>7415.5599999999995</v>
      </c>
      <c r="AQ79" s="55">
        <f>AQ63+AQ70+AQ71+AQ72+AQ73+AQ74+AQ75+AQ76+AQ77+AQ78</f>
        <v>5304.24</v>
      </c>
      <c r="AR79" s="55">
        <f>AR63+AR70+AR71+AR72+AR73+AR74+AR75+AR76+AR77+AR78</f>
        <v>5629.3099999999995</v>
      </c>
      <c r="AS79" s="55">
        <f>AS63+AS70+AS71+AS72+AS73+AS74+AS75+AS76+AS77+AS78</f>
        <v>5713.089999999999</v>
      </c>
      <c r="AT79" s="55">
        <f>AT63+AT70+AT71+AT72+AT73+AT74+AT75+AT76+AT77+AT78</f>
        <v>2025.7999999999995</v>
      </c>
      <c r="AU79" s="55">
        <f>AU63+AU70+AU71+AU72+AU73+AU74+AU75+AU76+AU77+AU78</f>
        <v>6731.039999999999</v>
      </c>
      <c r="AV79" s="55">
        <f>AV63+AV70+AV71+AV72+AV73+AV74+AV75+AV76+AV77+AV78</f>
        <v>5704.169999999999</v>
      </c>
      <c r="AW79" s="55">
        <f>AW63+AW70+AW71+AW72+AW73+AW74+AW75+AW76+AW77+AW78</f>
        <v>4266.289999999999</v>
      </c>
      <c r="AX79" s="55">
        <f>AX63+AX70+AX71+AX72+AX73+AX74+AX75+AX76+AX77+AX78</f>
        <v>9716.22</v>
      </c>
      <c r="AY79" s="55">
        <f>AY63+AY70+AY71+AY72+AY73+AY74+AY75+AY76+AY77+AY78</f>
        <v>9717.029999999999</v>
      </c>
      <c r="AZ79" s="55">
        <f>AZ63+AZ70+AZ71+AZ72+AZ73+AZ74+AZ75+AZ76+AZ77+AZ78</f>
        <v>14941.699999999999</v>
      </c>
      <c r="BA79" s="55">
        <f>BA63+BA70+BA71+BA72+BA73+BA74+BA75+BA76+BA77+BA78</f>
        <v>11549.259999999998</v>
      </c>
      <c r="BB79" s="55">
        <f>BB63+BB70+BB71+BB72+BB73+BB74+BB75+BB76+BB77+BB78</f>
        <v>13315.8</v>
      </c>
      <c r="BC79" s="55">
        <f>BC63+BC70+BC71+BC72+BC73+BC74+BC75+BC76+BC77+BC78</f>
        <v>9524.169999999998</v>
      </c>
      <c r="BD79" s="55">
        <f>BD63+BD70+BD71+BD72+BD73+BD74+BD75+BD76+BD77+BD78</f>
        <v>12093.689999999999</v>
      </c>
      <c r="BE79" s="55">
        <f>BE63+BE70+BE71+BE72+BE73+BE74+BE75+BE76+BE77+BE78</f>
        <v>10836.239999999998</v>
      </c>
      <c r="BF79" s="55">
        <f>BF63+BF70+BF71+BF72+BF73+BF74+BF75+BF76+BF77+BF78</f>
        <v>18151.79</v>
      </c>
      <c r="BG79" s="55">
        <f>BG63+BG70+BG71+BG72+BG73+BG74+BG75+BG76+BG77+BG78</f>
        <v>17605.579999999998</v>
      </c>
      <c r="BH79" s="55">
        <f>BH63+BH70+BH71+BH72+BH73+BH74+BH75+BH76+BH77+BH78</f>
        <v>8749.18</v>
      </c>
      <c r="BI79" s="55">
        <f>BI63+BI70+BI71+BI72+BI73+BI74+BI75+BI76+BI77+BI78</f>
        <v>7155.35</v>
      </c>
      <c r="BJ79" s="55">
        <f>BJ63+BJ70+BJ71+BJ72+BJ73+BJ74+BJ75+BJ76+BJ77+BJ78</f>
        <v>20850.34</v>
      </c>
      <c r="BK79" s="55">
        <f>BK63+BK70+BK71+BK72+BK73+BK74+BK75+BK76+BK77+BK78</f>
        <v>19182.97</v>
      </c>
      <c r="BL79" s="55">
        <f>BL63+BL70+BL71+BL72+BL73+BL74+BL75+BL76+BL77+BL78</f>
        <v>23948.199999999997</v>
      </c>
      <c r="BM79" s="55">
        <f>BM63+BM70+BM71+BM72+BM73+BM74+BM75+BM76+BM77+BM78</f>
        <v>26738.679999999997</v>
      </c>
      <c r="BN79" s="55">
        <f>BN63+BN70+BN71+BN72+BN73+BN74+BN75+BN76+BN77+BN78</f>
        <v>17738.96</v>
      </c>
      <c r="BO79" s="55">
        <f>BO63+BO70+BO71+BO72+BO73+BO74+BO75+BO76+BO77+BO78</f>
        <v>21941.77</v>
      </c>
      <c r="BP79" s="55">
        <f>BP63+BP70+BP71+BP72+BP73+BP74+BP75+BP76+BP77+BP78</f>
        <v>1945.4399999999985</v>
      </c>
      <c r="BQ79" s="55">
        <f>BQ63+BQ70+BQ71+BQ72+BQ73+BQ74+BQ75+BQ76+BQ77+BQ78</f>
        <v>8687.619999999999</v>
      </c>
      <c r="BR79" s="55">
        <f>BR63+BR70+BR71+BR72+BR73+BR74+BR75+BR76+BR77+BR78</f>
        <v>8917.259999999998</v>
      </c>
      <c r="BS79" s="55">
        <f>BS63+BS70+BS71+BS72+BS73+BS74+BS75+BS76+BS77+BS78</f>
        <v>9876.899999999998</v>
      </c>
      <c r="BT79" s="55">
        <f>BT63+BT70+BT71+BT72+BT73+BT74+BT75+BT76+BT77+BT78</f>
        <v>13316.859999999997</v>
      </c>
      <c r="BU79" s="55">
        <f>BU63+BU70+BU71+BU72+BU73+BU74+BU75+BU76+BU77+BU78</f>
        <v>11508.439999999997</v>
      </c>
      <c r="BV79" s="55">
        <f>BV63+BV70+BV71+BV72+BV73+BV74+BV75+BV76+BV77+BV78</f>
        <v>4418.9599999999955</v>
      </c>
      <c r="BW79" s="55">
        <f>BW63+BW70+BW71+BW72+BW73+BW74+BW75+BW76+BW77+BW78</f>
        <v>22466.879999999997</v>
      </c>
      <c r="BX79" s="55">
        <f>BX63+BX70+BX71+BX72+BX73+BX74+BX75+BX76+BX77+BX78</f>
        <v>24772.979999999996</v>
      </c>
      <c r="BY79" s="55">
        <f>BY63+BY70+BY71+BY72+BY73+BY74+BY75+BY76+BY77+BY78</f>
        <v>2840.8599999999965</v>
      </c>
      <c r="BZ79" s="55">
        <f>BZ63+BZ70+BZ71+BZ72+BZ73+BZ74+BZ75+BZ76+BZ77+BZ78</f>
        <v>22435.07</v>
      </c>
      <c r="CA79" s="55">
        <f>CA63+CA70+CA71+CA72+CA73+CA74+CA75+CA76+CA77+CA78</f>
        <v>15315.499999999998</v>
      </c>
      <c r="CB79" s="55">
        <f>CB63+CB70+CB71+CB72+CB73+CB74+CB75+CB76+CB77+CB78</f>
        <v>14336.829999999998</v>
      </c>
      <c r="CC79" s="55">
        <f>CC63+CC70+CC71+CC72+CC73+CC74+CC75+CC76+CC77+CC78</f>
        <v>2379.859999999996</v>
      </c>
      <c r="CD79" s="55">
        <f>CD63+CD70+CD71+CD72+CD73+CD74+CD75+CD76+CD77+CD78</f>
        <v>314.1599999999961</v>
      </c>
      <c r="CE79" s="55">
        <f>CE63+CE70+CE71+CE72+CE73+CE74+CE75+CE76+CE77+CE78</f>
        <v>17875.499999999996</v>
      </c>
      <c r="CF79" s="55">
        <f>CF63+CF70+CF71+CF72+CF73+CF74+CF75+CF76+CF77+CF78</f>
        <v>5463.979999999995</v>
      </c>
      <c r="CG79" s="55">
        <f>CG63+CG70+CG71+CG72+CG73+CG74+CG75+CG76+CG77+CG78</f>
        <v>7041.269999999995</v>
      </c>
      <c r="CH79" s="55">
        <f>CH63+CH70+CH71+CH72+CH73+CH74+CH75+CH76+CH77+CH78</f>
        <v>18677.96</v>
      </c>
      <c r="CI79" s="55">
        <f>CI63+CI70+CI71+CI72+CI73+CI74+CI75+CI76+CI77+CI78</f>
        <v>23596.509999999995</v>
      </c>
      <c r="CJ79" s="55">
        <f>CJ63+CJ70+CJ71+CJ72+CJ73+CJ74+CJ75+CJ76+CJ77+CJ78</f>
        <v>16619.359999999997</v>
      </c>
      <c r="CK79" s="55">
        <f>CK63+CK70+CK71+CK72+CK73+CK74+CK75+CK76+CK77+CK78</f>
        <v>20441.159999999996</v>
      </c>
      <c r="CL79" s="55">
        <f>CL63+CL70+CL71+CL72+CL73+CL74+CL75+CL76+CL77+CL78</f>
        <v>4691.709999999995</v>
      </c>
      <c r="CM79" s="55">
        <f>CM63+CM70+CM71+CM72+CM73+CM74+CM75+CM76+CM77+CM78</f>
        <v>3808.7599999999943</v>
      </c>
      <c r="CN79" s="55">
        <f>CN63+CN70+CN71+CN72+CN73+CN74+CN75+CN76+CN77+CN78</f>
        <v>7471.079999999994</v>
      </c>
      <c r="CO79" s="55">
        <f>CO63+CO70+CO71+CO72+CO73+CO74+CO75+CO76+CO77+CO78</f>
        <v>21679.149999999994</v>
      </c>
      <c r="CP79" s="55">
        <f>CP63+CP70+CP71+CP72+CP73+CP74+CP75+CP76+CP77+CP78</f>
        <v>2948.0199999999945</v>
      </c>
      <c r="CQ79" s="55">
        <f>CQ63+CQ70+CQ71+CQ72+CQ73+CQ74+CQ75+CQ76+CQ77+CQ78</f>
        <v>43051.27</v>
      </c>
      <c r="CR79" s="55">
        <f>CR63+CR70+CR71+CR72+CR73+CR74+CR75+CR76+CR77+CR78</f>
        <v>83934.18</v>
      </c>
      <c r="CS79" s="55">
        <f>CS63+CS70+CS71+CS72+CS73+CS74+CS75+CS76+CS77+CS78</f>
        <v>66219.9</v>
      </c>
      <c r="CT79" s="55">
        <f>CT63+CT70+CT71+CT72+CT73+CT74+CT75+CT76+CT77+CT78</f>
        <v>125505.9</v>
      </c>
      <c r="CU79" s="55">
        <f>CU63+CU70+CU71+CU72+CU73+CU74+CU75+CU76+CU77+CU78</f>
        <v>173590.29</v>
      </c>
      <c r="CV79" s="55">
        <f>CV63+CV70+CV71+CV72+CV73+CV74+CV75+CV76+CV77+CV78</f>
        <v>87005.21999999999</v>
      </c>
      <c r="CW79" s="55">
        <f>CW63+CW70+CW71+CW72+CW73+CW74+CW75+CW76+CW77+CW78</f>
        <v>117702.65</v>
      </c>
      <c r="CX79" s="55">
        <f>CX63+CX70+CX71+CX72+CX73+CX74+CX75+CX76+CX77+CX78</f>
        <v>148939.96000000002</v>
      </c>
      <c r="CY79" s="55">
        <f>CY63+CY70+CY71+CY72+CY73+CY74+CY75+CY76+CY77+CY78</f>
        <v>40803.61000000001</v>
      </c>
      <c r="CZ79" s="55">
        <f>CZ63+CZ70+CZ71+CZ72+CZ73+CZ74+CZ75+CZ76+CZ77+CZ78</f>
        <v>30955.510000000002</v>
      </c>
      <c r="DA79" s="55">
        <f>DA63+DA70+DA71+DA72+DA73+DA74+DA75+DA76+DA77+DA78</f>
        <v>10547.150000000005</v>
      </c>
      <c r="DB79" s="55">
        <f>DB63+DB70+DB71+DB72+DB73+DB74+DB75+DB76+DB77+DB78</f>
        <v>83919.49</v>
      </c>
      <c r="DC79" s="55">
        <f>DC63+DC70+DC71+DC72+DC73+DC74+DC75+DC76+DC77+DC78</f>
        <v>136763.0</v>
      </c>
      <c r="DD79" s="55">
        <f>DD63+DD70+DD71+DD72+DD73+DD74+DD75+DD76+DD77+DD78</f>
        <v>81753.54</v>
      </c>
      <c r="DE79" s="55">
        <f>DE63+DE70+DE71+DE72+DE73+DE74+DE75+DE76+DE77+DE78</f>
        <v>115900.48</v>
      </c>
      <c r="DF79" s="55">
        <f>DF63+DF70+DF71+DF72+DF73+DF74+DF75+DF76+DF77+DF78</f>
        <v>134614.53999999998</v>
      </c>
      <c r="DG79" s="55">
        <f>DG63+DG70+DG71+DG72+DG73+DG74+DG75+DG76+DG77+DG78</f>
        <v>104992.83</v>
      </c>
      <c r="DH79" s="55">
        <f>DH63+DH70+DH71+DH72+DH73+DH74+DH75+DH76+DH77+DH78</f>
        <v>151323.00999999998</v>
      </c>
      <c r="DI79" s="55">
        <f>DI63+DI70+DI71+DI72+DI73+DI74+DI75+DI76+DI77+DI78</f>
        <v>163231.23999999996</v>
      </c>
      <c r="DJ79" s="55">
        <f>DJ63+DJ70+DJ71+DJ72+DJ73+DJ74+DJ75+DJ76+DJ77+DJ78</f>
        <v>163248.3</v>
      </c>
      <c r="DK79" s="55">
        <f>DK63+DK70+DK71+DK72+DK73+DK74+DK75+DK76+DK77+DK78</f>
        <v>181273.43</v>
      </c>
      <c r="DL79" s="55">
        <f>DL63+DL70+DL71+DL72+DL73+DL74+DL75+DL76+DL77+DL78</f>
        <v>182228.75999999998</v>
      </c>
      <c r="DM79" s="55">
        <f>DM63+DM70+DM71+DM72+DM73+DM74+DM75+DM76+DM77+DM78</f>
        <v>170576.13999999998</v>
      </c>
      <c r="DN79" s="55">
        <f>DN63+DN70+DN71+DN72+DN73+DN74+DN75+DN76+DN77+DN78</f>
        <v>174576.86</v>
      </c>
      <c r="DO79" s="55">
        <f>DO63+DO70+DO71+DO72+DO73+DO74+DO75+DO76+DO77+DO78</f>
        <v>159125.26</v>
      </c>
      <c r="DP79" s="55">
        <f>DP63+DP70+DP71+DP72+DP73+DP74+DP75+DP76+DP77+DP78</f>
        <v>157299.57999999996</v>
      </c>
      <c r="DQ79" s="55">
        <f>DQ63+DQ70+DQ71+DQ72+DQ73+DQ74+DQ75+DQ76+DQ77+DQ78</f>
        <v>155829.33</v>
      </c>
      <c r="DR79" s="55">
        <f>DR63+DR70+DR71+DR72+DR73+DR74+DR75+DR76+DR77+DR78</f>
        <v>128422.5</v>
      </c>
      <c r="DS79" s="55">
        <f>DS63+DS70+DS71+DS72+DS73+DS74+DS75+DS76+DS77+DS78</f>
        <v>129841.4</v>
      </c>
      <c r="DT79" s="55">
        <f>DT63+DT70+DT71+DT72+DT73+DT74+DT75+DT76+DT77+DT78</f>
        <v>127360.38999999998</v>
      </c>
      <c r="DU79" s="55">
        <f>DU63+DU70+DU71+DU72+DU73+DU74+DU75+DU76+DU77+DU78</f>
        <v>126523.56999999999</v>
      </c>
      <c r="DV79" s="55">
        <f>DV63+DV70+DV71+DV72+DV73+DV74+DV75+DV76+DV77+DV78</f>
        <v>126691.83</v>
      </c>
      <c r="DW79" s="55">
        <f>DW63+DW70+DW71+DW72+DW73+DW74+DW75+DW76+DW77+DW78</f>
        <v>103104.52</v>
      </c>
      <c r="DX79" s="55">
        <f>DX63+DX70+DX71+DX72+DX73+DX74+DX75+DX76+DX77+DX78</f>
        <v>99352.32</v>
      </c>
      <c r="DY79" s="55">
        <f>DY63+DY70+DY71+DY72+DY73+DY74+DY75+DY76+DY77+DY78</f>
        <v>104903.46</v>
      </c>
      <c r="DZ79" s="55">
        <f>DZ63+DZ70+DZ71+DZ72+DZ73+DZ74+DZ75+DZ76+DZ77+DZ78</f>
        <v>100223.90000000001</v>
      </c>
      <c r="EA79" s="55">
        <f>EA63+EA70+EA71+EA72+EA73+EA74+EA75+EA76+EA77+EA78</f>
        <v>98825.96</v>
      </c>
      <c r="EB79" s="55">
        <f>EB63+EB70+EB71+EB72+EB73+EB74+EB75+EB76+EB77+EB78</f>
        <v>98721.35</v>
      </c>
      <c r="EC79" s="55">
        <f>EC63+EC70+EC71+EC72+EC73+EC74+EC75+EC76+EC77+EC78</f>
        <v>98183.02000000002</v>
      </c>
      <c r="ED79" s="55">
        <f>ED63+ED70+ED71+ED72+ED73+ED74+ED75+ED76+ED77+ED78</f>
        <v>80194.29000000001</v>
      </c>
      <c r="EE79" s="55">
        <f>EE63+EE70+EE71+EE72+EE73+EE74+EE75+EE76+EE77+EE78</f>
        <v>72408.46</v>
      </c>
      <c r="EF79" s="55">
        <f>EF63+EF70+EF71+EF72+EF73+EF74+EF75+EF76+EF77+EF78</f>
        <v>65282.25</v>
      </c>
      <c r="EG79" s="55">
        <f>EG63+EG70+EG71+EG72+EG73+EG74+EG75+EG76+EG77+EG78</f>
        <v>65822.59000000001</v>
      </c>
      <c r="EH79" s="55">
        <f>EH63+EH70+EH71+EH72+EH73+EH74+EH75+EH76+EH77+EH78</f>
        <v>65244.08</v>
      </c>
      <c r="EI79" s="55">
        <f>EI63+EI70+EI71+EI72+EI73+EI74+EI75+EI76+EI77+EI78</f>
        <v>13143.370000000006</v>
      </c>
      <c r="EJ79" s="55">
        <f>EJ63+EJ70+EJ71+EJ72+EJ73+EJ74+EJ75+EJ76+EJ77+EJ78</f>
        <v>12704.470000000007</v>
      </c>
      <c r="EK79" s="55">
        <f>EK63+EK70+EK71+EK72+EK73+EK74+EK75+EK76+EK77+EK78</f>
        <v>12537.170000000007</v>
      </c>
      <c r="EL79" s="55">
        <f>EL63+EL70+EL71+EL72+EL73+EL74+EL75+EL76+EL77+EL78</f>
        <v>12856.630000000006</v>
      </c>
      <c r="EM79" s="55">
        <f>EM63+EM70+EM71+EM72+EM73+EM74+EM75+EM76+EM77+EM78</f>
        <v>17446.820000000007</v>
      </c>
      <c r="EN79" s="55">
        <f>EN63+EN70+EN71+EN72+EN73+EN74+EN75+EN76+EN77+EN78</f>
        <v>19337.160000000007</v>
      </c>
      <c r="EO79" s="55">
        <f>EO63+EO70+EO71+EO72+EO73+EO74+EO75+EO76+EO77+EO78</f>
        <v>17872.630000000005</v>
      </c>
      <c r="EP79" s="55">
        <f>EP63+EP70+EP71+EP72+EP73+EP74+EP75+EP76+EP77+EP78</f>
        <v>16925.770000000008</v>
      </c>
      <c r="EQ79" s="55">
        <f>EQ63+EQ70+EQ71+EQ72+EQ73+EQ74+EQ75+EQ76+EQ77+EQ78</f>
        <v>16925.770000000008</v>
      </c>
      <c r="ER79" s="55">
        <f>ER63+ER70+ER71+ER72+ER73+ER74+ER75+ER76+ER77+ER78</f>
        <v>16925.770000000008</v>
      </c>
    </row>
    <row r="80" spans="1:148" ht="16">
      <c r="A80" s="42" t="s">
        <v>77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</row>
    <row r="81" spans="1:148" ht="16">
      <c r="A81" s="44" t="s">
        <v>78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  <c r="EN81" s="53"/>
      <c r="EO81" s="53"/>
      <c r="EP81" s="53"/>
      <c r="EQ81" s="53"/>
      <c r="ER81" s="53"/>
    </row>
    <row r="82" spans="1:148" ht="16">
      <c r="A82" s="45" t="s">
        <v>79</v>
      </c>
      <c r="B82" s="53"/>
      <c r="C82" s="53"/>
      <c r="D82" s="53"/>
      <c r="E82" s="53"/>
      <c r="F82" s="54">
        <v>3000.0</v>
      </c>
      <c r="G82" s="54">
        <v>5700.0</v>
      </c>
      <c r="H82" s="54">
        <v>5700.0</v>
      </c>
      <c r="I82" s="54">
        <v>5700.0</v>
      </c>
      <c r="J82" s="54">
        <v>5700.0</v>
      </c>
      <c r="K82" s="54">
        <v>5700.0</v>
      </c>
      <c r="L82" s="54">
        <v>5700.0</v>
      </c>
      <c r="M82" s="54">
        <v>5700.0</v>
      </c>
      <c r="N82" s="54">
        <v>5700.0</v>
      </c>
      <c r="O82" s="54">
        <v>700.0</v>
      </c>
      <c r="P82" s="54">
        <v>4950.0</v>
      </c>
      <c r="Q82" s="54">
        <v>6450.0</v>
      </c>
      <c r="R82" s="54">
        <v>6450.0</v>
      </c>
      <c r="S82" s="54">
        <v>6450.0</v>
      </c>
      <c r="T82" s="54">
        <v>6450.0</v>
      </c>
      <c r="U82" s="54">
        <v>6450.0</v>
      </c>
      <c r="V82" s="54">
        <v>6450.0</v>
      </c>
      <c r="W82" s="54">
        <v>6450.0</v>
      </c>
      <c r="X82" s="54">
        <v>6450.0</v>
      </c>
      <c r="Y82" s="54">
        <v>6450.0</v>
      </c>
      <c r="Z82" s="54">
        <v>6450.0</v>
      </c>
      <c r="AA82" s="54">
        <v>-50.0</v>
      </c>
      <c r="AB82" s="54">
        <v>-50.0</v>
      </c>
      <c r="AC82" s="54">
        <v>-50.0</v>
      </c>
      <c r="AD82" s="54">
        <v>-50.0</v>
      </c>
      <c r="AE82" s="54">
        <v>-50.0</v>
      </c>
      <c r="AF82" s="54">
        <v>-50.0</v>
      </c>
      <c r="AG82" s="54">
        <v>-50.0</v>
      </c>
      <c r="AH82" s="54">
        <v>-50.0</v>
      </c>
      <c r="AI82" s="54">
        <v>-50.0</v>
      </c>
      <c r="AJ82" s="54">
        <v>6450.0</v>
      </c>
      <c r="AK82" s="54">
        <v>6450.0</v>
      </c>
      <c r="AL82" s="54">
        <v>6450.0</v>
      </c>
      <c r="AM82" s="54">
        <v>6450.0</v>
      </c>
      <c r="AN82" s="54">
        <v>6050.0</v>
      </c>
      <c r="AO82" s="54">
        <v>5650.0</v>
      </c>
      <c r="AP82" s="54">
        <v>5050.0</v>
      </c>
      <c r="AQ82" s="54">
        <v>2050.0</v>
      </c>
      <c r="AR82" s="54">
        <v>0</v>
      </c>
      <c r="AS82" s="54">
        <v>0</v>
      </c>
      <c r="AT82" s="54">
        <v>0</v>
      </c>
      <c r="AU82" s="54">
        <v>0</v>
      </c>
      <c r="AV82" s="54">
        <v>0</v>
      </c>
      <c r="AW82" s="54">
        <v>0</v>
      </c>
      <c r="AX82" s="54">
        <v>0</v>
      </c>
      <c r="AY82" s="54">
        <v>0</v>
      </c>
      <c r="AZ82" s="54">
        <v>0</v>
      </c>
      <c r="BA82" s="54">
        <v>0</v>
      </c>
      <c r="BB82" s="54">
        <v>0</v>
      </c>
      <c r="BC82" s="54">
        <v>0</v>
      </c>
      <c r="BD82" s="54">
        <v>0</v>
      </c>
      <c r="BE82" s="54">
        <v>0</v>
      </c>
      <c r="BF82" s="54">
        <v>0</v>
      </c>
      <c r="BG82" s="54">
        <v>0</v>
      </c>
      <c r="BH82" s="54">
        <v>0</v>
      </c>
      <c r="BI82" s="54">
        <v>0</v>
      </c>
      <c r="BJ82" s="54">
        <v>0</v>
      </c>
      <c r="BK82" s="54">
        <v>0</v>
      </c>
      <c r="BL82" s="54">
        <v>0</v>
      </c>
      <c r="BM82" s="54">
        <v>0</v>
      </c>
      <c r="BN82" s="54">
        <v>0</v>
      </c>
      <c r="BO82" s="54">
        <v>0</v>
      </c>
      <c r="BP82" s="54">
        <v>0</v>
      </c>
      <c r="BQ82" s="54">
        <v>0</v>
      </c>
      <c r="BR82" s="54">
        <v>0</v>
      </c>
      <c r="BS82" s="54">
        <v>0</v>
      </c>
      <c r="BT82" s="54">
        <v>0</v>
      </c>
      <c r="BU82" s="54">
        <v>0</v>
      </c>
      <c r="BV82" s="54">
        <v>0</v>
      </c>
      <c r="BW82" s="54">
        <v>0</v>
      </c>
      <c r="BX82" s="54">
        <v>0</v>
      </c>
      <c r="BY82" s="54">
        <v>0</v>
      </c>
      <c r="BZ82" s="54">
        <v>0</v>
      </c>
      <c r="CA82" s="54">
        <v>0</v>
      </c>
      <c r="CB82" s="54">
        <v>0</v>
      </c>
      <c r="CC82" s="54">
        <v>0</v>
      </c>
      <c r="CD82" s="54">
        <v>0</v>
      </c>
      <c r="CE82" s="54">
        <v>0</v>
      </c>
      <c r="CF82" s="54">
        <v>0</v>
      </c>
      <c r="CG82" s="54">
        <v>0</v>
      </c>
      <c r="CH82" s="54">
        <v>0</v>
      </c>
      <c r="CI82" s="54">
        <v>0</v>
      </c>
      <c r="CJ82" s="54">
        <v>0</v>
      </c>
      <c r="CK82" s="54">
        <v>0</v>
      </c>
      <c r="CL82" s="54">
        <v>0</v>
      </c>
      <c r="CM82" s="54">
        <v>0</v>
      </c>
      <c r="CN82" s="54">
        <v>0</v>
      </c>
      <c r="CO82" s="54">
        <v>0</v>
      </c>
      <c r="CP82" s="54">
        <v>0</v>
      </c>
      <c r="CQ82" s="54">
        <v>0</v>
      </c>
      <c r="CR82" s="54">
        <v>0</v>
      </c>
      <c r="CS82" s="54">
        <v>0</v>
      </c>
      <c r="CT82" s="54">
        <v>0</v>
      </c>
      <c r="CU82" s="54">
        <v>0</v>
      </c>
      <c r="CV82" s="54">
        <v>0</v>
      </c>
      <c r="CW82" s="54">
        <v>0</v>
      </c>
      <c r="CX82" s="54">
        <v>0</v>
      </c>
      <c r="CY82" s="54">
        <v>0</v>
      </c>
      <c r="CZ82" s="54">
        <v>0</v>
      </c>
      <c r="DA82" s="54">
        <v>0</v>
      </c>
      <c r="DB82" s="54">
        <v>0</v>
      </c>
      <c r="DC82" s="54">
        <v>0</v>
      </c>
      <c r="DD82" s="54">
        <v>0</v>
      </c>
      <c r="DE82" s="54">
        <v>0</v>
      </c>
      <c r="DF82" s="54">
        <v>0</v>
      </c>
      <c r="DG82" s="54">
        <v>0</v>
      </c>
      <c r="DH82" s="54">
        <v>0</v>
      </c>
      <c r="DI82" s="54">
        <v>0</v>
      </c>
      <c r="DJ82" s="54">
        <v>0</v>
      </c>
      <c r="DK82" s="54">
        <v>0</v>
      </c>
      <c r="DL82" s="54">
        <v>0</v>
      </c>
      <c r="DM82" s="54">
        <v>0</v>
      </c>
      <c r="DN82" s="54">
        <v>60000.0</v>
      </c>
      <c r="DO82" s="54">
        <v>60000.0</v>
      </c>
      <c r="DP82" s="54">
        <v>60000.0</v>
      </c>
      <c r="DQ82" s="54">
        <v>69440.2</v>
      </c>
      <c r="DR82" s="54">
        <v>69440.2</v>
      </c>
      <c r="DS82" s="54">
        <v>69440.2</v>
      </c>
      <c r="DT82" s="54">
        <v>69440.2</v>
      </c>
      <c r="DU82" s="54">
        <v>69440.2</v>
      </c>
      <c r="DV82" s="54">
        <v>69440.2</v>
      </c>
      <c r="DW82" s="54">
        <v>69440.2</v>
      </c>
      <c r="DX82" s="54">
        <v>69440.2</v>
      </c>
      <c r="DY82" s="54">
        <v>69440.2</v>
      </c>
      <c r="DZ82" s="54">
        <v>69440.2</v>
      </c>
      <c r="EA82" s="54">
        <v>69440.2</v>
      </c>
      <c r="EB82" s="54">
        <v>69440.2</v>
      </c>
      <c r="EC82" s="54">
        <v>69440.2</v>
      </c>
      <c r="ED82" s="54">
        <v>69440.2</v>
      </c>
      <c r="EE82" s="54">
        <v>69440.2</v>
      </c>
      <c r="EF82" s="54">
        <v>69440.2</v>
      </c>
      <c r="EG82" s="54">
        <v>69440.2</v>
      </c>
      <c r="EH82" s="54">
        <v>69440.2</v>
      </c>
      <c r="EI82" s="54">
        <v>69440.2</v>
      </c>
      <c r="EJ82" s="54">
        <v>69440.2</v>
      </c>
      <c r="EK82" s="54">
        <v>69440.2</v>
      </c>
      <c r="EL82" s="54">
        <v>69440.2</v>
      </c>
      <c r="EM82" s="54">
        <v>69440.2</v>
      </c>
      <c r="EN82" s="54">
        <v>69440.2</v>
      </c>
      <c r="EO82" s="54">
        <v>69440.2</v>
      </c>
      <c r="EP82" s="54">
        <v>69440.2</v>
      </c>
      <c r="EQ82" s="54">
        <v>69440.2</v>
      </c>
      <c r="ER82" s="54">
        <v>69440.2</v>
      </c>
    </row>
    <row r="83" spans="1:148" ht="16">
      <c r="A83" s="45" t="s">
        <v>80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4">
        <v>4462.68</v>
      </c>
      <c r="AO83" s="54">
        <v>3612.92</v>
      </c>
      <c r="AP83" s="54">
        <v>7763.4400000000005</v>
      </c>
      <c r="AQ83" s="54">
        <v>9.094947017729282E-13</v>
      </c>
      <c r="AR83" s="54">
        <v>9.094947017729282E-13</v>
      </c>
      <c r="AS83" s="54">
        <v>9.094947017729282E-13</v>
      </c>
      <c r="AT83" s="54">
        <v>4375.1900000000005</v>
      </c>
      <c r="AU83" s="54">
        <v>8333.82</v>
      </c>
      <c r="AV83" s="54">
        <v>6667.65</v>
      </c>
      <c r="AW83" s="54">
        <v>4793.19</v>
      </c>
      <c r="AX83" s="54">
        <v>2918.7499999999995</v>
      </c>
      <c r="AY83" s="54">
        <v>5627.75</v>
      </c>
      <c r="AZ83" s="54">
        <v>3545.01</v>
      </c>
      <c r="BA83" s="54">
        <v>1670.5600000000002</v>
      </c>
      <c r="BB83" s="54">
        <v>5629.1900000000005</v>
      </c>
      <c r="BC83" s="54">
        <v>3963.0200000000004</v>
      </c>
      <c r="BD83" s="54">
        <v>1880.2800000000007</v>
      </c>
      <c r="BE83" s="54">
        <v>838.9200000000008</v>
      </c>
      <c r="BF83" s="54">
        <v>5.830000000000723</v>
      </c>
      <c r="BG83" s="54">
        <v>-1035.539999999999</v>
      </c>
      <c r="BH83" s="54">
        <v>2926.820000000001</v>
      </c>
      <c r="BI83" s="54">
        <v>2093.720000000001</v>
      </c>
      <c r="BJ83" s="54">
        <v>-1843.949999999999</v>
      </c>
      <c r="BK83" s="54">
        <v>-1843.949999999999</v>
      </c>
      <c r="BL83" s="54">
        <v>8156.050000000001</v>
      </c>
      <c r="BM83" s="54">
        <v>6489.860000000001</v>
      </c>
      <c r="BN83" s="54">
        <v>9740.76</v>
      </c>
      <c r="BO83" s="54">
        <v>1883.13</v>
      </c>
      <c r="BP83" s="54">
        <v>19176.850000000002</v>
      </c>
      <c r="BQ83" s="54">
        <v>14294.740000000002</v>
      </c>
      <c r="BR83" s="54">
        <v>26679.56</v>
      </c>
      <c r="BS83" s="54">
        <v>16036.680000000002</v>
      </c>
      <c r="BT83" s="54">
        <v>10038.420000000002</v>
      </c>
      <c r="BU83" s="54">
        <v>1.8189894035458565E-12</v>
      </c>
      <c r="BV83" s="54">
        <v>1.8189894035458565E-12</v>
      </c>
      <c r="BW83" s="54">
        <v>1.8189894035458565E-12</v>
      </c>
      <c r="BX83" s="54">
        <v>1.8189894035458565E-12</v>
      </c>
      <c r="BY83" s="54">
        <v>1.8189894035458565E-12</v>
      </c>
      <c r="BZ83" s="54">
        <v>1.8189894035458565E-12</v>
      </c>
      <c r="CA83" s="54">
        <v>1.8189894035458565E-12</v>
      </c>
      <c r="CB83" s="54">
        <v>1.8189894035458565E-12</v>
      </c>
      <c r="CC83" s="54">
        <v>1.8189894035458565E-12</v>
      </c>
      <c r="CD83" s="54">
        <v>1.8189894035458565E-12</v>
      </c>
      <c r="CE83" s="54">
        <v>1.8189894035458565E-12</v>
      </c>
      <c r="CF83" s="54">
        <v>1.8189894035458565E-12</v>
      </c>
      <c r="CG83" s="54">
        <v>1.8189894035458565E-12</v>
      </c>
      <c r="CH83" s="54">
        <v>1.8189894035458565E-12</v>
      </c>
      <c r="CI83" s="54">
        <v>1.8189894035458565E-12</v>
      </c>
      <c r="CJ83" s="54">
        <v>1.8189894035458565E-12</v>
      </c>
      <c r="CK83" s="54">
        <v>1.8189894035458565E-12</v>
      </c>
      <c r="CL83" s="54">
        <v>1.8189894035458565E-12</v>
      </c>
      <c r="CM83" s="54">
        <v>1.8189894035458565E-12</v>
      </c>
      <c r="CN83" s="54">
        <v>1.8189894035458565E-12</v>
      </c>
      <c r="CO83" s="54">
        <v>1.8189894035458565E-12</v>
      </c>
      <c r="CP83" s="54">
        <v>1.8189894035458565E-12</v>
      </c>
      <c r="CQ83" s="54">
        <v>1.8189894035458565E-12</v>
      </c>
      <c r="CR83" s="54">
        <v>1.8189894035458565E-12</v>
      </c>
      <c r="CS83" s="54">
        <v>1.8189894035458565E-12</v>
      </c>
      <c r="CT83" s="54">
        <v>1.8189894035458565E-12</v>
      </c>
      <c r="CU83" s="54">
        <v>1.8189894035458565E-12</v>
      </c>
      <c r="CV83" s="54">
        <v>1.8189894035458565E-12</v>
      </c>
      <c r="CW83" s="54">
        <v>1.8189894035458565E-12</v>
      </c>
      <c r="CX83" s="54">
        <v>1.8189894035458565E-12</v>
      </c>
      <c r="CY83" s="54">
        <v>1.8189894035458565E-12</v>
      </c>
      <c r="CZ83" s="54">
        <v>1.8189894035458565E-12</v>
      </c>
      <c r="DA83" s="54">
        <v>1.8189894035458565E-12</v>
      </c>
      <c r="DB83" s="54">
        <v>1.8189894035458565E-12</v>
      </c>
      <c r="DC83" s="54">
        <v>92321.47</v>
      </c>
      <c r="DD83" s="54">
        <v>106305.57</v>
      </c>
      <c r="DE83" s="54">
        <v>113361.74</v>
      </c>
      <c r="DF83" s="54">
        <v>142307.25</v>
      </c>
      <c r="DG83" s="54">
        <v>128419.86</v>
      </c>
      <c r="DH83" s="54">
        <v>95696.95999999999</v>
      </c>
      <c r="DI83" s="54">
        <v>120879.81</v>
      </c>
      <c r="DJ83" s="54">
        <v>84508.32</v>
      </c>
      <c r="DK83" s="54">
        <v>102749.39000000001</v>
      </c>
      <c r="DL83" s="54">
        <v>85424.54000000001</v>
      </c>
      <c r="DM83" s="54">
        <v>79783.91</v>
      </c>
      <c r="DN83" s="54">
        <v>54690.36</v>
      </c>
      <c r="DO83" s="54">
        <v>76488.85</v>
      </c>
      <c r="DP83" s="54">
        <v>54876.22</v>
      </c>
      <c r="DQ83" s="54">
        <v>37747.229999999996</v>
      </c>
      <c r="DR83" s="54">
        <v>22405.059999999998</v>
      </c>
      <c r="DS83" s="54">
        <v>11737.529999999997</v>
      </c>
      <c r="DT83" s="54">
        <v>8599.079999999998</v>
      </c>
      <c r="DU83" s="54">
        <v>4139.489999999998</v>
      </c>
      <c r="DV83" s="54">
        <v>-0.020000000002255547</v>
      </c>
      <c r="DW83" s="54">
        <v>-0.020000000002255547</v>
      </c>
      <c r="DX83" s="54">
        <v>-2.2555464440632278E-12</v>
      </c>
      <c r="DY83" s="54">
        <v>-2.2555464440632278E-12</v>
      </c>
      <c r="DZ83" s="54">
        <v>-2.2555464440632278E-12</v>
      </c>
      <c r="EA83" s="54">
        <v>-2.2555464440632278E-12</v>
      </c>
      <c r="EB83" s="54">
        <v>-2.2555464440632278E-12</v>
      </c>
      <c r="EC83" s="54">
        <v>-2.2555464440632278E-12</v>
      </c>
      <c r="ED83" s="54">
        <v>-2.2555464440632278E-12</v>
      </c>
      <c r="EE83" s="54">
        <v>-2.2555464440632278E-12</v>
      </c>
      <c r="EF83" s="54">
        <v>-2.2555464440632278E-12</v>
      </c>
      <c r="EG83" s="54">
        <v>-2.2555464440632278E-12</v>
      </c>
      <c r="EH83" s="54">
        <v>-2.2555464440632278E-12</v>
      </c>
      <c r="EI83" s="54">
        <v>-2.2555464440632278E-12</v>
      </c>
      <c r="EJ83" s="54">
        <v>-2.2555464440632278E-12</v>
      </c>
      <c r="EK83" s="54">
        <v>-2.2555464440632278E-12</v>
      </c>
      <c r="EL83" s="54">
        <v>-2.2555464440632278E-12</v>
      </c>
      <c r="EM83" s="54">
        <v>-2.2555464440632278E-12</v>
      </c>
      <c r="EN83" s="54">
        <v>-2.2555464440632278E-12</v>
      </c>
      <c r="EO83" s="54">
        <v>-2.2555464440632278E-12</v>
      </c>
      <c r="EP83" s="54">
        <v>-2.2555464440632278E-12</v>
      </c>
      <c r="EQ83" s="54">
        <v>-2.2555464440632278E-12</v>
      </c>
      <c r="ER83" s="54">
        <v>-2.2555464440632278E-12</v>
      </c>
    </row>
    <row r="84" spans="1:148" ht="16">
      <c r="A84" s="45" t="s">
        <v>81</v>
      </c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4">
        <v>3420.0</v>
      </c>
      <c r="AO84" s="54">
        <v>4422.26</v>
      </c>
      <c r="AP84" s="54">
        <v>4982.860000000001</v>
      </c>
      <c r="AQ84" s="54">
        <v>8345.28</v>
      </c>
      <c r="AR84" s="54">
        <v>5152.410000000001</v>
      </c>
      <c r="AS84" s="54">
        <v>2444.690000000001</v>
      </c>
      <c r="AT84" s="54">
        <v>9.094947017729282E-13</v>
      </c>
      <c r="AU84" s="54">
        <v>7514.400000000001</v>
      </c>
      <c r="AV84" s="54">
        <v>5294.6</v>
      </c>
      <c r="AW84" s="54">
        <v>3518.76</v>
      </c>
      <c r="AX84" s="54">
        <v>7994.16</v>
      </c>
      <c r="AY84" s="54">
        <v>5194.6</v>
      </c>
      <c r="AZ84" s="54">
        <v>2395.0400000000004</v>
      </c>
      <c r="BA84" s="54">
        <v>8047.48</v>
      </c>
      <c r="BB84" s="54">
        <v>9119.34</v>
      </c>
      <c r="BC84" s="54">
        <v>4434.14</v>
      </c>
      <c r="BD84" s="54">
        <v>3325.6200000000003</v>
      </c>
      <c r="BE84" s="54">
        <v>26317.87</v>
      </c>
      <c r="BF84" s="54">
        <v>20943.91</v>
      </c>
      <c r="BG84" s="54">
        <v>14780.66</v>
      </c>
      <c r="BH84" s="54">
        <v>10515.220000000001</v>
      </c>
      <c r="BI84" s="54">
        <v>4049.130000000001</v>
      </c>
      <c r="BJ84" s="54">
        <v>9.094947017729282E-13</v>
      </c>
      <c r="BK84" s="54">
        <v>7415.040000000001</v>
      </c>
      <c r="BL84" s="54">
        <v>21997.440000000002</v>
      </c>
      <c r="BM84" s="54">
        <v>15840.840000000002</v>
      </c>
      <c r="BN84" s="54">
        <v>10369.550000000003</v>
      </c>
      <c r="BO84" s="54">
        <v>3.637978807091713E-12</v>
      </c>
      <c r="BP84" s="54">
        <v>3.637978807091713E-12</v>
      </c>
      <c r="BQ84" s="54">
        <v>3.637978807091713E-12</v>
      </c>
      <c r="BR84" s="54">
        <v>3.637978807091713E-12</v>
      </c>
      <c r="BS84" s="54">
        <v>3.637978807091713E-12</v>
      </c>
      <c r="BT84" s="54">
        <v>3.637978807091713E-12</v>
      </c>
      <c r="BU84" s="54">
        <v>3.637978807091713E-12</v>
      </c>
      <c r="BV84" s="54">
        <v>3.637978807091713E-12</v>
      </c>
      <c r="BW84" s="54">
        <v>3.637978807091713E-12</v>
      </c>
      <c r="BX84" s="54">
        <v>3.637978807091713E-12</v>
      </c>
      <c r="BY84" s="54">
        <v>3.637978807091713E-12</v>
      </c>
      <c r="BZ84" s="54">
        <v>3.637978807091713E-12</v>
      </c>
      <c r="CA84" s="54">
        <v>3.637978807091713E-12</v>
      </c>
      <c r="CB84" s="54">
        <v>3.637978807091713E-12</v>
      </c>
      <c r="CC84" s="54">
        <v>3.637978807091713E-12</v>
      </c>
      <c r="CD84" s="54">
        <v>3.637978807091713E-12</v>
      </c>
      <c r="CE84" s="54">
        <v>3.637978807091713E-12</v>
      </c>
      <c r="CF84" s="54">
        <v>3.637978807091713E-12</v>
      </c>
      <c r="CG84" s="54">
        <v>3.637978807091713E-12</v>
      </c>
      <c r="CH84" s="54">
        <v>3.637978807091713E-12</v>
      </c>
      <c r="CI84" s="54">
        <v>3.637978807091713E-12</v>
      </c>
      <c r="CJ84" s="54">
        <v>3.637978807091713E-12</v>
      </c>
      <c r="CK84" s="54">
        <v>3.637978807091713E-12</v>
      </c>
      <c r="CL84" s="54">
        <v>3.637978807091713E-12</v>
      </c>
      <c r="CM84" s="54">
        <v>3.637978807091713E-12</v>
      </c>
      <c r="CN84" s="54">
        <v>3.637978807091713E-12</v>
      </c>
      <c r="CO84" s="54">
        <v>3.637978807091713E-12</v>
      </c>
      <c r="CP84" s="54">
        <v>3.637978807091713E-12</v>
      </c>
      <c r="CQ84" s="54">
        <v>3.637978807091713E-12</v>
      </c>
      <c r="CR84" s="54">
        <v>3.637978807091713E-12</v>
      </c>
      <c r="CS84" s="54">
        <v>3.637978807091713E-12</v>
      </c>
      <c r="CT84" s="54">
        <v>3.637978807091713E-12</v>
      </c>
      <c r="CU84" s="54">
        <v>3.637978807091713E-12</v>
      </c>
      <c r="CV84" s="54">
        <v>3.637978807091713E-12</v>
      </c>
      <c r="CW84" s="54">
        <v>3.637978807091713E-12</v>
      </c>
      <c r="CX84" s="54">
        <v>3.637978807091713E-12</v>
      </c>
      <c r="CY84" s="54">
        <v>3.637978807091713E-12</v>
      </c>
      <c r="CZ84" s="54">
        <v>3.637978807091713E-12</v>
      </c>
      <c r="DA84" s="54">
        <v>3.637978807091713E-12</v>
      </c>
      <c r="DB84" s="54">
        <v>3.637978807091713E-12</v>
      </c>
      <c r="DC84" s="54">
        <v>3.637978807091713E-12</v>
      </c>
      <c r="DD84" s="54">
        <v>3.637978807091713E-12</v>
      </c>
      <c r="DE84" s="54">
        <v>3.637978807091713E-12</v>
      </c>
      <c r="DF84" s="54">
        <v>3.637978807091713E-12</v>
      </c>
      <c r="DG84" s="54">
        <v>3.637978807091713E-12</v>
      </c>
      <c r="DH84" s="54">
        <v>3.637978807091713E-12</v>
      </c>
      <c r="DI84" s="54">
        <v>3.637978807091713E-12</v>
      </c>
      <c r="DJ84" s="54">
        <v>3.637978807091713E-12</v>
      </c>
      <c r="DK84" s="54">
        <v>3.637978807091713E-12</v>
      </c>
      <c r="DL84" s="54">
        <v>3.637978807091713E-12</v>
      </c>
      <c r="DM84" s="54">
        <v>3.637978807091713E-12</v>
      </c>
      <c r="DN84" s="54">
        <v>3.637978807091713E-12</v>
      </c>
      <c r="DO84" s="54">
        <v>3.637978807091713E-12</v>
      </c>
      <c r="DP84" s="54">
        <v>24579.070000000003</v>
      </c>
      <c r="DQ84" s="54">
        <v>19931.530000000002</v>
      </c>
      <c r="DR84" s="54">
        <v>14776.750000000004</v>
      </c>
      <c r="DS84" s="54">
        <v>9319.180000000004</v>
      </c>
      <c r="DT84" s="54">
        <v>7215.150000000003</v>
      </c>
      <c r="DU84" s="54">
        <v>5267.590000000004</v>
      </c>
      <c r="DV84" s="54">
        <v>2609.820000000004</v>
      </c>
      <c r="DW84" s="54">
        <v>3.637978807091713E-12</v>
      </c>
      <c r="DX84" s="54">
        <v>3.637978807091713E-12</v>
      </c>
      <c r="DY84" s="54">
        <v>3.637978807091713E-12</v>
      </c>
      <c r="DZ84" s="54">
        <v>3.637978807091713E-12</v>
      </c>
      <c r="EA84" s="54">
        <v>3.637978807091713E-12</v>
      </c>
      <c r="EB84" s="54">
        <v>3.637978807091713E-12</v>
      </c>
      <c r="EC84" s="54">
        <v>3.637978807091713E-12</v>
      </c>
      <c r="ED84" s="54">
        <v>3.637978807091713E-12</v>
      </c>
      <c r="EE84" s="54">
        <v>3.637978807091713E-12</v>
      </c>
      <c r="EF84" s="54">
        <v>3.637978807091713E-12</v>
      </c>
      <c r="EG84" s="54">
        <v>3.637978807091713E-12</v>
      </c>
      <c r="EH84" s="54">
        <v>3.637978807091713E-12</v>
      </c>
      <c r="EI84" s="54">
        <v>3.637978807091713E-12</v>
      </c>
      <c r="EJ84" s="54">
        <v>3.637978807091713E-12</v>
      </c>
      <c r="EK84" s="54">
        <v>3.637978807091713E-12</v>
      </c>
      <c r="EL84" s="54">
        <v>3.637978807091713E-12</v>
      </c>
      <c r="EM84" s="54">
        <v>3.637978807091713E-12</v>
      </c>
      <c r="EN84" s="54">
        <v>3.637978807091713E-12</v>
      </c>
      <c r="EO84" s="54">
        <v>3.637978807091713E-12</v>
      </c>
      <c r="EP84" s="54">
        <v>3.637978807091713E-12</v>
      </c>
      <c r="EQ84" s="54">
        <v>3.637978807091713E-12</v>
      </c>
      <c r="ER84" s="54">
        <v>3.637978807091713E-12</v>
      </c>
    </row>
    <row r="85" spans="1:148" ht="16">
      <c r="A85" s="45" t="s">
        <v>82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4">
        <v>8000.0</v>
      </c>
      <c r="BQ85" s="54">
        <v>6716.39</v>
      </c>
      <c r="BR85" s="54">
        <v>6716.39</v>
      </c>
      <c r="BS85" s="54">
        <v>4090.4000000000005</v>
      </c>
      <c r="BT85" s="54">
        <v>2747.4300000000003</v>
      </c>
      <c r="BU85" s="54">
        <v>1384.0700000000004</v>
      </c>
      <c r="BV85" s="54">
        <v>1384.0700000000004</v>
      </c>
      <c r="BW85" s="54">
        <v>4.547473508864641E-13</v>
      </c>
      <c r="BX85" s="54">
        <v>4.547473508864641E-13</v>
      </c>
      <c r="BY85" s="54">
        <v>4.547473508864641E-13</v>
      </c>
      <c r="BZ85" s="54">
        <v>4.547473508864641E-13</v>
      </c>
      <c r="CA85" s="54">
        <v>4.547473508864641E-13</v>
      </c>
      <c r="CB85" s="54">
        <v>4.547473508864641E-13</v>
      </c>
      <c r="CC85" s="54">
        <v>4.547473508864641E-13</v>
      </c>
      <c r="CD85" s="54">
        <v>4.547473508864641E-13</v>
      </c>
      <c r="CE85" s="54">
        <v>4.547473508864641E-13</v>
      </c>
      <c r="CF85" s="54">
        <v>4.547473508864641E-13</v>
      </c>
      <c r="CG85" s="54">
        <v>4.547473508864641E-13</v>
      </c>
      <c r="CH85" s="54">
        <v>4.547473508864641E-13</v>
      </c>
      <c r="CI85" s="54">
        <v>4.547473508864641E-13</v>
      </c>
      <c r="CJ85" s="54">
        <v>4.547473508864641E-13</v>
      </c>
      <c r="CK85" s="54">
        <v>4.547473508864641E-13</v>
      </c>
      <c r="CL85" s="54">
        <v>4.547473508864641E-13</v>
      </c>
      <c r="CM85" s="54">
        <v>4.547473508864641E-13</v>
      </c>
      <c r="CN85" s="54">
        <v>4.547473508864641E-13</v>
      </c>
      <c r="CO85" s="54">
        <v>4.547473508864641E-13</v>
      </c>
      <c r="CP85" s="54">
        <v>4.547473508864641E-13</v>
      </c>
      <c r="CQ85" s="54">
        <v>4.547473508864641E-13</v>
      </c>
      <c r="CR85" s="54">
        <v>4.547473508864641E-13</v>
      </c>
      <c r="CS85" s="54">
        <v>4.547473508864641E-13</v>
      </c>
      <c r="CT85" s="54">
        <v>4.547473508864641E-13</v>
      </c>
      <c r="CU85" s="54">
        <v>4.547473508864641E-13</v>
      </c>
      <c r="CV85" s="54">
        <v>4.547473508864641E-13</v>
      </c>
      <c r="CW85" s="54">
        <v>4.547473508864641E-13</v>
      </c>
      <c r="CX85" s="54">
        <v>4.547473508864641E-13</v>
      </c>
      <c r="CY85" s="54">
        <v>4.547473508864641E-13</v>
      </c>
      <c r="CZ85" s="54">
        <v>4.547473508864641E-13</v>
      </c>
      <c r="DA85" s="54">
        <v>4.547473508864641E-13</v>
      </c>
      <c r="DB85" s="54">
        <v>4.547473508864641E-13</v>
      </c>
      <c r="DC85" s="54">
        <v>4.547473508864641E-13</v>
      </c>
      <c r="DD85" s="54">
        <v>4.547473508864641E-13</v>
      </c>
      <c r="DE85" s="54">
        <v>4.547473508864641E-13</v>
      </c>
      <c r="DF85" s="54">
        <v>4.547473508864641E-13</v>
      </c>
      <c r="DG85" s="54">
        <v>4.547473508864641E-13</v>
      </c>
      <c r="DH85" s="54">
        <v>4.547473508864641E-13</v>
      </c>
      <c r="DI85" s="54">
        <v>4.547473508864641E-13</v>
      </c>
      <c r="DJ85" s="54">
        <v>4.547473508864641E-13</v>
      </c>
      <c r="DK85" s="54">
        <v>4.547473508864641E-13</v>
      </c>
      <c r="DL85" s="54">
        <v>4.547473508864641E-13</v>
      </c>
      <c r="DM85" s="54">
        <v>4.547473508864641E-13</v>
      </c>
      <c r="DN85" s="54">
        <v>4.547473508864641E-13</v>
      </c>
      <c r="DO85" s="54">
        <v>4.547473508864641E-13</v>
      </c>
      <c r="DP85" s="54">
        <v>4.547473508864641E-13</v>
      </c>
      <c r="DQ85" s="54">
        <v>4.547473508864641E-13</v>
      </c>
      <c r="DR85" s="54">
        <v>4.547473508864641E-13</v>
      </c>
      <c r="DS85" s="54">
        <v>4.547473508864641E-13</v>
      </c>
      <c r="DT85" s="54">
        <v>4.547473508864641E-13</v>
      </c>
      <c r="DU85" s="54">
        <v>4.547473508864641E-13</v>
      </c>
      <c r="DV85" s="54">
        <v>4.547473508864641E-13</v>
      </c>
      <c r="DW85" s="54">
        <v>4.547473508864641E-13</v>
      </c>
      <c r="DX85" s="54">
        <v>4.547473508864641E-13</v>
      </c>
      <c r="DY85" s="54">
        <v>4.547473508864641E-13</v>
      </c>
      <c r="DZ85" s="54">
        <v>4.547473508864641E-13</v>
      </c>
      <c r="EA85" s="54">
        <v>4.547473508864641E-13</v>
      </c>
      <c r="EB85" s="54">
        <v>4.547473508864641E-13</v>
      </c>
      <c r="EC85" s="54">
        <v>4.547473508864641E-13</v>
      </c>
      <c r="ED85" s="54">
        <v>4.547473508864641E-13</v>
      </c>
      <c r="EE85" s="54">
        <v>4.547473508864641E-13</v>
      </c>
      <c r="EF85" s="54">
        <v>4.547473508864641E-13</v>
      </c>
      <c r="EG85" s="54">
        <v>4.547473508864641E-13</v>
      </c>
      <c r="EH85" s="54">
        <v>4.547473508864641E-13</v>
      </c>
      <c r="EI85" s="54">
        <v>4.547473508864641E-13</v>
      </c>
      <c r="EJ85" s="54">
        <v>4.547473508864641E-13</v>
      </c>
      <c r="EK85" s="54">
        <v>4.547473508864641E-13</v>
      </c>
      <c r="EL85" s="54">
        <v>4.547473508864641E-13</v>
      </c>
      <c r="EM85" s="54">
        <v>4.547473508864641E-13</v>
      </c>
      <c r="EN85" s="54">
        <v>4.547473508864641E-13</v>
      </c>
      <c r="EO85" s="54">
        <v>4.547473508864641E-13</v>
      </c>
      <c r="EP85" s="54">
        <v>4.547473508864641E-13</v>
      </c>
      <c r="EQ85" s="54">
        <v>4.547473508864641E-13</v>
      </c>
      <c r="ER85" s="54">
        <v>4.547473508864641E-13</v>
      </c>
    </row>
    <row r="86" spans="1:148" ht="16">
      <c r="A86" s="46" t="s">
        <v>83</v>
      </c>
      <c r="B86" s="55">
        <f>B81+B82+B83+B84+B85</f>
        <v>0.0</v>
      </c>
      <c r="C86" s="55">
        <f>C81+C82+C83+C84+C85</f>
        <v>0.0</v>
      </c>
      <c r="D86" s="55">
        <f>D81+D82+D83+D84+D85</f>
        <v>0.0</v>
      </c>
      <c r="E86" s="55">
        <f>E81+E82+E83+E84+E85</f>
        <v>0.0</v>
      </c>
      <c r="F86" s="55">
        <f>F81+F82+F83+F84+F85</f>
        <v>3000.0</v>
      </c>
      <c r="G86" s="55">
        <f>G81+G82+G83+G84+G85</f>
        <v>5700.0</v>
      </c>
      <c r="H86" s="55">
        <f>H81+H82+H83+H84+H85</f>
        <v>5700.0</v>
      </c>
      <c r="I86" s="55">
        <f>I81+I82+I83+I84+I85</f>
        <v>5700.0</v>
      </c>
      <c r="J86" s="55">
        <f>J81+J82+J83+J84+J85</f>
        <v>5700.0</v>
      </c>
      <c r="K86" s="55">
        <f>K81+K82+K83+K84+K85</f>
        <v>5700.0</v>
      </c>
      <c r="L86" s="55">
        <f>L81+L82+L83+L84+L85</f>
        <v>5700.0</v>
      </c>
      <c r="M86" s="55">
        <f>M81+M82+M83+M84+M85</f>
        <v>5700.0</v>
      </c>
      <c r="N86" s="55">
        <f>N81+N82+N83+N84+N85</f>
        <v>5700.0</v>
      </c>
      <c r="O86" s="55">
        <f>O81+O82+O83+O84+O85</f>
        <v>700.0</v>
      </c>
      <c r="P86" s="55">
        <f>P81+P82+P83+P84+P85</f>
        <v>4950.0</v>
      </c>
      <c r="Q86" s="55">
        <f>Q81+Q82+Q83+Q84+Q85</f>
        <v>6450.0</v>
      </c>
      <c r="R86" s="55">
        <f>R81+R82+R83+R84+R85</f>
        <v>6450.0</v>
      </c>
      <c r="S86" s="55">
        <f>S81+S82+S83+S84+S85</f>
        <v>6450.0</v>
      </c>
      <c r="T86" s="55">
        <f>T81+T82+T83+T84+T85</f>
        <v>6450.0</v>
      </c>
      <c r="U86" s="55">
        <f>U81+U82+U83+U84+U85</f>
        <v>6450.0</v>
      </c>
      <c r="V86" s="55">
        <f>V81+V82+V83+V84+V85</f>
        <v>6450.0</v>
      </c>
      <c r="W86" s="55">
        <f>W81+W82+W83+W84+W85</f>
        <v>6450.0</v>
      </c>
      <c r="X86" s="55">
        <f>X81+X82+X83+X84+X85</f>
        <v>6450.0</v>
      </c>
      <c r="Y86" s="55">
        <f>Y81+Y82+Y83+Y84+Y85</f>
        <v>6450.0</v>
      </c>
      <c r="Z86" s="55">
        <f>Z81+Z82+Z83+Z84+Z85</f>
        <v>6450.0</v>
      </c>
      <c r="AA86" s="55">
        <f>AA81+AA82+AA83+AA84+AA85</f>
        <v>-50.0</v>
      </c>
      <c r="AB86" s="55">
        <f>AB81+AB82+AB83+AB84+AB85</f>
        <v>-50.0</v>
      </c>
      <c r="AC86" s="55">
        <f>AC81+AC82+AC83+AC84+AC85</f>
        <v>-50.0</v>
      </c>
      <c r="AD86" s="55">
        <f>AD81+AD82+AD83+AD84+AD85</f>
        <v>-50.0</v>
      </c>
      <c r="AE86" s="55">
        <f>AE81+AE82+AE83+AE84+AE85</f>
        <v>-50.0</v>
      </c>
      <c r="AF86" s="55">
        <f>AF81+AF82+AF83+AF84+AF85</f>
        <v>-50.0</v>
      </c>
      <c r="AG86" s="55">
        <f>AG81+AG82+AG83+AG84+AG85</f>
        <v>-50.0</v>
      </c>
      <c r="AH86" s="55">
        <f>AH81+AH82+AH83+AH84+AH85</f>
        <v>-50.0</v>
      </c>
      <c r="AI86" s="55">
        <f>AI81+AI82+AI83+AI84+AI85</f>
        <v>-50.0</v>
      </c>
      <c r="AJ86" s="55">
        <f>AJ81+AJ82+AJ83+AJ84+AJ85</f>
        <v>6450.0</v>
      </c>
      <c r="AK86" s="55">
        <f>AK81+AK82+AK83+AK84+AK85</f>
        <v>6450.0</v>
      </c>
      <c r="AL86" s="55">
        <f>AL81+AL82+AL83+AL84+AL85</f>
        <v>6450.0</v>
      </c>
      <c r="AM86" s="55">
        <f>AM81+AM82+AM83+AM84+AM85</f>
        <v>6450.0</v>
      </c>
      <c r="AN86" s="55">
        <f>AN81+AN82+AN83+AN84+AN85</f>
        <v>13932.68</v>
      </c>
      <c r="AO86" s="55">
        <f>AO81+AO82+AO83+AO84+AO85</f>
        <v>13685.18</v>
      </c>
      <c r="AP86" s="55">
        <f>AP81+AP82+AP83+AP84+AP85</f>
        <v>17796.300000000003</v>
      </c>
      <c r="AQ86" s="55">
        <f>AQ81+AQ82+AQ83+AQ84+AQ85</f>
        <v>10395.280000000002</v>
      </c>
      <c r="AR86" s="55">
        <f>AR81+AR82+AR83+AR84+AR85</f>
        <v>5152.410000000002</v>
      </c>
      <c r="AS86" s="55">
        <f>AS81+AS82+AS83+AS84+AS85</f>
        <v>2444.690000000002</v>
      </c>
      <c r="AT86" s="55">
        <f>AT81+AT82+AT83+AT84+AT85</f>
        <v>4375.190000000001</v>
      </c>
      <c r="AU86" s="55">
        <f>AU81+AU82+AU83+AU84+AU85</f>
        <v>15848.220000000001</v>
      </c>
      <c r="AV86" s="55">
        <f>AV81+AV82+AV83+AV84+AV85</f>
        <v>11962.25</v>
      </c>
      <c r="AW86" s="55">
        <f>AW81+AW82+AW83+AW84+AW85</f>
        <v>8311.95</v>
      </c>
      <c r="AX86" s="55">
        <f>AX81+AX82+AX83+AX84+AX85</f>
        <v>10912.91</v>
      </c>
      <c r="AY86" s="55">
        <f>AY81+AY82+AY83+AY84+AY85</f>
        <v>10822.35</v>
      </c>
      <c r="AZ86" s="55">
        <f>AZ81+AZ82+AZ83+AZ84+AZ85</f>
        <v>5940.050000000001</v>
      </c>
      <c r="BA86" s="55">
        <f>BA81+BA82+BA83+BA84+BA85</f>
        <v>9718.039999999999</v>
      </c>
      <c r="BB86" s="55">
        <f>BB81+BB82+BB83+BB84+BB85</f>
        <v>14748.53</v>
      </c>
      <c r="BC86" s="55">
        <f>BC81+BC82+BC83+BC84+BC85</f>
        <v>8397.16</v>
      </c>
      <c r="BD86" s="55">
        <f>BD81+BD82+BD83+BD84+BD85</f>
        <v>5205.9000000000015</v>
      </c>
      <c r="BE86" s="55">
        <f>BE81+BE82+BE83+BE84+BE85</f>
        <v>27156.79</v>
      </c>
      <c r="BF86" s="55">
        <f>BF81+BF82+BF83+BF84+BF85</f>
        <v>20949.74</v>
      </c>
      <c r="BG86" s="55">
        <f>BG81+BG82+BG83+BG84+BG85</f>
        <v>13745.12</v>
      </c>
      <c r="BH86" s="55">
        <f>BH81+BH82+BH83+BH84+BH85</f>
        <v>13442.040000000003</v>
      </c>
      <c r="BI86" s="55">
        <f>BI81+BI82+BI83+BI84+BI85</f>
        <v>6142.850000000002</v>
      </c>
      <c r="BJ86" s="55">
        <f>BJ81+BJ82+BJ83+BJ84+BJ85</f>
        <v>-1843.949999999998</v>
      </c>
      <c r="BK86" s="55">
        <f>BK81+BK82+BK83+BK84+BK85</f>
        <v>5571.090000000002</v>
      </c>
      <c r="BL86" s="55">
        <f>BL81+BL82+BL83+BL84+BL85</f>
        <v>30153.490000000005</v>
      </c>
      <c r="BM86" s="55">
        <f>BM81+BM82+BM83+BM84+BM85</f>
        <v>22330.700000000004</v>
      </c>
      <c r="BN86" s="55">
        <f>BN81+BN82+BN83+BN84+BN85</f>
        <v>20110.310000000005</v>
      </c>
      <c r="BO86" s="55">
        <f>BO81+BO82+BO83+BO84+BO85</f>
        <v>1883.1300000000037</v>
      </c>
      <c r="BP86" s="55">
        <f>BP81+BP82+BP83+BP84+BP85</f>
        <v>27176.850000000006</v>
      </c>
      <c r="BQ86" s="55">
        <f>BQ81+BQ82+BQ83+BQ84+BQ85</f>
        <v>21011.130000000005</v>
      </c>
      <c r="BR86" s="55">
        <f>BR81+BR82+BR83+BR84+BR85</f>
        <v>33395.950000000004</v>
      </c>
      <c r="BS86" s="55">
        <f>BS81+BS82+BS83+BS84+BS85</f>
        <v>20127.080000000005</v>
      </c>
      <c r="BT86" s="55">
        <f>BT81+BT82+BT83+BT84+BT85</f>
        <v>12785.850000000006</v>
      </c>
      <c r="BU86" s="55">
        <f>BU81+BU82+BU83+BU84+BU85</f>
        <v>1384.0700000000058</v>
      </c>
      <c r="BV86" s="55">
        <f>BV81+BV82+BV83+BV84+BV85</f>
        <v>1384.0700000000058</v>
      </c>
      <c r="BW86" s="55">
        <f>BW81+BW82+BW83+BW84+BW85</f>
        <v>5.9117155615240335E-12</v>
      </c>
      <c r="BX86" s="55">
        <f>BX81+BX82+BX83+BX84+BX85</f>
        <v>5.9117155615240335E-12</v>
      </c>
      <c r="BY86" s="55">
        <f>BY81+BY82+BY83+BY84+BY85</f>
        <v>5.9117155615240335E-12</v>
      </c>
      <c r="BZ86" s="55">
        <f>BZ81+BZ82+BZ83+BZ84+BZ85</f>
        <v>5.9117155615240335E-12</v>
      </c>
      <c r="CA86" s="55">
        <f>CA81+CA82+CA83+CA84+CA85</f>
        <v>5.9117155615240335E-12</v>
      </c>
      <c r="CB86" s="55">
        <f>CB81+CB82+CB83+CB84+CB85</f>
        <v>5.9117155615240335E-12</v>
      </c>
      <c r="CC86" s="55">
        <f>CC81+CC82+CC83+CC84+CC85</f>
        <v>5.9117155615240335E-12</v>
      </c>
      <c r="CD86" s="55">
        <f>CD81+CD82+CD83+CD84+CD85</f>
        <v>5.9117155615240335E-12</v>
      </c>
      <c r="CE86" s="55">
        <f>CE81+CE82+CE83+CE84+CE85</f>
        <v>5.9117155615240335E-12</v>
      </c>
      <c r="CF86" s="55">
        <f>CF81+CF82+CF83+CF84+CF85</f>
        <v>5.9117155615240335E-12</v>
      </c>
      <c r="CG86" s="55">
        <f>CG81+CG82+CG83+CG84+CG85</f>
        <v>5.9117155615240335E-12</v>
      </c>
      <c r="CH86" s="55">
        <f>CH81+CH82+CH83+CH84+CH85</f>
        <v>5.9117155615240335E-12</v>
      </c>
      <c r="CI86" s="55">
        <f>CI81+CI82+CI83+CI84+CI85</f>
        <v>5.9117155615240335E-12</v>
      </c>
      <c r="CJ86" s="55">
        <f>CJ81+CJ82+CJ83+CJ84+CJ85</f>
        <v>5.9117155615240335E-12</v>
      </c>
      <c r="CK86" s="55">
        <f>CK81+CK82+CK83+CK84+CK85</f>
        <v>5.9117155615240335E-12</v>
      </c>
      <c r="CL86" s="55">
        <f>CL81+CL82+CL83+CL84+CL85</f>
        <v>5.9117155615240335E-12</v>
      </c>
      <c r="CM86" s="55">
        <f>CM81+CM82+CM83+CM84+CM85</f>
        <v>5.9117155615240335E-12</v>
      </c>
      <c r="CN86" s="55">
        <f>CN81+CN82+CN83+CN84+CN85</f>
        <v>5.9117155615240335E-12</v>
      </c>
      <c r="CO86" s="55">
        <f>CO81+CO82+CO83+CO84+CO85</f>
        <v>5.9117155615240335E-12</v>
      </c>
      <c r="CP86" s="55">
        <f>CP81+CP82+CP83+CP84+CP85</f>
        <v>5.9117155615240335E-12</v>
      </c>
      <c r="CQ86" s="55">
        <f>CQ81+CQ82+CQ83+CQ84+CQ85</f>
        <v>5.9117155615240335E-12</v>
      </c>
      <c r="CR86" s="55">
        <f>CR81+CR82+CR83+CR84+CR85</f>
        <v>5.9117155615240335E-12</v>
      </c>
      <c r="CS86" s="55">
        <f>CS81+CS82+CS83+CS84+CS85</f>
        <v>5.9117155615240335E-12</v>
      </c>
      <c r="CT86" s="55">
        <f>CT81+CT82+CT83+CT84+CT85</f>
        <v>5.9117155615240335E-12</v>
      </c>
      <c r="CU86" s="55">
        <f>CU81+CU82+CU83+CU84+CU85</f>
        <v>5.9117155615240335E-12</v>
      </c>
      <c r="CV86" s="55">
        <f>CV81+CV82+CV83+CV84+CV85</f>
        <v>5.9117155615240335E-12</v>
      </c>
      <c r="CW86" s="55">
        <f>CW81+CW82+CW83+CW84+CW85</f>
        <v>5.9117155615240335E-12</v>
      </c>
      <c r="CX86" s="55">
        <f>CX81+CX82+CX83+CX84+CX85</f>
        <v>5.9117155615240335E-12</v>
      </c>
      <c r="CY86" s="55">
        <f>CY81+CY82+CY83+CY84+CY85</f>
        <v>5.9117155615240335E-12</v>
      </c>
      <c r="CZ86" s="55">
        <f>CZ81+CZ82+CZ83+CZ84+CZ85</f>
        <v>5.9117155615240335E-12</v>
      </c>
      <c r="DA86" s="55">
        <f>DA81+DA82+DA83+DA84+DA85</f>
        <v>5.9117155615240335E-12</v>
      </c>
      <c r="DB86" s="55">
        <f>DB81+DB82+DB83+DB84+DB85</f>
        <v>5.9117155615240335E-12</v>
      </c>
      <c r="DC86" s="55">
        <f>DC81+DC82+DC83+DC84+DC85</f>
        <v>92321.47</v>
      </c>
      <c r="DD86" s="55">
        <f>DD81+DD82+DD83+DD84+DD85</f>
        <v>106305.57</v>
      </c>
      <c r="DE86" s="55">
        <f>DE81+DE82+DE83+DE84+DE85</f>
        <v>113361.74</v>
      </c>
      <c r="DF86" s="55">
        <f>DF81+DF82+DF83+DF84+DF85</f>
        <v>142307.25</v>
      </c>
      <c r="DG86" s="55">
        <f>DG81+DG82+DG83+DG84+DG85</f>
        <v>128419.86</v>
      </c>
      <c r="DH86" s="55">
        <f>DH81+DH82+DH83+DH84+DH85</f>
        <v>95696.95999999999</v>
      </c>
      <c r="DI86" s="55">
        <f>DI81+DI82+DI83+DI84+DI85</f>
        <v>120879.81</v>
      </c>
      <c r="DJ86" s="55">
        <f>DJ81+DJ82+DJ83+DJ84+DJ85</f>
        <v>84508.32</v>
      </c>
      <c r="DK86" s="55">
        <f>DK81+DK82+DK83+DK84+DK85</f>
        <v>102749.39000000001</v>
      </c>
      <c r="DL86" s="55">
        <f>DL81+DL82+DL83+DL84+DL85</f>
        <v>85424.54000000001</v>
      </c>
      <c r="DM86" s="55">
        <f>DM81+DM82+DM83+DM84+DM85</f>
        <v>79783.91</v>
      </c>
      <c r="DN86" s="55">
        <f>DN81+DN82+DN83+DN84+DN85</f>
        <v>114690.36</v>
      </c>
      <c r="DO86" s="55">
        <f>DO81+DO82+DO83+DO84+DO85</f>
        <v>136488.85</v>
      </c>
      <c r="DP86" s="55">
        <f>DP81+DP82+DP83+DP84+DP85</f>
        <v>139455.29</v>
      </c>
      <c r="DQ86" s="55">
        <f>DQ81+DQ82+DQ83+DQ84+DQ85</f>
        <v>127118.95999999999</v>
      </c>
      <c r="DR86" s="55">
        <f>DR81+DR82+DR83+DR84+DR85</f>
        <v>106622.01</v>
      </c>
      <c r="DS86" s="55">
        <f>DS81+DS82+DS83+DS84+DS85</f>
        <v>90496.91</v>
      </c>
      <c r="DT86" s="55">
        <f>DT81+DT82+DT83+DT84+DT85</f>
        <v>85254.43000000001</v>
      </c>
      <c r="DU86" s="55">
        <f>DU81+DU82+DU83+DU84+DU85</f>
        <v>78847.28</v>
      </c>
      <c r="DV86" s="55">
        <f>DV81+DV82+DV83+DV84+DV85</f>
        <v>72050.0</v>
      </c>
      <c r="DW86" s="55">
        <f>DW81+DW82+DW83+DW84+DW85</f>
        <v>69440.18</v>
      </c>
      <c r="DX86" s="55">
        <f>DX81+DX82+DX83+DX84+DX85</f>
        <v>69440.2</v>
      </c>
      <c r="DY86" s="55">
        <f>DY81+DY82+DY83+DY84+DY85</f>
        <v>69440.2</v>
      </c>
      <c r="DZ86" s="55">
        <f>DZ81+DZ82+DZ83+DZ84+DZ85</f>
        <v>69440.2</v>
      </c>
      <c r="EA86" s="55">
        <f>EA81+EA82+EA83+EA84+EA85</f>
        <v>69440.2</v>
      </c>
      <c r="EB86" s="55">
        <f>EB81+EB82+EB83+EB84+EB85</f>
        <v>69440.2</v>
      </c>
      <c r="EC86" s="55">
        <f>EC81+EC82+EC83+EC84+EC85</f>
        <v>69440.2</v>
      </c>
      <c r="ED86" s="55">
        <f>ED81+ED82+ED83+ED84+ED85</f>
        <v>69440.2</v>
      </c>
      <c r="EE86" s="55">
        <f>EE81+EE82+EE83+EE84+EE85</f>
        <v>69440.2</v>
      </c>
      <c r="EF86" s="55">
        <f>EF81+EF82+EF83+EF84+EF85</f>
        <v>69440.2</v>
      </c>
      <c r="EG86" s="55">
        <f>EG81+EG82+EG83+EG84+EG85</f>
        <v>69440.2</v>
      </c>
      <c r="EH86" s="55">
        <f>EH81+EH82+EH83+EH84+EH85</f>
        <v>69440.2</v>
      </c>
      <c r="EI86" s="55">
        <f>EI81+EI82+EI83+EI84+EI85</f>
        <v>69440.2</v>
      </c>
      <c r="EJ86" s="55">
        <f>EJ81+EJ82+EJ83+EJ84+EJ85</f>
        <v>69440.2</v>
      </c>
      <c r="EK86" s="55">
        <f>EK81+EK82+EK83+EK84+EK85</f>
        <v>69440.2</v>
      </c>
      <c r="EL86" s="55">
        <f>EL81+EL82+EL83+EL84+EL85</f>
        <v>69440.2</v>
      </c>
      <c r="EM86" s="55">
        <f>EM81+EM82+EM83+EM84+EM85</f>
        <v>69440.2</v>
      </c>
      <c r="EN86" s="55">
        <f>EN81+EN82+EN83+EN84+EN85</f>
        <v>69440.2</v>
      </c>
      <c r="EO86" s="55">
        <f>EO81+EO82+EO83+EO84+EO85</f>
        <v>69440.2</v>
      </c>
      <c r="EP86" s="55">
        <f>EP81+EP82+EP83+EP84+EP85</f>
        <v>69440.2</v>
      </c>
      <c r="EQ86" s="55">
        <f>EQ81+EQ82+EQ83+EQ84+EQ85</f>
        <v>69440.2</v>
      </c>
      <c r="ER86" s="55">
        <f>ER81+ER82+ER83+ER84+ER85</f>
        <v>69440.2</v>
      </c>
    </row>
    <row r="87" spans="1:148" ht="16">
      <c r="A87" s="44" t="s">
        <v>84</v>
      </c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4">
        <v>4047.48</v>
      </c>
      <c r="BB87" s="54">
        <v>4047.48</v>
      </c>
      <c r="BC87" s="54">
        <v>4047.48</v>
      </c>
      <c r="BD87" s="54">
        <v>4047.48</v>
      </c>
      <c r="BE87" s="54">
        <v>4047.48</v>
      </c>
      <c r="BF87" s="54">
        <v>4047.48</v>
      </c>
      <c r="BG87" s="54">
        <v>4047.48</v>
      </c>
      <c r="BH87" s="54">
        <v>3944.67</v>
      </c>
      <c r="BI87" s="54">
        <v>4596.42</v>
      </c>
      <c r="BJ87" s="54">
        <v>4488.22</v>
      </c>
      <c r="BK87" s="54">
        <v>4879.150000000001</v>
      </c>
      <c r="BL87" s="54">
        <v>3357.9800000000005</v>
      </c>
      <c r="BM87" s="54">
        <v>3666.4900000000007</v>
      </c>
      <c r="BN87" s="54">
        <v>3822.1700000000005</v>
      </c>
      <c r="BO87" s="54">
        <v>3275.0800000000004</v>
      </c>
      <c r="BP87" s="54">
        <v>3285.6300000000006</v>
      </c>
      <c r="BQ87" s="54">
        <v>3285.6300000000006</v>
      </c>
      <c r="BR87" s="54">
        <v>3285.6300000000006</v>
      </c>
      <c r="BS87" s="54">
        <v>3285.6300000000006</v>
      </c>
      <c r="BT87" s="54">
        <v>3285.6300000000006</v>
      </c>
      <c r="BU87" s="54">
        <v>2464.0000000000005</v>
      </c>
      <c r="BV87" s="54">
        <v>3718.7900000000004</v>
      </c>
      <c r="BW87" s="54">
        <v>3718.7900000000004</v>
      </c>
      <c r="BX87" s="54">
        <v>3718.7900000000004</v>
      </c>
      <c r="BY87" s="54">
        <v>1254.4400000000005</v>
      </c>
      <c r="BZ87" s="54">
        <v>1254.4400000000005</v>
      </c>
      <c r="CA87" s="54">
        <v>1254.4400000000005</v>
      </c>
      <c r="CB87" s="54">
        <v>1254.4400000000005</v>
      </c>
      <c r="CC87" s="54">
        <v>906.1800000000005</v>
      </c>
      <c r="CD87" s="54">
        <v>817.5200000000006</v>
      </c>
      <c r="CE87" s="54">
        <v>817.5200000000006</v>
      </c>
      <c r="CF87" s="54">
        <v>817.5200000000006</v>
      </c>
      <c r="CG87" s="54">
        <v>5.684341886080801E-13</v>
      </c>
      <c r="CH87" s="54">
        <v>5.684341886080801E-13</v>
      </c>
      <c r="CI87" s="54">
        <v>5.684341886080801E-13</v>
      </c>
      <c r="CJ87" s="54">
        <v>5.684341886080801E-13</v>
      </c>
      <c r="CK87" s="54">
        <v>5.684341886080801E-13</v>
      </c>
      <c r="CL87" s="54">
        <v>5.684341886080801E-13</v>
      </c>
      <c r="CM87" s="54">
        <v>5.684341886080801E-13</v>
      </c>
      <c r="CN87" s="54">
        <v>5.684341886080801E-13</v>
      </c>
      <c r="CO87" s="54">
        <v>5.684341886080801E-13</v>
      </c>
      <c r="CP87" s="54">
        <v>5.684341886080801E-13</v>
      </c>
      <c r="CQ87" s="54">
        <v>5.684341886080801E-13</v>
      </c>
      <c r="CR87" s="54">
        <v>5.684341886080801E-13</v>
      </c>
      <c r="CS87" s="54">
        <v>5.684341886080801E-13</v>
      </c>
      <c r="CT87" s="54">
        <v>5.684341886080801E-13</v>
      </c>
      <c r="CU87" s="54">
        <v>5.684341886080801E-13</v>
      </c>
      <c r="CV87" s="54">
        <v>5.684341886080801E-13</v>
      </c>
      <c r="CW87" s="54">
        <v>5.684341886080801E-13</v>
      </c>
      <c r="CX87" s="54">
        <v>5.684341886080801E-13</v>
      </c>
      <c r="CY87" s="54">
        <v>5.684341886080801E-13</v>
      </c>
      <c r="CZ87" s="54">
        <v>5.684341886080801E-13</v>
      </c>
      <c r="DA87" s="54">
        <v>5.684341886080801E-13</v>
      </c>
      <c r="DB87" s="54">
        <v>5.684341886080801E-13</v>
      </c>
      <c r="DC87" s="54">
        <v>5.684341886080801E-13</v>
      </c>
      <c r="DD87" s="54">
        <v>-24188.25</v>
      </c>
      <c r="DE87" s="54">
        <v>0</v>
      </c>
      <c r="DF87" s="54">
        <v>2050.83</v>
      </c>
      <c r="DG87" s="54">
        <v>2050.83</v>
      </c>
      <c r="DH87" s="54">
        <v>3805.46</v>
      </c>
      <c r="DI87" s="54">
        <v>5869.8099999999995</v>
      </c>
      <c r="DJ87" s="54">
        <v>8460.449999999999</v>
      </c>
      <c r="DK87" s="54">
        <v>9131.849999999999</v>
      </c>
      <c r="DL87" s="54">
        <v>14567.399999999998</v>
      </c>
      <c r="DM87" s="54">
        <v>16957.76</v>
      </c>
      <c r="DN87" s="54">
        <v>23031.059999999998</v>
      </c>
      <c r="DO87" s="54">
        <v>23611.19</v>
      </c>
      <c r="DP87" s="54">
        <v>29579.1</v>
      </c>
      <c r="DQ87" s="54">
        <v>9131.849999999999</v>
      </c>
      <c r="DR87" s="54">
        <v>-15651.350000000002</v>
      </c>
      <c r="DS87" s="54">
        <v>-15390.470000000003</v>
      </c>
      <c r="DT87" s="54">
        <v>-12631.410000000003</v>
      </c>
      <c r="DU87" s="54">
        <v>-3347.6500000000033</v>
      </c>
      <c r="DV87" s="54">
        <v>4760.619999999997</v>
      </c>
      <c r="DW87" s="54">
        <v>1499.2099999999973</v>
      </c>
      <c r="DX87" s="54">
        <v>1008.0299999999972</v>
      </c>
      <c r="DY87" s="54">
        <v>411.26999999999725</v>
      </c>
      <c r="DZ87" s="54">
        <v>-3251.8300000000027</v>
      </c>
      <c r="EA87" s="54">
        <v>-10386.850000000002</v>
      </c>
      <c r="EB87" s="54">
        <v>-14340.980000000003</v>
      </c>
      <c r="EC87" s="54">
        <v>-3.637978807091713E-12</v>
      </c>
      <c r="ED87" s="54">
        <v>-28765.750000000004</v>
      </c>
      <c r="EE87" s="54">
        <v>-35482.530000000006</v>
      </c>
      <c r="EF87" s="54">
        <v>-38883.740000000005</v>
      </c>
      <c r="EG87" s="54">
        <v>-43051.670000000006</v>
      </c>
      <c r="EH87" s="54">
        <v>-48504.61000000001</v>
      </c>
      <c r="EI87" s="54">
        <v>-53272.65000000001</v>
      </c>
      <c r="EJ87" s="54">
        <v>-63127.630000000005</v>
      </c>
      <c r="EK87" s="54">
        <v>-66667.39</v>
      </c>
      <c r="EL87" s="54">
        <v>-70667.45</v>
      </c>
      <c r="EM87" s="54">
        <v>-74867.45</v>
      </c>
      <c r="EN87" s="54">
        <v>-79660.97</v>
      </c>
      <c r="EO87" s="54">
        <v>-88082.47</v>
      </c>
      <c r="EP87" s="54">
        <v>-95801.47</v>
      </c>
      <c r="EQ87" s="54">
        <v>-95801.47</v>
      </c>
      <c r="ER87" s="54">
        <v>-95801.47</v>
      </c>
    </row>
    <row r="88" spans="1:148" ht="16">
      <c r="A88" s="44" t="s">
        <v>85</v>
      </c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4">
        <v>300.92</v>
      </c>
      <c r="BZ88" s="54">
        <v>601.84</v>
      </c>
      <c r="CA88" s="54">
        <v>902.76</v>
      </c>
      <c r="CB88" s="54">
        <v>1203.68</v>
      </c>
      <c r="CC88" s="54">
        <v>1504.6000000000001</v>
      </c>
      <c r="CD88" s="54">
        <v>1805.5200000000002</v>
      </c>
      <c r="CE88" s="54">
        <v>2106.44</v>
      </c>
      <c r="CF88" s="54">
        <v>2407.36</v>
      </c>
      <c r="CG88" s="54">
        <v>2858.7400000000002</v>
      </c>
      <c r="CH88" s="54">
        <v>2858.7400000000002</v>
      </c>
      <c r="CI88" s="54">
        <v>2858.7400000000002</v>
      </c>
      <c r="CJ88" s="54">
        <v>2858.7400000000002</v>
      </c>
      <c r="CK88" s="54">
        <v>2858.7400000000002</v>
      </c>
      <c r="CL88" s="54">
        <v>2858.7400000000002</v>
      </c>
      <c r="CM88" s="54">
        <v>2858.7400000000002</v>
      </c>
      <c r="CN88" s="54">
        <v>2858.7400000000002</v>
      </c>
      <c r="CO88" s="54">
        <v>2858.7400000000002</v>
      </c>
      <c r="CP88" s="54">
        <v>2858.7400000000002</v>
      </c>
      <c r="CQ88" s="54">
        <v>2858.7400000000002</v>
      </c>
      <c r="CR88" s="54">
        <v>2858.7400000000002</v>
      </c>
      <c r="CS88" s="54">
        <v>2858.7400000000002</v>
      </c>
      <c r="CT88" s="54">
        <v>3133.55</v>
      </c>
      <c r="CU88" s="54">
        <v>2669.23</v>
      </c>
      <c r="CV88" s="54">
        <v>2500.48</v>
      </c>
      <c r="CW88" s="54">
        <v>2036.16</v>
      </c>
      <c r="CX88" s="54">
        <v>1571.8400000000001</v>
      </c>
      <c r="CY88" s="54">
        <v>2093.4</v>
      </c>
      <c r="CZ88" s="54">
        <v>2614.96</v>
      </c>
      <c r="DA88" s="54">
        <v>3136.52</v>
      </c>
      <c r="DB88" s="54">
        <v>3658.08</v>
      </c>
      <c r="DC88" s="54">
        <v>3686.7</v>
      </c>
      <c r="DD88" s="54">
        <v>4208.26</v>
      </c>
      <c r="DE88" s="54">
        <v>4814.900000000001</v>
      </c>
      <c r="DF88" s="54">
        <v>5478.900000000001</v>
      </c>
      <c r="DG88" s="54">
        <v>4770.960000000001</v>
      </c>
      <c r="DH88" s="54">
        <v>4063.020000000001</v>
      </c>
      <c r="DI88" s="54">
        <v>2806.840000000001</v>
      </c>
      <c r="DJ88" s="54">
        <v>2098.900000000001</v>
      </c>
      <c r="DK88" s="54">
        <v>1390.960000000001</v>
      </c>
      <c r="DL88" s="54">
        <v>683.0200000000009</v>
      </c>
      <c r="DM88" s="54">
        <v>-132.8599999999991</v>
      </c>
      <c r="DN88" s="54">
        <v>-948.7399999999991</v>
      </c>
      <c r="DO88" s="54">
        <v>-2256.919999999999</v>
      </c>
      <c r="DP88" s="54">
        <v>-3982.5999999999995</v>
      </c>
      <c r="DQ88" s="54">
        <v>4.547473508864641E-13</v>
      </c>
      <c r="DR88" s="54">
        <v>1673.3800000000006</v>
      </c>
      <c r="DS88" s="54">
        <v>-1486.5999999999995</v>
      </c>
      <c r="DT88" s="54">
        <v>-2144.0099999999993</v>
      </c>
      <c r="DU88" s="54">
        <v>9.094947017729282E-13</v>
      </c>
      <c r="DV88" s="54">
        <v>-978.169999999999</v>
      </c>
      <c r="DW88" s="54">
        <v>9.094947017729282E-13</v>
      </c>
      <c r="DX88" s="54">
        <v>564.080000000001</v>
      </c>
      <c r="DY88" s="54">
        <v>564.080000000001</v>
      </c>
      <c r="DZ88" s="54">
        <v>9.094947017729282E-13</v>
      </c>
      <c r="EA88" s="54">
        <v>319.47000000000094</v>
      </c>
      <c r="EB88" s="54">
        <v>958.410000000001</v>
      </c>
      <c r="EC88" s="54">
        <v>1.0231815394945443E-12</v>
      </c>
      <c r="ED88" s="54">
        <v>408.120000000001</v>
      </c>
      <c r="EE88" s="54">
        <v>816.240000000001</v>
      </c>
      <c r="EF88" s="54">
        <v>1.0231815394945443E-12</v>
      </c>
      <c r="EG88" s="54">
        <v>443.36000000000104</v>
      </c>
      <c r="EH88" s="54">
        <v>886.720000000001</v>
      </c>
      <c r="EI88" s="54">
        <v>1.0231815394945443E-12</v>
      </c>
      <c r="EJ88" s="54">
        <v>443.36000000000104</v>
      </c>
      <c r="EK88" s="54">
        <v>1422.7000000000012</v>
      </c>
      <c r="EL88" s="54">
        <v>1.1368683772161603E-12</v>
      </c>
      <c r="EM88" s="54">
        <v>443.36000000000115</v>
      </c>
      <c r="EN88" s="54">
        <v>1203.7200000000012</v>
      </c>
      <c r="EO88" s="54">
        <v>1.1368683772161603E-12</v>
      </c>
      <c r="EP88" s="54">
        <v>1.1368683772161603E-12</v>
      </c>
      <c r="EQ88" s="54">
        <v>1.1368683772161603E-12</v>
      </c>
      <c r="ER88" s="54">
        <v>1.1368683772161603E-12</v>
      </c>
    </row>
    <row r="89" spans="1:148" ht="16">
      <c r="A89" s="44" t="s">
        <v>86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</row>
    <row r="90" spans="1:148" ht="16">
      <c r="A90" s="45" t="s">
        <v>87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4">
        <v>410.41</v>
      </c>
      <c r="BZ90" s="54">
        <v>1231.24</v>
      </c>
      <c r="CA90" s="54">
        <v>2098.56</v>
      </c>
      <c r="CB90" s="54">
        <v>2913.48</v>
      </c>
      <c r="CC90" s="54">
        <v>3789.94</v>
      </c>
      <c r="CD90" s="54">
        <v>5384.4</v>
      </c>
      <c r="CE90" s="54">
        <v>6978.849999999999</v>
      </c>
      <c r="CF90" s="54">
        <v>8573.289999999999</v>
      </c>
      <c r="CG90" s="54">
        <v>12472.06</v>
      </c>
      <c r="CH90" s="54">
        <v>12472.06</v>
      </c>
      <c r="CI90" s="54">
        <v>12472.06</v>
      </c>
      <c r="CJ90" s="54">
        <v>12472.06</v>
      </c>
      <c r="CK90" s="54">
        <v>12472.06</v>
      </c>
      <c r="CL90" s="54">
        <v>12472.06</v>
      </c>
      <c r="CM90" s="54">
        <v>12472.06</v>
      </c>
      <c r="CN90" s="54">
        <v>12472.06</v>
      </c>
      <c r="CO90" s="54">
        <v>12472.06</v>
      </c>
      <c r="CP90" s="54">
        <v>12472.06</v>
      </c>
      <c r="CQ90" s="54">
        <v>12472.06</v>
      </c>
      <c r="CR90" s="54">
        <v>12472.06</v>
      </c>
      <c r="CS90" s="54">
        <v>12472.06</v>
      </c>
      <c r="CT90" s="54">
        <v>12472.06</v>
      </c>
      <c r="CU90" s="54">
        <v>12472.06</v>
      </c>
      <c r="CV90" s="54">
        <v>12472.06</v>
      </c>
      <c r="CW90" s="54">
        <v>12472.06</v>
      </c>
      <c r="CX90" s="54">
        <v>12472.06</v>
      </c>
      <c r="CY90" s="54">
        <v>12472.06</v>
      </c>
      <c r="CZ90" s="54">
        <v>12472.06</v>
      </c>
      <c r="DA90" s="54">
        <v>6441.259999999999</v>
      </c>
      <c r="DB90" s="54">
        <v>6441.259999999999</v>
      </c>
      <c r="DC90" s="54">
        <v>6441.259999999999</v>
      </c>
      <c r="DD90" s="54">
        <v>6441.259999999999</v>
      </c>
      <c r="DE90" s="54">
        <v>6441.259999999999</v>
      </c>
      <c r="DF90" s="54">
        <v>6441.259999999999</v>
      </c>
      <c r="DG90" s="54">
        <v>6441.259999999999</v>
      </c>
      <c r="DH90" s="54">
        <v>6441.259999999999</v>
      </c>
      <c r="DI90" s="54">
        <v>6441.259999999999</v>
      </c>
      <c r="DJ90" s="54">
        <v>6441.259999999999</v>
      </c>
      <c r="DK90" s="54">
        <v>6441.259999999999</v>
      </c>
      <c r="DL90" s="54">
        <v>6441.259999999999</v>
      </c>
      <c r="DM90" s="54">
        <v>6441.259999999999</v>
      </c>
      <c r="DN90" s="54">
        <v>6441.259999999999</v>
      </c>
      <c r="DO90" s="54">
        <v>6441.259999999999</v>
      </c>
      <c r="DP90" s="54">
        <v>6441.259999999999</v>
      </c>
      <c r="DQ90" s="54">
        <v>6441.259999999999</v>
      </c>
      <c r="DR90" s="54">
        <v>6441.259999999999</v>
      </c>
      <c r="DS90" s="54">
        <v>6441.259999999999</v>
      </c>
      <c r="DT90" s="54">
        <v>6441.259999999999</v>
      </c>
      <c r="DU90" s="54">
        <v>6441.259999999999</v>
      </c>
      <c r="DV90" s="54">
        <v>6441.259999999999</v>
      </c>
      <c r="DW90" s="54">
        <v>6441.259999999999</v>
      </c>
      <c r="DX90" s="54">
        <v>6441.259999999999</v>
      </c>
      <c r="DY90" s="54">
        <v>6441.259999999999</v>
      </c>
      <c r="DZ90" s="54">
        <v>6441.259999999999</v>
      </c>
      <c r="EA90" s="54">
        <v>6441.259999999999</v>
      </c>
      <c r="EB90" s="54">
        <v>6441.259999999999</v>
      </c>
      <c r="EC90" s="54">
        <v>-9.094947017729282E-13</v>
      </c>
      <c r="ED90" s="54">
        <v>-9.094947017729282E-13</v>
      </c>
      <c r="EE90" s="54">
        <v>-9.094947017729282E-13</v>
      </c>
      <c r="EF90" s="54">
        <v>-9.094947017729282E-13</v>
      </c>
      <c r="EG90" s="54">
        <v>-9.094947017729282E-13</v>
      </c>
      <c r="EH90" s="54">
        <v>-9.094947017729282E-13</v>
      </c>
      <c r="EI90" s="54">
        <v>-9.094947017729282E-13</v>
      </c>
      <c r="EJ90" s="54">
        <v>-9.094947017729282E-13</v>
      </c>
      <c r="EK90" s="54">
        <v>-9.094947017729282E-13</v>
      </c>
      <c r="EL90" s="54">
        <v>-9.094947017729282E-13</v>
      </c>
      <c r="EM90" s="54">
        <v>-9.094947017729282E-13</v>
      </c>
      <c r="EN90" s="54">
        <v>-9.094947017729282E-13</v>
      </c>
      <c r="EO90" s="54">
        <v>-9.094947017729282E-13</v>
      </c>
      <c r="EP90" s="54">
        <v>-9.094947017729282E-13</v>
      </c>
      <c r="EQ90" s="54">
        <v>-9.094947017729282E-13</v>
      </c>
      <c r="ER90" s="54">
        <v>-9.094947017729282E-13</v>
      </c>
    </row>
    <row r="91" spans="1:148" ht="16">
      <c r="A91" s="46" t="s">
        <v>88</v>
      </c>
      <c r="B91" s="55">
        <f>B89+B90</f>
        <v>0.0</v>
      </c>
      <c r="C91" s="55">
        <f>C89+C90</f>
        <v>0.0</v>
      </c>
      <c r="D91" s="55">
        <f>D89+D90</f>
        <v>0.0</v>
      </c>
      <c r="E91" s="55">
        <f>E89+E90</f>
        <v>0.0</v>
      </c>
      <c r="F91" s="55">
        <f>F89+F90</f>
        <v>0.0</v>
      </c>
      <c r="G91" s="55">
        <f>G89+G90</f>
        <v>0.0</v>
      </c>
      <c r="H91" s="55">
        <f>H89+H90</f>
        <v>0.0</v>
      </c>
      <c r="I91" s="55">
        <f>I89+I90</f>
        <v>0.0</v>
      </c>
      <c r="J91" s="55">
        <f>J89+J90</f>
        <v>0.0</v>
      </c>
      <c r="K91" s="55">
        <f>K89+K90</f>
        <v>0.0</v>
      </c>
      <c r="L91" s="55">
        <f>L89+L90</f>
        <v>0.0</v>
      </c>
      <c r="M91" s="55">
        <f>M89+M90</f>
        <v>0.0</v>
      </c>
      <c r="N91" s="55">
        <f>N89+N90</f>
        <v>0.0</v>
      </c>
      <c r="O91" s="55">
        <f>O89+O90</f>
        <v>0.0</v>
      </c>
      <c r="P91" s="55">
        <f>P89+P90</f>
        <v>0.0</v>
      </c>
      <c r="Q91" s="55">
        <f>Q89+Q90</f>
        <v>0.0</v>
      </c>
      <c r="R91" s="55">
        <f>R89+R90</f>
        <v>0.0</v>
      </c>
      <c r="S91" s="55">
        <f>S89+S90</f>
        <v>0.0</v>
      </c>
      <c r="T91" s="55">
        <f>T89+T90</f>
        <v>0.0</v>
      </c>
      <c r="U91" s="55">
        <f>U89+U90</f>
        <v>0.0</v>
      </c>
      <c r="V91" s="55">
        <f>V89+V90</f>
        <v>0.0</v>
      </c>
      <c r="W91" s="55">
        <f>W89+W90</f>
        <v>0.0</v>
      </c>
      <c r="X91" s="55">
        <f>X89+X90</f>
        <v>0.0</v>
      </c>
      <c r="Y91" s="55">
        <f>Y89+Y90</f>
        <v>0.0</v>
      </c>
      <c r="Z91" s="55">
        <f>Z89+Z90</f>
        <v>0.0</v>
      </c>
      <c r="AA91" s="55">
        <f>AA89+AA90</f>
        <v>0.0</v>
      </c>
      <c r="AB91" s="55">
        <f>AB89+AB90</f>
        <v>0.0</v>
      </c>
      <c r="AC91" s="55">
        <f>AC89+AC90</f>
        <v>0.0</v>
      </c>
      <c r="AD91" s="55">
        <f>AD89+AD90</f>
        <v>0.0</v>
      </c>
      <c r="AE91" s="55">
        <f>AE89+AE90</f>
        <v>0.0</v>
      </c>
      <c r="AF91" s="55">
        <f>AF89+AF90</f>
        <v>0.0</v>
      </c>
      <c r="AG91" s="55">
        <f>AG89+AG90</f>
        <v>0.0</v>
      </c>
      <c r="AH91" s="55">
        <f>AH89+AH90</f>
        <v>0.0</v>
      </c>
      <c r="AI91" s="55">
        <f>AI89+AI90</f>
        <v>0.0</v>
      </c>
      <c r="AJ91" s="55">
        <f>AJ89+AJ90</f>
        <v>0.0</v>
      </c>
      <c r="AK91" s="55">
        <f>AK89+AK90</f>
        <v>0.0</v>
      </c>
      <c r="AL91" s="55">
        <f>AL89+AL90</f>
        <v>0.0</v>
      </c>
      <c r="AM91" s="55">
        <f>AM89+AM90</f>
        <v>0.0</v>
      </c>
      <c r="AN91" s="55">
        <f>AN89+AN90</f>
        <v>0.0</v>
      </c>
      <c r="AO91" s="55">
        <f>AO89+AO90</f>
        <v>0.0</v>
      </c>
      <c r="AP91" s="55">
        <f>AP89+AP90</f>
        <v>0.0</v>
      </c>
      <c r="AQ91" s="55">
        <f>AQ89+AQ90</f>
        <v>0.0</v>
      </c>
      <c r="AR91" s="55">
        <f>AR89+AR90</f>
        <v>0.0</v>
      </c>
      <c r="AS91" s="55">
        <f>AS89+AS90</f>
        <v>0.0</v>
      </c>
      <c r="AT91" s="55">
        <f>AT89+AT90</f>
        <v>0.0</v>
      </c>
      <c r="AU91" s="55">
        <f>AU89+AU90</f>
        <v>0.0</v>
      </c>
      <c r="AV91" s="55">
        <f>AV89+AV90</f>
        <v>0.0</v>
      </c>
      <c r="AW91" s="55">
        <f>AW89+AW90</f>
        <v>0.0</v>
      </c>
      <c r="AX91" s="55">
        <f>AX89+AX90</f>
        <v>0.0</v>
      </c>
      <c r="AY91" s="55">
        <f>AY89+AY90</f>
        <v>0.0</v>
      </c>
      <c r="AZ91" s="55">
        <f>AZ89+AZ90</f>
        <v>0.0</v>
      </c>
      <c r="BA91" s="55">
        <f>BA89+BA90</f>
        <v>0.0</v>
      </c>
      <c r="BB91" s="55">
        <f>BB89+BB90</f>
        <v>0.0</v>
      </c>
      <c r="BC91" s="55">
        <f>BC89+BC90</f>
        <v>0.0</v>
      </c>
      <c r="BD91" s="55">
        <f>BD89+BD90</f>
        <v>0.0</v>
      </c>
      <c r="BE91" s="55">
        <f>BE89+BE90</f>
        <v>0.0</v>
      </c>
      <c r="BF91" s="55">
        <f>BF89+BF90</f>
        <v>0.0</v>
      </c>
      <c r="BG91" s="55">
        <f>BG89+BG90</f>
        <v>0.0</v>
      </c>
      <c r="BH91" s="55">
        <f>BH89+BH90</f>
        <v>0.0</v>
      </c>
      <c r="BI91" s="55">
        <f>BI89+BI90</f>
        <v>0.0</v>
      </c>
      <c r="BJ91" s="55">
        <f>BJ89+BJ90</f>
        <v>0.0</v>
      </c>
      <c r="BK91" s="55">
        <f>BK89+BK90</f>
        <v>0.0</v>
      </c>
      <c r="BL91" s="55">
        <f>BL89+BL90</f>
        <v>0.0</v>
      </c>
      <c r="BM91" s="55">
        <f>BM89+BM90</f>
        <v>0.0</v>
      </c>
      <c r="BN91" s="55">
        <f>BN89+BN90</f>
        <v>0.0</v>
      </c>
      <c r="BO91" s="55">
        <f>BO89+BO90</f>
        <v>0.0</v>
      </c>
      <c r="BP91" s="55">
        <f>BP89+BP90</f>
        <v>0.0</v>
      </c>
      <c r="BQ91" s="55">
        <f>BQ89+BQ90</f>
        <v>0.0</v>
      </c>
      <c r="BR91" s="55">
        <f>BR89+BR90</f>
        <v>0.0</v>
      </c>
      <c r="BS91" s="55">
        <f>BS89+BS90</f>
        <v>0.0</v>
      </c>
      <c r="BT91" s="55">
        <f>BT89+BT90</f>
        <v>0.0</v>
      </c>
      <c r="BU91" s="55">
        <f>BU89+BU90</f>
        <v>0.0</v>
      </c>
      <c r="BV91" s="55">
        <f>BV89+BV90</f>
        <v>0.0</v>
      </c>
      <c r="BW91" s="55">
        <f>BW89+BW90</f>
        <v>0.0</v>
      </c>
      <c r="BX91" s="55">
        <f>BX89+BX90</f>
        <v>0.0</v>
      </c>
      <c r="BY91" s="55">
        <f>BY89+BY90</f>
        <v>410.41</v>
      </c>
      <c r="BZ91" s="55">
        <f>BZ89+BZ90</f>
        <v>1231.24</v>
      </c>
      <c r="CA91" s="55">
        <f>CA89+CA90</f>
        <v>2098.56</v>
      </c>
      <c r="CB91" s="55">
        <f>CB89+CB90</f>
        <v>2913.48</v>
      </c>
      <c r="CC91" s="55">
        <f>CC89+CC90</f>
        <v>3789.94</v>
      </c>
      <c r="CD91" s="55">
        <f>CD89+CD90</f>
        <v>5384.4</v>
      </c>
      <c r="CE91" s="55">
        <f>CE89+CE90</f>
        <v>6978.849999999999</v>
      </c>
      <c r="CF91" s="55">
        <f>CF89+CF90</f>
        <v>8573.289999999999</v>
      </c>
      <c r="CG91" s="55">
        <f>CG89+CG90</f>
        <v>12472.06</v>
      </c>
      <c r="CH91" s="55">
        <f>CH89+CH90</f>
        <v>12472.06</v>
      </c>
      <c r="CI91" s="55">
        <f>CI89+CI90</f>
        <v>12472.06</v>
      </c>
      <c r="CJ91" s="55">
        <f>CJ89+CJ90</f>
        <v>12472.06</v>
      </c>
      <c r="CK91" s="55">
        <f>CK89+CK90</f>
        <v>12472.06</v>
      </c>
      <c r="CL91" s="55">
        <f>CL89+CL90</f>
        <v>12472.06</v>
      </c>
      <c r="CM91" s="55">
        <f>CM89+CM90</f>
        <v>12472.06</v>
      </c>
      <c r="CN91" s="55">
        <f>CN89+CN90</f>
        <v>12472.06</v>
      </c>
      <c r="CO91" s="55">
        <f>CO89+CO90</f>
        <v>12472.06</v>
      </c>
      <c r="CP91" s="55">
        <f>CP89+CP90</f>
        <v>12472.06</v>
      </c>
      <c r="CQ91" s="55">
        <f>CQ89+CQ90</f>
        <v>12472.06</v>
      </c>
      <c r="CR91" s="55">
        <f>CR89+CR90</f>
        <v>12472.06</v>
      </c>
      <c r="CS91" s="55">
        <f>CS89+CS90</f>
        <v>12472.06</v>
      </c>
      <c r="CT91" s="55">
        <f>CT89+CT90</f>
        <v>12472.06</v>
      </c>
      <c r="CU91" s="55">
        <f>CU89+CU90</f>
        <v>12472.06</v>
      </c>
      <c r="CV91" s="55">
        <f>CV89+CV90</f>
        <v>12472.06</v>
      </c>
      <c r="CW91" s="55">
        <f>CW89+CW90</f>
        <v>12472.06</v>
      </c>
      <c r="CX91" s="55">
        <f>CX89+CX90</f>
        <v>12472.06</v>
      </c>
      <c r="CY91" s="55">
        <f>CY89+CY90</f>
        <v>12472.06</v>
      </c>
      <c r="CZ91" s="55">
        <f>CZ89+CZ90</f>
        <v>12472.06</v>
      </c>
      <c r="DA91" s="55">
        <f>DA89+DA90</f>
        <v>6441.259999999999</v>
      </c>
      <c r="DB91" s="55">
        <f>DB89+DB90</f>
        <v>6441.259999999999</v>
      </c>
      <c r="DC91" s="55">
        <f>DC89+DC90</f>
        <v>6441.259999999999</v>
      </c>
      <c r="DD91" s="55">
        <f>DD89+DD90</f>
        <v>6441.259999999999</v>
      </c>
      <c r="DE91" s="55">
        <f>DE89+DE90</f>
        <v>6441.259999999999</v>
      </c>
      <c r="DF91" s="55">
        <f>DF89+DF90</f>
        <v>6441.259999999999</v>
      </c>
      <c r="DG91" s="55">
        <f>DG89+DG90</f>
        <v>6441.259999999999</v>
      </c>
      <c r="DH91" s="55">
        <f>DH89+DH90</f>
        <v>6441.259999999999</v>
      </c>
      <c r="DI91" s="55">
        <f>DI89+DI90</f>
        <v>6441.259999999999</v>
      </c>
      <c r="DJ91" s="55">
        <f>DJ89+DJ90</f>
        <v>6441.259999999999</v>
      </c>
      <c r="DK91" s="55">
        <f>DK89+DK90</f>
        <v>6441.259999999999</v>
      </c>
      <c r="DL91" s="55">
        <f>DL89+DL90</f>
        <v>6441.259999999999</v>
      </c>
      <c r="DM91" s="55">
        <f>DM89+DM90</f>
        <v>6441.259999999999</v>
      </c>
      <c r="DN91" s="55">
        <f>DN89+DN90</f>
        <v>6441.259999999999</v>
      </c>
      <c r="DO91" s="55">
        <f>DO89+DO90</f>
        <v>6441.259999999999</v>
      </c>
      <c r="DP91" s="55">
        <f>DP89+DP90</f>
        <v>6441.259999999999</v>
      </c>
      <c r="DQ91" s="55">
        <f>DQ89+DQ90</f>
        <v>6441.259999999999</v>
      </c>
      <c r="DR91" s="55">
        <f>DR89+DR90</f>
        <v>6441.259999999999</v>
      </c>
      <c r="DS91" s="55">
        <f>DS89+DS90</f>
        <v>6441.259999999999</v>
      </c>
      <c r="DT91" s="55">
        <f>DT89+DT90</f>
        <v>6441.259999999999</v>
      </c>
      <c r="DU91" s="55">
        <f>DU89+DU90</f>
        <v>6441.259999999999</v>
      </c>
      <c r="DV91" s="55">
        <f>DV89+DV90</f>
        <v>6441.259999999999</v>
      </c>
      <c r="DW91" s="55">
        <f>DW89+DW90</f>
        <v>6441.259999999999</v>
      </c>
      <c r="DX91" s="55">
        <f>DX89+DX90</f>
        <v>6441.259999999999</v>
      </c>
      <c r="DY91" s="55">
        <f>DY89+DY90</f>
        <v>6441.259999999999</v>
      </c>
      <c r="DZ91" s="55">
        <f>DZ89+DZ90</f>
        <v>6441.259999999999</v>
      </c>
      <c r="EA91" s="55">
        <f>EA89+EA90</f>
        <v>6441.259999999999</v>
      </c>
      <c r="EB91" s="55">
        <f>EB89+EB90</f>
        <v>6441.259999999999</v>
      </c>
      <c r="EC91" s="55">
        <f>EC89+EC90</f>
        <v>-9.094947017729282E-13</v>
      </c>
      <c r="ED91" s="55">
        <f>ED89+ED90</f>
        <v>-9.094947017729282E-13</v>
      </c>
      <c r="EE91" s="55">
        <f>EE89+EE90</f>
        <v>-9.094947017729282E-13</v>
      </c>
      <c r="EF91" s="55">
        <f>EF89+EF90</f>
        <v>-9.094947017729282E-13</v>
      </c>
      <c r="EG91" s="55">
        <f>EG89+EG90</f>
        <v>-9.094947017729282E-13</v>
      </c>
      <c r="EH91" s="55">
        <f>EH89+EH90</f>
        <v>-9.094947017729282E-13</v>
      </c>
      <c r="EI91" s="55">
        <f>EI89+EI90</f>
        <v>-9.094947017729282E-13</v>
      </c>
      <c r="EJ91" s="55">
        <f>EJ89+EJ90</f>
        <v>-9.094947017729282E-13</v>
      </c>
      <c r="EK91" s="55">
        <f>EK89+EK90</f>
        <v>-9.094947017729282E-13</v>
      </c>
      <c r="EL91" s="55">
        <f>EL89+EL90</f>
        <v>-9.094947017729282E-13</v>
      </c>
      <c r="EM91" s="55">
        <f>EM89+EM90</f>
        <v>-9.094947017729282E-13</v>
      </c>
      <c r="EN91" s="55">
        <f>EN89+EN90</f>
        <v>-9.094947017729282E-13</v>
      </c>
      <c r="EO91" s="55">
        <f>EO89+EO90</f>
        <v>-9.094947017729282E-13</v>
      </c>
      <c r="EP91" s="55">
        <f>EP89+EP90</f>
        <v>-9.094947017729282E-13</v>
      </c>
      <c r="EQ91" s="55">
        <f>EQ89+EQ90</f>
        <v>-9.094947017729282E-13</v>
      </c>
      <c r="ER91" s="55">
        <f>ER89+ER90</f>
        <v>-9.094947017729282E-13</v>
      </c>
    </row>
    <row r="92" spans="1:148" ht="16">
      <c r="A92" s="44" t="s">
        <v>89</v>
      </c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4">
        <v>5400.0</v>
      </c>
      <c r="DI92" s="54">
        <v>5400.0</v>
      </c>
      <c r="DJ92" s="54">
        <v>5400.0</v>
      </c>
      <c r="DK92" s="54">
        <v>5400.0</v>
      </c>
      <c r="DL92" s="54">
        <v>5400.0</v>
      </c>
      <c r="DM92" s="54">
        <v>5400.0</v>
      </c>
      <c r="DN92" s="54">
        <v>5400.0</v>
      </c>
      <c r="DO92" s="54">
        <v>5400.0</v>
      </c>
      <c r="DP92" s="54">
        <v>5400.0</v>
      </c>
      <c r="DQ92" s="54">
        <v>5400.0</v>
      </c>
      <c r="DR92" s="54">
        <v>5400.0</v>
      </c>
      <c r="DS92" s="54">
        <v>15142.78</v>
      </c>
      <c r="DT92" s="54">
        <v>5400.0</v>
      </c>
      <c r="DU92" s="54">
        <v>14550.0</v>
      </c>
      <c r="DV92" s="54">
        <v>5400.0</v>
      </c>
      <c r="DW92" s="54">
        <v>7730.0</v>
      </c>
      <c r="DX92" s="54">
        <v>9347.73</v>
      </c>
      <c r="DY92" s="54">
        <v>3947.7299999999996</v>
      </c>
      <c r="DZ92" s="54">
        <v>3947.7299999999996</v>
      </c>
      <c r="EA92" s="54">
        <v>2329.9999999999995</v>
      </c>
      <c r="EB92" s="54">
        <v>2329.9999999999995</v>
      </c>
      <c r="EC92" s="54">
        <v>2329.9999999999995</v>
      </c>
      <c r="ED92" s="54">
        <v>2329.9999999999995</v>
      </c>
      <c r="EE92" s="54">
        <v>2329.9999999999995</v>
      </c>
      <c r="EF92" s="54">
        <v>2329.9999999999995</v>
      </c>
      <c r="EG92" s="54">
        <v>2329.9999999999995</v>
      </c>
      <c r="EH92" s="54">
        <v>2329.9999999999995</v>
      </c>
      <c r="EI92" s="54">
        <v>2329.9999999999995</v>
      </c>
      <c r="EJ92" s="54">
        <v>2329.9999999999995</v>
      </c>
      <c r="EK92" s="54">
        <v>2329.9999999999995</v>
      </c>
      <c r="EL92" s="54">
        <v>3217.9999999999995</v>
      </c>
      <c r="EM92" s="54">
        <v>4066.9999999999995</v>
      </c>
      <c r="EN92" s="54">
        <v>3521.4799999999996</v>
      </c>
      <c r="EO92" s="54">
        <v>5842.42</v>
      </c>
      <c r="EP92" s="54">
        <v>7228.34</v>
      </c>
      <c r="EQ92" s="54">
        <v>7228.34</v>
      </c>
      <c r="ER92" s="54">
        <v>7228.34</v>
      </c>
    </row>
    <row r="93" spans="1:148" ht="16">
      <c r="A93" s="44" t="s">
        <v>90</v>
      </c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4">
        <v>100000.0</v>
      </c>
      <c r="DR93" s="54">
        <v>0</v>
      </c>
      <c r="DS93" s="54">
        <v>0</v>
      </c>
      <c r="DT93" s="54">
        <v>0</v>
      </c>
      <c r="DU93" s="54">
        <v>0</v>
      </c>
      <c r="DV93" s="54">
        <v>0</v>
      </c>
      <c r="DW93" s="54">
        <v>0</v>
      </c>
      <c r="DX93" s="54">
        <v>0</v>
      </c>
      <c r="DY93" s="54">
        <v>0</v>
      </c>
      <c r="DZ93" s="54">
        <v>0</v>
      </c>
      <c r="EA93" s="54">
        <v>0</v>
      </c>
      <c r="EB93" s="54">
        <v>0</v>
      </c>
      <c r="EC93" s="54">
        <v>0</v>
      </c>
      <c r="ED93" s="54">
        <v>0</v>
      </c>
      <c r="EE93" s="54">
        <v>0</v>
      </c>
      <c r="EF93" s="54">
        <v>0</v>
      </c>
      <c r="EG93" s="54">
        <v>0</v>
      </c>
      <c r="EH93" s="54">
        <v>0</v>
      </c>
      <c r="EI93" s="54">
        <v>0</v>
      </c>
      <c r="EJ93" s="54">
        <v>0</v>
      </c>
      <c r="EK93" s="54">
        <v>0</v>
      </c>
      <c r="EL93" s="54">
        <v>0</v>
      </c>
      <c r="EM93" s="54">
        <v>0</v>
      </c>
      <c r="EN93" s="54">
        <v>0</v>
      </c>
      <c r="EO93" s="54">
        <v>0</v>
      </c>
      <c r="EP93" s="54">
        <v>0</v>
      </c>
      <c r="EQ93" s="54">
        <v>0</v>
      </c>
      <c r="ER93" s="54">
        <v>0</v>
      </c>
    </row>
    <row r="94" spans="1:148" ht="16">
      <c r="A94" s="44" t="s">
        <v>91</v>
      </c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4">
        <v>29000.0</v>
      </c>
      <c r="DR94" s="54">
        <v>0</v>
      </c>
      <c r="DS94" s="54">
        <v>0</v>
      </c>
      <c r="DT94" s="54">
        <v>0</v>
      </c>
      <c r="DU94" s="54">
        <v>0</v>
      </c>
      <c r="DV94" s="54">
        <v>0</v>
      </c>
      <c r="DW94" s="54">
        <v>0</v>
      </c>
      <c r="DX94" s="54">
        <v>0</v>
      </c>
      <c r="DY94" s="54">
        <v>0</v>
      </c>
      <c r="DZ94" s="54">
        <v>0</v>
      </c>
      <c r="EA94" s="54">
        <v>0</v>
      </c>
      <c r="EB94" s="54">
        <v>0</v>
      </c>
      <c r="EC94" s="54">
        <v>0</v>
      </c>
      <c r="ED94" s="54">
        <v>0</v>
      </c>
      <c r="EE94" s="54">
        <v>0</v>
      </c>
      <c r="EF94" s="54">
        <v>0</v>
      </c>
      <c r="EG94" s="54">
        <v>0</v>
      </c>
      <c r="EH94" s="54">
        <v>0</v>
      </c>
      <c r="EI94" s="54">
        <v>0</v>
      </c>
      <c r="EJ94" s="54">
        <v>0</v>
      </c>
      <c r="EK94" s="54">
        <v>0</v>
      </c>
      <c r="EL94" s="54">
        <v>0</v>
      </c>
      <c r="EM94" s="54">
        <v>0</v>
      </c>
      <c r="EN94" s="54">
        <v>0</v>
      </c>
      <c r="EO94" s="54">
        <v>0</v>
      </c>
      <c r="EP94" s="54">
        <v>0</v>
      </c>
      <c r="EQ94" s="54">
        <v>0</v>
      </c>
      <c r="ER94" s="54">
        <v>0</v>
      </c>
    </row>
    <row r="95" spans="1:148" ht="16">
      <c r="A95" s="44" t="s">
        <v>92</v>
      </c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4">
        <v>39926.25</v>
      </c>
      <c r="DU95" s="54">
        <v>34295.63</v>
      </c>
      <c r="DV95" s="54">
        <v>28665.01</v>
      </c>
      <c r="DW95" s="54">
        <v>23290.309999999998</v>
      </c>
      <c r="DX95" s="54">
        <v>19658.62</v>
      </c>
      <c r="DY95" s="54">
        <v>14028.0</v>
      </c>
      <c r="DZ95" s="54">
        <v>11724.56</v>
      </c>
      <c r="EA95" s="54">
        <v>9055.88</v>
      </c>
      <c r="EB95" s="54">
        <v>11824.519999999999</v>
      </c>
      <c r="EC95" s="54">
        <v>9789.319999999998</v>
      </c>
      <c r="ED95" s="54">
        <v>5026.519999999998</v>
      </c>
      <c r="EE95" s="54">
        <v>-2.7284841053187847E-12</v>
      </c>
      <c r="EF95" s="54">
        <v>-2.7284841053187847E-12</v>
      </c>
      <c r="EG95" s="54">
        <v>-2.7284841053187847E-12</v>
      </c>
      <c r="EH95" s="54">
        <v>-2.7284841053187847E-12</v>
      </c>
      <c r="EI95" s="54">
        <v>-2.7284841053187847E-12</v>
      </c>
      <c r="EJ95" s="54">
        <v>-2.7284841053187847E-12</v>
      </c>
      <c r="EK95" s="54">
        <v>-2.7284841053187847E-12</v>
      </c>
      <c r="EL95" s="54">
        <v>-2.7284841053187847E-12</v>
      </c>
      <c r="EM95" s="54">
        <v>-2.7284841053187847E-12</v>
      </c>
      <c r="EN95" s="54">
        <v>-2.7284841053187847E-12</v>
      </c>
      <c r="EO95" s="54">
        <v>-2.7284841053187847E-12</v>
      </c>
      <c r="EP95" s="54">
        <v>-2.7284841053187847E-12</v>
      </c>
      <c r="EQ95" s="54">
        <v>-2.7284841053187847E-12</v>
      </c>
      <c r="ER95" s="54">
        <v>-2.7284841053187847E-12</v>
      </c>
    </row>
    <row r="96" spans="1:148" ht="16">
      <c r="A96" s="44" t="s">
        <v>93</v>
      </c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4">
        <v>14000.0</v>
      </c>
      <c r="DQ96" s="54">
        <v>0</v>
      </c>
      <c r="DR96" s="54">
        <v>0</v>
      </c>
      <c r="DS96" s="54">
        <v>0</v>
      </c>
      <c r="DT96" s="54">
        <v>0</v>
      </c>
      <c r="DU96" s="54">
        <v>0</v>
      </c>
      <c r="DV96" s="54">
        <v>0</v>
      </c>
      <c r="DW96" s="54">
        <v>0</v>
      </c>
      <c r="DX96" s="54">
        <v>0</v>
      </c>
      <c r="DY96" s="54">
        <v>5000.0</v>
      </c>
      <c r="DZ96" s="54">
        <v>5000.0</v>
      </c>
      <c r="EA96" s="54">
        <v>5000.0</v>
      </c>
      <c r="EB96" s="54">
        <v>5000.0</v>
      </c>
      <c r="EC96" s="54">
        <v>5000.0</v>
      </c>
      <c r="ED96" s="54">
        <v>5000.0</v>
      </c>
      <c r="EE96" s="54">
        <v>5000.0</v>
      </c>
      <c r="EF96" s="54">
        <v>5000.0</v>
      </c>
      <c r="EG96" s="54">
        <v>5000.0</v>
      </c>
      <c r="EH96" s="54">
        <v>0</v>
      </c>
      <c r="EI96" s="54">
        <v>0</v>
      </c>
      <c r="EJ96" s="54">
        <v>0</v>
      </c>
      <c r="EK96" s="54">
        <v>0</v>
      </c>
      <c r="EL96" s="54">
        <v>0</v>
      </c>
      <c r="EM96" s="54">
        <v>0</v>
      </c>
      <c r="EN96" s="54">
        <v>0</v>
      </c>
      <c r="EO96" s="54">
        <v>0</v>
      </c>
      <c r="EP96" s="54">
        <v>0</v>
      </c>
      <c r="EQ96" s="54">
        <v>0</v>
      </c>
      <c r="ER96" s="54">
        <v>0</v>
      </c>
    </row>
    <row r="97" spans="1:148" ht="16">
      <c r="A97" s="44" t="s">
        <v>94</v>
      </c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4">
        <v>0</v>
      </c>
      <c r="EO97" s="54">
        <v>0</v>
      </c>
      <c r="EP97" s="54">
        <v>0</v>
      </c>
      <c r="EQ97" s="54">
        <v>0</v>
      </c>
      <c r="ER97" s="54">
        <v>0</v>
      </c>
    </row>
    <row r="98" spans="1:148" ht="16">
      <c r="A98" s="44" t="s">
        <v>95</v>
      </c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4">
        <v>32.82</v>
      </c>
      <c r="EO98" s="54">
        <v>87.9</v>
      </c>
      <c r="EP98" s="54">
        <v>111.5</v>
      </c>
      <c r="EQ98" s="54">
        <v>111.5</v>
      </c>
      <c r="ER98" s="54">
        <v>111.5</v>
      </c>
    </row>
    <row r="99" spans="1:148" ht="16">
      <c r="A99" s="44" t="s">
        <v>96</v>
      </c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4">
        <v>3125.01</v>
      </c>
      <c r="DG99" s="54">
        <v>9375.03</v>
      </c>
      <c r="DH99" s="54">
        <v>15625.050000000001</v>
      </c>
      <c r="DI99" s="54">
        <v>21875.07</v>
      </c>
      <c r="DJ99" s="54">
        <v>28125.09</v>
      </c>
      <c r="DK99" s="54">
        <v>34375.11</v>
      </c>
      <c r="DL99" s="54">
        <v>40625.130000000005</v>
      </c>
      <c r="DM99" s="54">
        <v>46875.15000000001</v>
      </c>
      <c r="DN99" s="54">
        <v>50000.16000000001</v>
      </c>
      <c r="DO99" s="54">
        <v>62500.20000000001</v>
      </c>
      <c r="DP99" s="54">
        <v>68750.22000000002</v>
      </c>
      <c r="DQ99" s="54">
        <v>68750.22000000002</v>
      </c>
      <c r="DR99" s="54">
        <v>71875.23000000001</v>
      </c>
      <c r="DS99" s="54">
        <v>75000.24</v>
      </c>
      <c r="DT99" s="54">
        <v>80375.27</v>
      </c>
      <c r="DU99" s="54">
        <v>83125.29000000001</v>
      </c>
      <c r="DV99" s="54">
        <v>84875.31000000001</v>
      </c>
      <c r="DW99" s="54">
        <v>91125.33000000002</v>
      </c>
      <c r="DX99" s="54">
        <v>93925.35000000002</v>
      </c>
      <c r="DY99" s="54">
        <v>92425.35000000002</v>
      </c>
      <c r="DZ99" s="54">
        <v>101925.39000000001</v>
      </c>
      <c r="EA99" s="54">
        <v>104550.41000000002</v>
      </c>
      <c r="EB99" s="54">
        <v>106356.68000000002</v>
      </c>
      <c r="EC99" s="54">
        <v>107880.70000000003</v>
      </c>
      <c r="ED99" s="54">
        <v>107880.70000000003</v>
      </c>
      <c r="EE99" s="54">
        <v>107880.70000000003</v>
      </c>
      <c r="EF99" s="54">
        <v>107880.70000000003</v>
      </c>
      <c r="EG99" s="54">
        <v>107880.70000000003</v>
      </c>
      <c r="EH99" s="54">
        <v>107880.70000000003</v>
      </c>
      <c r="EI99" s="54">
        <v>107880.70000000003</v>
      </c>
      <c r="EJ99" s="54">
        <v>107880.70000000003</v>
      </c>
      <c r="EK99" s="54">
        <v>107880.70000000003</v>
      </c>
      <c r="EL99" s="54">
        <v>107880.70000000003</v>
      </c>
      <c r="EM99" s="54">
        <v>107880.70000000003</v>
      </c>
      <c r="EN99" s="54">
        <v>107880.70000000003</v>
      </c>
      <c r="EO99" s="54">
        <v>176913.7</v>
      </c>
      <c r="EP99" s="54">
        <v>176913.7</v>
      </c>
      <c r="EQ99" s="54">
        <v>176913.7</v>
      </c>
      <c r="ER99" s="54">
        <v>176913.7</v>
      </c>
    </row>
    <row r="100" spans="1:148" ht="16">
      <c r="A100" s="47" t="s">
        <v>97</v>
      </c>
      <c r="B100" s="55">
        <f>B80+B86+B87+B88+B91+B92+B93+B94+B95+B96+B97+B98+B99</f>
        <v>0.0</v>
      </c>
      <c r="C100" s="55">
        <f>C80+C86+C87+C88+C91+C92+C93+C94+C95+C96+C97+C98+C99</f>
        <v>0.0</v>
      </c>
      <c r="D100" s="55">
        <f>D80+D86+D87+D88+D91+D92+D93+D94+D95+D96+D97+D98+D99</f>
        <v>0.0</v>
      </c>
      <c r="E100" s="55">
        <f>E80+E86+E87+E88+E91+E92+E93+E94+E95+E96+E97+E98+E99</f>
        <v>0.0</v>
      </c>
      <c r="F100" s="55">
        <f>F80+F86+F87+F88+F91+F92+F93+F94+F95+F96+F97+F98+F99</f>
        <v>3000.0</v>
      </c>
      <c r="G100" s="55">
        <f>G80+G86+G87+G88+G91+G92+G93+G94+G95+G96+G97+G98+G99</f>
        <v>5700.0</v>
      </c>
      <c r="H100" s="55">
        <f>H80+H86+H87+H88+H91+H92+H93+H94+H95+H96+H97+H98+H99</f>
        <v>5700.0</v>
      </c>
      <c r="I100" s="55">
        <f>I80+I86+I87+I88+I91+I92+I93+I94+I95+I96+I97+I98+I99</f>
        <v>5700.0</v>
      </c>
      <c r="J100" s="55">
        <f>J80+J86+J87+J88+J91+J92+J93+J94+J95+J96+J97+J98+J99</f>
        <v>5700.0</v>
      </c>
      <c r="K100" s="55">
        <f>K80+K86+K87+K88+K91+K92+K93+K94+K95+K96+K97+K98+K99</f>
        <v>5700.0</v>
      </c>
      <c r="L100" s="55">
        <f>L80+L86+L87+L88+L91+L92+L93+L94+L95+L96+L97+L98+L99</f>
        <v>5700.0</v>
      </c>
      <c r="M100" s="55">
        <f>M80+M86+M87+M88+M91+M92+M93+M94+M95+M96+M97+M98+M99</f>
        <v>5700.0</v>
      </c>
      <c r="N100" s="55">
        <f>N80+N86+N87+N88+N91+N92+N93+N94+N95+N96+N97+N98+N99</f>
        <v>5700.0</v>
      </c>
      <c r="O100" s="55">
        <f>O80+O86+O87+O88+O91+O92+O93+O94+O95+O96+O97+O98+O99</f>
        <v>700.0</v>
      </c>
      <c r="P100" s="55">
        <f>P80+P86+P87+P88+P91+P92+P93+P94+P95+P96+P97+P98+P99</f>
        <v>4950.0</v>
      </c>
      <c r="Q100" s="55">
        <f>Q80+Q86+Q87+Q88+Q91+Q92+Q93+Q94+Q95+Q96+Q97+Q98+Q99</f>
        <v>6450.0</v>
      </c>
      <c r="R100" s="55">
        <f>R80+R86+R87+R88+R91+R92+R93+R94+R95+R96+R97+R98+R99</f>
        <v>6450.0</v>
      </c>
      <c r="S100" s="55">
        <f>S80+S86+S87+S88+S91+S92+S93+S94+S95+S96+S97+S98+S99</f>
        <v>6450.0</v>
      </c>
      <c r="T100" s="55">
        <f>T80+T86+T87+T88+T91+T92+T93+T94+T95+T96+T97+T98+T99</f>
        <v>6450.0</v>
      </c>
      <c r="U100" s="55">
        <f>U80+U86+U87+U88+U91+U92+U93+U94+U95+U96+U97+U98+U99</f>
        <v>6450.0</v>
      </c>
      <c r="V100" s="55">
        <f>V80+V86+V87+V88+V91+V92+V93+V94+V95+V96+V97+V98+V99</f>
        <v>6450.0</v>
      </c>
      <c r="W100" s="55">
        <f>W80+W86+W87+W88+W91+W92+W93+W94+W95+W96+W97+W98+W99</f>
        <v>6450.0</v>
      </c>
      <c r="X100" s="55">
        <f>X80+X86+X87+X88+X91+X92+X93+X94+X95+X96+X97+X98+X99</f>
        <v>6450.0</v>
      </c>
      <c r="Y100" s="55">
        <f>Y80+Y86+Y87+Y88+Y91+Y92+Y93+Y94+Y95+Y96+Y97+Y98+Y99</f>
        <v>6450.0</v>
      </c>
      <c r="Z100" s="55">
        <f>Z80+Z86+Z87+Z88+Z91+Z92+Z93+Z94+Z95+Z96+Z97+Z98+Z99</f>
        <v>6450.0</v>
      </c>
      <c r="AA100" s="55">
        <f>AA80+AA86+AA87+AA88+AA91+AA92+AA93+AA94+AA95+AA96+AA97+AA98+AA99</f>
        <v>-50.0</v>
      </c>
      <c r="AB100" s="55">
        <f>AB80+AB86+AB87+AB88+AB91+AB92+AB93+AB94+AB95+AB96+AB97+AB98+AB99</f>
        <v>-50.0</v>
      </c>
      <c r="AC100" s="55">
        <f>AC80+AC86+AC87+AC88+AC91+AC92+AC93+AC94+AC95+AC96+AC97+AC98+AC99</f>
        <v>-50.0</v>
      </c>
      <c r="AD100" s="55">
        <f>AD80+AD86+AD87+AD88+AD91+AD92+AD93+AD94+AD95+AD96+AD97+AD98+AD99</f>
        <v>-50.0</v>
      </c>
      <c r="AE100" s="55">
        <f>AE80+AE86+AE87+AE88+AE91+AE92+AE93+AE94+AE95+AE96+AE97+AE98+AE99</f>
        <v>-50.0</v>
      </c>
      <c r="AF100" s="55">
        <f>AF80+AF86+AF87+AF88+AF91+AF92+AF93+AF94+AF95+AF96+AF97+AF98+AF99</f>
        <v>-50.0</v>
      </c>
      <c r="AG100" s="55">
        <f>AG80+AG86+AG87+AG88+AG91+AG92+AG93+AG94+AG95+AG96+AG97+AG98+AG99</f>
        <v>-50.0</v>
      </c>
      <c r="AH100" s="55">
        <f>AH80+AH86+AH87+AH88+AH91+AH92+AH93+AH94+AH95+AH96+AH97+AH98+AH99</f>
        <v>-50.0</v>
      </c>
      <c r="AI100" s="55">
        <f>AI80+AI86+AI87+AI88+AI91+AI92+AI93+AI94+AI95+AI96+AI97+AI98+AI99</f>
        <v>-50.0</v>
      </c>
      <c r="AJ100" s="55">
        <f>AJ80+AJ86+AJ87+AJ88+AJ91+AJ92+AJ93+AJ94+AJ95+AJ96+AJ97+AJ98+AJ99</f>
        <v>6450.0</v>
      </c>
      <c r="AK100" s="55">
        <f>AK80+AK86+AK87+AK88+AK91+AK92+AK93+AK94+AK95+AK96+AK97+AK98+AK99</f>
        <v>6450.0</v>
      </c>
      <c r="AL100" s="55">
        <f>AL80+AL86+AL87+AL88+AL91+AL92+AL93+AL94+AL95+AL96+AL97+AL98+AL99</f>
        <v>6450.0</v>
      </c>
      <c r="AM100" s="55">
        <f>AM80+AM86+AM87+AM88+AM91+AM92+AM93+AM94+AM95+AM96+AM97+AM98+AM99</f>
        <v>6450.0</v>
      </c>
      <c r="AN100" s="55">
        <f>AN80+AN86+AN87+AN88+AN91+AN92+AN93+AN94+AN95+AN96+AN97+AN98+AN99</f>
        <v>13932.68</v>
      </c>
      <c r="AO100" s="55">
        <f>AO80+AO86+AO87+AO88+AO91+AO92+AO93+AO94+AO95+AO96+AO97+AO98+AO99</f>
        <v>13685.18</v>
      </c>
      <c r="AP100" s="55">
        <f>AP80+AP86+AP87+AP88+AP91+AP92+AP93+AP94+AP95+AP96+AP97+AP98+AP99</f>
        <v>17796.300000000003</v>
      </c>
      <c r="AQ100" s="55">
        <f>AQ80+AQ86+AQ87+AQ88+AQ91+AQ92+AQ93+AQ94+AQ95+AQ96+AQ97+AQ98+AQ99</f>
        <v>10395.280000000002</v>
      </c>
      <c r="AR100" s="55">
        <f>AR80+AR86+AR87+AR88+AR91+AR92+AR93+AR94+AR95+AR96+AR97+AR98+AR99</f>
        <v>5152.410000000002</v>
      </c>
      <c r="AS100" s="55">
        <f>AS80+AS86+AS87+AS88+AS91+AS92+AS93+AS94+AS95+AS96+AS97+AS98+AS99</f>
        <v>2444.690000000002</v>
      </c>
      <c r="AT100" s="55">
        <f>AT80+AT86+AT87+AT88+AT91+AT92+AT93+AT94+AT95+AT96+AT97+AT98+AT99</f>
        <v>4375.190000000001</v>
      </c>
      <c r="AU100" s="55">
        <f>AU80+AU86+AU87+AU88+AU91+AU92+AU93+AU94+AU95+AU96+AU97+AU98+AU99</f>
        <v>15848.220000000001</v>
      </c>
      <c r="AV100" s="55">
        <f>AV80+AV86+AV87+AV88+AV91+AV92+AV93+AV94+AV95+AV96+AV97+AV98+AV99</f>
        <v>11962.25</v>
      </c>
      <c r="AW100" s="55">
        <f>AW80+AW86+AW87+AW88+AW91+AW92+AW93+AW94+AW95+AW96+AW97+AW98+AW99</f>
        <v>8311.95</v>
      </c>
      <c r="AX100" s="55">
        <f>AX80+AX86+AX87+AX88+AX91+AX92+AX93+AX94+AX95+AX96+AX97+AX98+AX99</f>
        <v>10912.91</v>
      </c>
      <c r="AY100" s="55">
        <f>AY80+AY86+AY87+AY88+AY91+AY92+AY93+AY94+AY95+AY96+AY97+AY98+AY99</f>
        <v>10822.35</v>
      </c>
      <c r="AZ100" s="55">
        <f>AZ80+AZ86+AZ87+AZ88+AZ91+AZ92+AZ93+AZ94+AZ95+AZ96+AZ97+AZ98+AZ99</f>
        <v>5940.050000000001</v>
      </c>
      <c r="BA100" s="55">
        <f>BA80+BA86+BA87+BA88+BA91+BA92+BA93+BA94+BA95+BA96+BA97+BA98+BA99</f>
        <v>13765.519999999999</v>
      </c>
      <c r="BB100" s="55">
        <f>BB80+BB86+BB87+BB88+BB91+BB92+BB93+BB94+BB95+BB96+BB97+BB98+BB99</f>
        <v>18796.010000000002</v>
      </c>
      <c r="BC100" s="55">
        <f>BC80+BC86+BC87+BC88+BC91+BC92+BC93+BC94+BC95+BC96+BC97+BC98+BC99</f>
        <v>12444.64</v>
      </c>
      <c r="BD100" s="55">
        <f>BD80+BD86+BD87+BD88+BD91+BD92+BD93+BD94+BD95+BD96+BD97+BD98+BD99</f>
        <v>9253.380000000001</v>
      </c>
      <c r="BE100" s="55">
        <f>BE80+BE86+BE87+BE88+BE91+BE92+BE93+BE94+BE95+BE96+BE97+BE98+BE99</f>
        <v>31204.27</v>
      </c>
      <c r="BF100" s="55">
        <f>BF80+BF86+BF87+BF88+BF91+BF92+BF93+BF94+BF95+BF96+BF97+BF98+BF99</f>
        <v>24997.22</v>
      </c>
      <c r="BG100" s="55">
        <f>BG80+BG86+BG87+BG88+BG91+BG92+BG93+BG94+BG95+BG96+BG97+BG98+BG99</f>
        <v>17792.600000000002</v>
      </c>
      <c r="BH100" s="55">
        <f>BH80+BH86+BH87+BH88+BH91+BH92+BH93+BH94+BH95+BH96+BH97+BH98+BH99</f>
        <v>17386.710000000003</v>
      </c>
      <c r="BI100" s="55">
        <f>BI80+BI86+BI87+BI88+BI91+BI92+BI93+BI94+BI95+BI96+BI97+BI98+BI99</f>
        <v>10739.270000000002</v>
      </c>
      <c r="BJ100" s="55">
        <f>BJ80+BJ86+BJ87+BJ88+BJ91+BJ92+BJ93+BJ94+BJ95+BJ96+BJ97+BJ98+BJ99</f>
        <v>2644.2700000000023</v>
      </c>
      <c r="BK100" s="55">
        <f>BK80+BK86+BK87+BK88+BK91+BK92+BK93+BK94+BK95+BK96+BK97+BK98+BK99</f>
        <v>10450.240000000002</v>
      </c>
      <c r="BL100" s="55">
        <f>BL80+BL86+BL87+BL88+BL91+BL92+BL93+BL94+BL95+BL96+BL97+BL98+BL99</f>
        <v>33511.47000000001</v>
      </c>
      <c r="BM100" s="55">
        <f>BM80+BM86+BM87+BM88+BM91+BM92+BM93+BM94+BM95+BM96+BM97+BM98+BM99</f>
        <v>25997.190000000006</v>
      </c>
      <c r="BN100" s="55">
        <f>BN80+BN86+BN87+BN88+BN91+BN92+BN93+BN94+BN95+BN96+BN97+BN98+BN99</f>
        <v>23932.480000000007</v>
      </c>
      <c r="BO100" s="55">
        <f>BO80+BO86+BO87+BO88+BO91+BO92+BO93+BO94+BO95+BO96+BO97+BO98+BO99</f>
        <v>5158.210000000005</v>
      </c>
      <c r="BP100" s="55">
        <f>BP80+BP86+BP87+BP88+BP91+BP92+BP93+BP94+BP95+BP96+BP97+BP98+BP99</f>
        <v>30462.480000000007</v>
      </c>
      <c r="BQ100" s="55">
        <f>BQ80+BQ86+BQ87+BQ88+BQ91+BQ92+BQ93+BQ94+BQ95+BQ96+BQ97+BQ98+BQ99</f>
        <v>24296.760000000006</v>
      </c>
      <c r="BR100" s="55">
        <f>BR80+BR86+BR87+BR88+BR91+BR92+BR93+BR94+BR95+BR96+BR97+BR98+BR99</f>
        <v>36681.58</v>
      </c>
      <c r="BS100" s="55">
        <f>BS80+BS86+BS87+BS88+BS91+BS92+BS93+BS94+BS95+BS96+BS97+BS98+BS99</f>
        <v>23412.710000000006</v>
      </c>
      <c r="BT100" s="55">
        <f>BT80+BT86+BT87+BT88+BT91+BT92+BT93+BT94+BT95+BT96+BT97+BT98+BT99</f>
        <v>16071.480000000007</v>
      </c>
      <c r="BU100" s="55">
        <f>BU80+BU86+BU87+BU88+BU91+BU92+BU93+BU94+BU95+BU96+BU97+BU98+BU99</f>
        <v>3848.070000000006</v>
      </c>
      <c r="BV100" s="55">
        <f>BV80+BV86+BV87+BV88+BV91+BV92+BV93+BV94+BV95+BV96+BV97+BV98+BV99</f>
        <v>5102.860000000006</v>
      </c>
      <c r="BW100" s="55">
        <f>BW80+BW86+BW87+BW88+BW91+BW92+BW93+BW94+BW95+BW96+BW97+BW98+BW99</f>
        <v>3718.7900000000063</v>
      </c>
      <c r="BX100" s="55">
        <f>BX80+BX86+BX87+BX88+BX91+BX92+BX93+BX94+BX95+BX96+BX97+BX98+BX99</f>
        <v>3718.7900000000063</v>
      </c>
      <c r="BY100" s="55">
        <f>BY80+BY86+BY87+BY88+BY91+BY92+BY93+BY94+BY95+BY96+BY97+BY98+BY99</f>
        <v>1965.7700000000066</v>
      </c>
      <c r="BZ100" s="55">
        <f>BZ80+BZ86+BZ87+BZ88+BZ91+BZ92+BZ93+BZ94+BZ95+BZ96+BZ97+BZ98+BZ99</f>
        <v>3087.520000000007</v>
      </c>
      <c r="CA100" s="55">
        <f>CA80+CA86+CA87+CA88+CA91+CA92+CA93+CA94+CA95+CA96+CA97+CA98+CA99</f>
        <v>4255.760000000006</v>
      </c>
      <c r="CB100" s="55">
        <f>CB80+CB86+CB87+CB88+CB91+CB92+CB93+CB94+CB95+CB96+CB97+CB98+CB99</f>
        <v>5371.600000000006</v>
      </c>
      <c r="CC100" s="55">
        <f>CC80+CC86+CC87+CC88+CC91+CC92+CC93+CC94+CC95+CC96+CC97+CC98+CC99</f>
        <v>6200.720000000007</v>
      </c>
      <c r="CD100" s="55">
        <f>CD80+CD86+CD87+CD88+CD91+CD92+CD93+CD94+CD95+CD96+CD97+CD98+CD99</f>
        <v>8007.440000000006</v>
      </c>
      <c r="CE100" s="55">
        <f>CE80+CE86+CE87+CE88+CE91+CE92+CE93+CE94+CE95+CE96+CE97+CE98+CE99</f>
        <v>9902.810000000005</v>
      </c>
      <c r="CF100" s="55">
        <f>CF80+CF86+CF87+CF88+CF91+CF92+CF93+CF94+CF95+CF96+CF97+CF98+CF99</f>
        <v>11798.170000000006</v>
      </c>
      <c r="CG100" s="55">
        <f>CG80+CG86+CG87+CG88+CG91+CG92+CG93+CG94+CG95+CG96+CG97+CG98+CG99</f>
        <v>15330.800000000007</v>
      </c>
      <c r="CH100" s="55">
        <f>CH80+CH86+CH87+CH88+CH91+CH92+CH93+CH94+CH95+CH96+CH97+CH98+CH99</f>
        <v>15330.800000000007</v>
      </c>
      <c r="CI100" s="55">
        <f>CI80+CI86+CI87+CI88+CI91+CI92+CI93+CI94+CI95+CI96+CI97+CI98+CI99</f>
        <v>15330.800000000007</v>
      </c>
      <c r="CJ100" s="55">
        <f>CJ80+CJ86+CJ87+CJ88+CJ91+CJ92+CJ93+CJ94+CJ95+CJ96+CJ97+CJ98+CJ99</f>
        <v>15330.800000000007</v>
      </c>
      <c r="CK100" s="55">
        <f>CK80+CK86+CK87+CK88+CK91+CK92+CK93+CK94+CK95+CK96+CK97+CK98+CK99</f>
        <v>15330.800000000007</v>
      </c>
      <c r="CL100" s="55">
        <f>CL80+CL86+CL87+CL88+CL91+CL92+CL93+CL94+CL95+CL96+CL97+CL98+CL99</f>
        <v>15330.800000000007</v>
      </c>
      <c r="CM100" s="55">
        <f>CM80+CM86+CM87+CM88+CM91+CM92+CM93+CM94+CM95+CM96+CM97+CM98+CM99</f>
        <v>15330.800000000007</v>
      </c>
      <c r="CN100" s="55">
        <f>CN80+CN86+CN87+CN88+CN91+CN92+CN93+CN94+CN95+CN96+CN97+CN98+CN99</f>
        <v>15330.800000000007</v>
      </c>
      <c r="CO100" s="55">
        <f>CO80+CO86+CO87+CO88+CO91+CO92+CO93+CO94+CO95+CO96+CO97+CO98+CO99</f>
        <v>15330.800000000007</v>
      </c>
      <c r="CP100" s="55">
        <f>CP80+CP86+CP87+CP88+CP91+CP92+CP93+CP94+CP95+CP96+CP97+CP98+CP99</f>
        <v>15330.800000000007</v>
      </c>
      <c r="CQ100" s="55">
        <f>CQ80+CQ86+CQ87+CQ88+CQ91+CQ92+CQ93+CQ94+CQ95+CQ96+CQ97+CQ98+CQ99</f>
        <v>15330.800000000007</v>
      </c>
      <c r="CR100" s="55">
        <f>CR80+CR86+CR87+CR88+CR91+CR92+CR93+CR94+CR95+CR96+CR97+CR98+CR99</f>
        <v>15330.800000000007</v>
      </c>
      <c r="CS100" s="55">
        <f>CS80+CS86+CS87+CS88+CS91+CS92+CS93+CS94+CS95+CS96+CS97+CS98+CS99</f>
        <v>15330.800000000007</v>
      </c>
      <c r="CT100" s="55">
        <f>CT80+CT86+CT87+CT88+CT91+CT92+CT93+CT94+CT95+CT96+CT97+CT98+CT99</f>
        <v>15605.610000000006</v>
      </c>
      <c r="CU100" s="55">
        <f>CU80+CU86+CU87+CU88+CU91+CU92+CU93+CU94+CU95+CU96+CU97+CU98+CU99</f>
        <v>15141.290000000006</v>
      </c>
      <c r="CV100" s="55">
        <f>CV80+CV86+CV87+CV88+CV91+CV92+CV93+CV94+CV95+CV96+CV97+CV98+CV99</f>
        <v>14972.540000000006</v>
      </c>
      <c r="CW100" s="55">
        <f>CW80+CW86+CW87+CW88+CW91+CW92+CW93+CW94+CW95+CW96+CW97+CW98+CW99</f>
        <v>14508.220000000007</v>
      </c>
      <c r="CX100" s="55">
        <f>CX80+CX86+CX87+CX88+CX91+CX92+CX93+CX94+CX95+CX96+CX97+CX98+CX99</f>
        <v>14043.900000000005</v>
      </c>
      <c r="CY100" s="55">
        <f>CY80+CY86+CY87+CY88+CY91+CY92+CY93+CY94+CY95+CY96+CY97+CY98+CY99</f>
        <v>14565.460000000006</v>
      </c>
      <c r="CZ100" s="55">
        <f>CZ80+CZ86+CZ87+CZ88+CZ91+CZ92+CZ93+CZ94+CZ95+CZ96+CZ97+CZ98+CZ99</f>
        <v>15087.020000000006</v>
      </c>
      <c r="DA100" s="55">
        <f>DA80+DA86+DA87+DA88+DA91+DA92+DA93+DA94+DA95+DA96+DA97+DA98+DA99</f>
        <v>9577.780000000006</v>
      </c>
      <c r="DB100" s="55">
        <f>DB80+DB86+DB87+DB88+DB91+DB92+DB93+DB94+DB95+DB96+DB97+DB98+DB99</f>
        <v>10099.340000000006</v>
      </c>
      <c r="DC100" s="55">
        <f>DC80+DC86+DC87+DC88+DC91+DC92+DC93+DC94+DC95+DC96+DC97+DC98+DC99</f>
        <v>102449.43</v>
      </c>
      <c r="DD100" s="55">
        <f>DD80+DD86+DD87+DD88+DD91+DD92+DD93+DD94+DD95+DD96+DD97+DD98+DD99</f>
        <v>92766.84</v>
      </c>
      <c r="DE100" s="55">
        <f>DE80+DE86+DE87+DE88+DE91+DE92+DE93+DE94+DE95+DE96+DE97+DE98+DE99</f>
        <v>124617.9</v>
      </c>
      <c r="DF100" s="55">
        <f>DF80+DF86+DF87+DF88+DF91+DF92+DF93+DF94+DF95+DF96+DF97+DF98+DF99</f>
        <v>159403.25</v>
      </c>
      <c r="DG100" s="55">
        <f>DG80+DG86+DG87+DG88+DG91+DG92+DG93+DG94+DG95+DG96+DG97+DG98+DG99</f>
        <v>151057.94</v>
      </c>
      <c r="DH100" s="55">
        <f>DH80+DH86+DH87+DH88+DH91+DH92+DH93+DH94+DH95+DH96+DH97+DH98+DH99</f>
        <v>131031.75</v>
      </c>
      <c r="DI100" s="55">
        <f>DI80+DI86+DI87+DI88+DI91+DI92+DI93+DI94+DI95+DI96+DI97+DI98+DI99</f>
        <v>163272.79</v>
      </c>
      <c r="DJ100" s="55">
        <f>DJ80+DJ86+DJ87+DJ88+DJ91+DJ92+DJ93+DJ94+DJ95+DJ96+DJ97+DJ98+DJ99</f>
        <v>135034.02</v>
      </c>
      <c r="DK100" s="55">
        <f>DK80+DK86+DK87+DK88+DK91+DK92+DK93+DK94+DK95+DK96+DK97+DK98+DK99</f>
        <v>159488.57</v>
      </c>
      <c r="DL100" s="55">
        <f>DL80+DL86+DL87+DL88+DL91+DL92+DL93+DL94+DL95+DL96+DL97+DL98+DL99</f>
        <v>153141.35</v>
      </c>
      <c r="DM100" s="55">
        <f>DM80+DM86+DM87+DM88+DM91+DM92+DM93+DM94+DM95+DM96+DM97+DM98+DM99</f>
        <v>155325.22</v>
      </c>
      <c r="DN100" s="55">
        <f>DN80+DN86+DN87+DN88+DN91+DN92+DN93+DN94+DN95+DN96+DN97+DN98+DN99</f>
        <v>198614.1</v>
      </c>
      <c r="DO100" s="55">
        <f>DO80+DO86+DO87+DO88+DO91+DO92+DO93+DO94+DO95+DO96+DO97+DO98+DO99</f>
        <v>232184.58000000002</v>
      </c>
      <c r="DP100" s="55">
        <f>DP80+DP86+DP87+DP88+DP91+DP92+DP93+DP94+DP95+DP96+DP97+DP98+DP99</f>
        <v>259643.27000000002</v>
      </c>
      <c r="DQ100" s="55">
        <f>DQ80+DQ86+DQ87+DQ88+DQ91+DQ92+DQ93+DQ94+DQ95+DQ96+DQ97+DQ98+DQ99</f>
        <v>345842.29000000004</v>
      </c>
      <c r="DR100" s="55">
        <f>DR80+DR86+DR87+DR88+DR91+DR92+DR93+DR94+DR95+DR96+DR97+DR98+DR99</f>
        <v>176360.53</v>
      </c>
      <c r="DS100" s="55">
        <f>DS80+DS86+DS87+DS88+DS91+DS92+DS93+DS94+DS95+DS96+DS97+DS98+DS99</f>
        <v>170204.12</v>
      </c>
      <c r="DT100" s="55">
        <f>DT80+DT86+DT87+DT88+DT91+DT92+DT93+DT94+DT95+DT96+DT97+DT98+DT99</f>
        <v>202621.79</v>
      </c>
      <c r="DU100" s="55">
        <f>DU80+DU86+DU87+DU88+DU91+DU92+DU93+DU94+DU95+DU96+DU97+DU98+DU99</f>
        <v>213911.81</v>
      </c>
      <c r="DV100" s="55">
        <f>DV80+DV86+DV87+DV88+DV91+DV92+DV93+DV94+DV95+DV96+DV97+DV98+DV99</f>
        <v>201214.03</v>
      </c>
      <c r="DW100" s="55">
        <f>DW80+DW86+DW87+DW88+DW91+DW92+DW93+DW94+DW95+DW96+DW97+DW98+DW99</f>
        <v>199526.28999999998</v>
      </c>
      <c r="DX100" s="55">
        <f>DX80+DX86+DX87+DX88+DX91+DX92+DX93+DX94+DX95+DX96+DX97+DX98+DX99</f>
        <v>200385.27000000002</v>
      </c>
      <c r="DY100" s="55">
        <f>DY80+DY86+DY87+DY88+DY91+DY92+DY93+DY94+DY95+DY96+DY97+DY98+DY99</f>
        <v>192257.89</v>
      </c>
      <c r="DZ100" s="55">
        <f>DZ80+DZ86+DZ87+DZ88+DZ91+DZ92+DZ93+DZ94+DZ95+DZ96+DZ97+DZ98+DZ99</f>
        <v>195227.31</v>
      </c>
      <c r="EA100" s="55">
        <f>EA80+EA86+EA87+EA88+EA91+EA92+EA93+EA94+EA95+EA96+EA97+EA98+EA99</f>
        <v>186750.37</v>
      </c>
      <c r="EB100" s="55">
        <f>EB80+EB86+EB87+EB88+EB91+EB92+EB93+EB94+EB95+EB96+EB97+EB98+EB99</f>
        <v>188010.09000000003</v>
      </c>
      <c r="EC100" s="55">
        <f>EC80+EC86+EC87+EC88+EC91+EC92+EC93+EC94+EC95+EC96+EC97+EC98+EC99</f>
        <v>194440.22000000003</v>
      </c>
      <c r="ED100" s="55">
        <f>ED80+ED86+ED87+ED88+ED91+ED92+ED93+ED94+ED95+ED96+ED97+ED98+ED99</f>
        <v>161319.79000000004</v>
      </c>
      <c r="EE100" s="55">
        <f>EE80+EE86+EE87+EE88+EE91+EE92+EE93+EE94+EE95+EE96+EE97+EE98+EE99</f>
        <v>149984.61000000002</v>
      </c>
      <c r="EF100" s="55">
        <f>EF80+EF86+EF87+EF88+EF91+EF92+EF93+EF94+EF95+EF96+EF97+EF98+EF99</f>
        <v>145767.16000000003</v>
      </c>
      <c r="EG100" s="55">
        <f>EG80+EG86+EG87+EG88+EG91+EG92+EG93+EG94+EG95+EG96+EG97+EG98+EG99</f>
        <v>142042.59000000003</v>
      </c>
      <c r="EH100" s="55">
        <f>EH80+EH86+EH87+EH88+EH91+EH92+EH93+EH94+EH95+EH96+EH97+EH98+EH99</f>
        <v>132033.01</v>
      </c>
      <c r="EI100" s="55">
        <f>EI80+EI86+EI87+EI88+EI91+EI92+EI93+EI94+EI95+EI96+EI97+EI98+EI99</f>
        <v>126378.25000000001</v>
      </c>
      <c r="EJ100" s="55">
        <f>EJ80+EJ86+EJ87+EJ88+EJ91+EJ92+EJ93+EJ94+EJ95+EJ96+EJ97+EJ98+EJ99</f>
        <v>116966.63000000002</v>
      </c>
      <c r="EK100" s="55">
        <f>EK80+EK86+EK87+EK88+EK91+EK92+EK93+EK94+EK95+EK96+EK97+EK98+EK99</f>
        <v>114406.21000000002</v>
      </c>
      <c r="EL100" s="55">
        <f>EL80+EL86+EL87+EL88+EL91+EL92+EL93+EL94+EL95+EL96+EL97+EL98+EL99</f>
        <v>109871.45000000003</v>
      </c>
      <c r="EM100" s="55">
        <f>EM80+EM86+EM87+EM88+EM91+EM92+EM93+EM94+EM95+EM96+EM97+EM98+EM99</f>
        <v>106963.81000000003</v>
      </c>
      <c r="EN100" s="55">
        <f>EN80+EN86+EN87+EN88+EN91+EN92+EN93+EN94+EN95+EN96+EN97+EN98+EN99</f>
        <v>102417.95000000003</v>
      </c>
      <c r="EO100" s="55">
        <f>EO80+EO86+EO87+EO88+EO91+EO92+EO93+EO94+EO95+EO96+EO97+EO98+EO99</f>
        <v>164201.75</v>
      </c>
      <c r="EP100" s="55">
        <f>EP80+EP86+EP87+EP88+EP91+EP92+EP93+EP94+EP95+EP96+EP97+EP98+EP99</f>
        <v>157892.27000000002</v>
      </c>
      <c r="EQ100" s="55">
        <f>EQ80+EQ86+EQ87+EQ88+EQ91+EQ92+EQ93+EQ94+EQ95+EQ96+EQ97+EQ98+EQ99</f>
        <v>157892.27000000002</v>
      </c>
      <c r="ER100" s="55">
        <f>ER80+ER86+ER87+ER88+ER91+ER92+ER93+ER94+ER95+ER96+ER97+ER98+ER99</f>
        <v>157892.27000000002</v>
      </c>
    </row>
    <row r="101" spans="1:148" ht="16">
      <c r="A101" s="43" t="s">
        <v>98</v>
      </c>
      <c r="B101" s="55">
        <f>B59+B62+B79+B100</f>
        <v>8473.67</v>
      </c>
      <c r="C101" s="55">
        <f>C59+C62+C79+C100</f>
        <v>7608.370000000001</v>
      </c>
      <c r="D101" s="55">
        <f>D59+D62+D79+D100</f>
        <v>4795.76</v>
      </c>
      <c r="E101" s="55">
        <f>E59+E62+E79+E100</f>
        <v>4611.56</v>
      </c>
      <c r="F101" s="55">
        <f>F59+F62+F79+F100</f>
        <v>7231.6900000000005</v>
      </c>
      <c r="G101" s="55">
        <f>G59+G62+G79+G100</f>
        <v>8590.54</v>
      </c>
      <c r="H101" s="55">
        <f>H59+H62+H79+H100</f>
        <v>10659.77</v>
      </c>
      <c r="I101" s="55">
        <f>I59+I62+I79+I100</f>
        <v>8728.73</v>
      </c>
      <c r="J101" s="55">
        <f>J59+J62+J79+J100</f>
        <v>10002.87</v>
      </c>
      <c r="K101" s="55">
        <f>K59+K62+K79+K100</f>
        <v>9668.18</v>
      </c>
      <c r="L101" s="55">
        <f>L59+L62+L79+L100</f>
        <v>9650.28</v>
      </c>
      <c r="M101" s="55">
        <f>M59+M62+M79+M100</f>
        <v>9111.82</v>
      </c>
      <c r="N101" s="55">
        <f>N59+N62+N79+N100</f>
        <v>10211.03</v>
      </c>
      <c r="O101" s="55">
        <f>O59+O62+O79+O100</f>
        <v>5357.81</v>
      </c>
      <c r="P101" s="55">
        <f>P59+P62+P79+P100</f>
        <v>9295.84</v>
      </c>
      <c r="Q101" s="55">
        <f>Q59+Q62+Q79+Q100</f>
        <v>9340.54</v>
      </c>
      <c r="R101" s="55">
        <f>R59+R62+R79+R100</f>
        <v>9446.310000000001</v>
      </c>
      <c r="S101" s="55">
        <f>S59+S62+S79+S100</f>
        <v>9179.92</v>
      </c>
      <c r="T101" s="55">
        <f>T59+T62+T79+T100</f>
        <v>9016.2</v>
      </c>
      <c r="U101" s="55">
        <f>U59+U62+U79+U100</f>
        <v>8846.34</v>
      </c>
      <c r="V101" s="55">
        <f>V59+V62+V79+V100</f>
        <v>8670.5</v>
      </c>
      <c r="W101" s="55">
        <f>W59+W62+W79+W100</f>
        <v>9416.85</v>
      </c>
      <c r="X101" s="55">
        <f>X59+X62+X79+X100</f>
        <v>8308.53</v>
      </c>
      <c r="Y101" s="55">
        <f>Y59+Y62+Y79+Y100</f>
        <v>8121.77</v>
      </c>
      <c r="Z101" s="55">
        <f>Z59+Z62+Z79+Z100</f>
        <v>10908.07</v>
      </c>
      <c r="AA101" s="55">
        <f>AA59+AA62+AA79+AA100</f>
        <v>6983.67</v>
      </c>
      <c r="AB101" s="55">
        <f>AB59+AB62+AB79+AB100</f>
        <v>11160.09</v>
      </c>
      <c r="AC101" s="55">
        <f>AC59+AC62+AC79+AC100</f>
        <v>5325.97</v>
      </c>
      <c r="AD101" s="55">
        <f>AD59+AD62+AD79+AD100</f>
        <v>1364.2500000000007</v>
      </c>
      <c r="AE101" s="55">
        <f>AE59+AE62+AE79+AE100</f>
        <v>1851.5800000000006</v>
      </c>
      <c r="AF101" s="55">
        <f>AF59+AF62+AF79+AF100</f>
        <v>3650.63</v>
      </c>
      <c r="AG101" s="55">
        <f>AG59+AG62+AG79+AG100</f>
        <v>4252.85</v>
      </c>
      <c r="AH101" s="55">
        <f>AH59+AH62+AH79+AH100</f>
        <v>6712.82</v>
      </c>
      <c r="AI101" s="55">
        <f>AI59+AI62+AI79+AI100</f>
        <v>9735.27</v>
      </c>
      <c r="AJ101" s="55">
        <f>AJ59+AJ62+AJ79+AJ100</f>
        <v>21977.49</v>
      </c>
      <c r="AK101" s="55">
        <f>AK59+AK62+AK79+AK100</f>
        <v>13517.850000000002</v>
      </c>
      <c r="AL101" s="55">
        <f>AL59+AL62+AL79+AL100</f>
        <v>12120.440000000002</v>
      </c>
      <c r="AM101" s="55">
        <f>AM59+AM62+AM79+AM100</f>
        <v>15988.080000000002</v>
      </c>
      <c r="AN101" s="55">
        <f>AN59+AN62+AN79+AN100</f>
        <v>26969.920000000002</v>
      </c>
      <c r="AO101" s="55">
        <f>AO59+AO62+AO79+AO100</f>
        <v>27018.97</v>
      </c>
      <c r="AP101" s="55">
        <f>AP59+AP62+AP79+AP100</f>
        <v>35705.520000000004</v>
      </c>
      <c r="AQ101" s="55">
        <f>AQ59+AQ62+AQ79+AQ100</f>
        <v>33650.31</v>
      </c>
      <c r="AR101" s="55">
        <f>AR59+AR62+AR79+AR100</f>
        <v>19689.600000000002</v>
      </c>
      <c r="AS101" s="55">
        <f>AS59+AS62+AS79+AS100</f>
        <v>17456.750000000004</v>
      </c>
      <c r="AT101" s="55">
        <f>AT59+AT62+AT79+AT100</f>
        <v>10528.400000000001</v>
      </c>
      <c r="AU101" s="55">
        <f>AU59+AU62+AU79+AU100</f>
        <v>32628.050000000003</v>
      </c>
      <c r="AV101" s="55">
        <f>AV59+AV62+AV79+AV100</f>
        <v>32963.71</v>
      </c>
      <c r="AW101" s="55">
        <f>AW59+AW62+AW79+AW100</f>
        <v>17889.84</v>
      </c>
      <c r="AX101" s="55">
        <f>AX59+AX62+AX79+AX100</f>
        <v>30409.84</v>
      </c>
      <c r="AY101" s="55">
        <f>AY59+AY62+AY79+AY100</f>
        <v>27362.22</v>
      </c>
      <c r="AZ101" s="55">
        <f>AZ59+AZ62+AZ79+AZ100</f>
        <v>27053.440000000002</v>
      </c>
      <c r="BA101" s="55">
        <f>BA59+BA62+BA79+BA100</f>
        <v>43557.409999999996</v>
      </c>
      <c r="BB101" s="55">
        <f>BB59+BB62+BB79+BB100</f>
        <v>53324.920000000006</v>
      </c>
      <c r="BC101" s="55">
        <f>BC59+BC62+BC79+BC100</f>
        <v>42529.22</v>
      </c>
      <c r="BD101" s="55">
        <f>BD59+BD62+BD79+BD100</f>
        <v>33490.92</v>
      </c>
      <c r="BE101" s="55">
        <f>BE59+BE62+BE79+BE100</f>
        <v>50521.42999999999</v>
      </c>
      <c r="BF101" s="55">
        <f>BF59+BF62+BF79+BF100</f>
        <v>55751.990000000005</v>
      </c>
      <c r="BG101" s="55">
        <f>BG59+BG62+BG79+BG100</f>
        <v>48521.770000000004</v>
      </c>
      <c r="BH101" s="55">
        <f>BH59+BH62+BH79+BH100</f>
        <v>36952.75</v>
      </c>
      <c r="BI101" s="55">
        <f>BI59+BI62+BI79+BI100</f>
        <v>20058.000000000004</v>
      </c>
      <c r="BJ101" s="55">
        <f>BJ59+BJ62+BJ79+BJ100</f>
        <v>42826.94</v>
      </c>
      <c r="BK101" s="55">
        <f>BK59+BK62+BK79+BK100</f>
        <v>60000.39</v>
      </c>
      <c r="BL101" s="55">
        <f>BL59+BL62+BL79+BL100</f>
        <v>71268.61000000002</v>
      </c>
      <c r="BM101" s="55">
        <f>BM59+BM62+BM79+BM100</f>
        <v>77610.61</v>
      </c>
      <c r="BN101" s="55">
        <f>BN59+BN62+BN79+BN100</f>
        <v>56876.79000000001</v>
      </c>
      <c r="BO101" s="55">
        <f>BO59+BO62+BO79+BO100</f>
        <v>38225.600000000006</v>
      </c>
      <c r="BP101" s="55">
        <f>BP59+BP62+BP79+BP100</f>
        <v>48337.04000000001</v>
      </c>
      <c r="BQ101" s="55">
        <f>BQ59+BQ62+BQ79+BQ100</f>
        <v>74969.19</v>
      </c>
      <c r="BR101" s="55">
        <f>BR59+BR62+BR79+BR100</f>
        <v>72049.04</v>
      </c>
      <c r="BS101" s="55">
        <f>BS59+BS62+BS79+BS100</f>
        <v>44775.47</v>
      </c>
      <c r="BT101" s="55">
        <f>BT59+BT62+BT79+BT100</f>
        <v>32646.45</v>
      </c>
      <c r="BU101" s="55">
        <f>BU59+BU62+BU79+BU100</f>
        <v>15356.509999999998</v>
      </c>
      <c r="BV101" s="55">
        <f>BV59+BV62+BV79+BV100</f>
        <v>12989.819999999998</v>
      </c>
      <c r="BW101" s="55">
        <f>BW59+BW62+BW79+BW100</f>
        <v>32553.690000000002</v>
      </c>
      <c r="BX101" s="55">
        <f>BX59+BX62+BX79+BX100</f>
        <v>39339.26</v>
      </c>
      <c r="BY101" s="55">
        <f>BY59+BY62+BY79+BY100</f>
        <v>6061.5</v>
      </c>
      <c r="BZ101" s="55">
        <f>BZ59+BZ62+BZ79+BZ100</f>
        <v>26422.590000000004</v>
      </c>
      <c r="CA101" s="55">
        <f>CA59+CA62+CA79+CA100</f>
        <v>34732.67</v>
      </c>
      <c r="CB101" s="55">
        <f>CB59+CB62+CB79+CB100</f>
        <v>35174.85</v>
      </c>
      <c r="CC101" s="55">
        <f>CC59+CC62+CC79+CC100</f>
        <v>9924.2</v>
      </c>
      <c r="CD101" s="55">
        <f>CD59+CD62+CD79+CD100</f>
        <v>14994.22</v>
      </c>
      <c r="CE101" s="55">
        <f>CE59+CE62+CE79+CE100</f>
        <v>36062.64</v>
      </c>
      <c r="CF101" s="55">
        <f>CF59+CF62+CF79+CF100</f>
        <v>23244.17</v>
      </c>
      <c r="CG101" s="55">
        <f>CG59+CG62+CG79+CG100</f>
        <v>23117.07</v>
      </c>
      <c r="CH101" s="55">
        <f>CH59+CH62+CH79+CH100</f>
        <v>36192.26000000001</v>
      </c>
      <c r="CI101" s="55">
        <f>CI59+CI62+CI79+CI100</f>
        <v>41478.149999999994</v>
      </c>
      <c r="CJ101" s="55">
        <f>CJ59+CJ62+CJ79+CJ100</f>
        <v>32540.160000000003</v>
      </c>
      <c r="CK101" s="55">
        <f>CK59+CK62+CK79+CK100</f>
        <v>47815.97</v>
      </c>
      <c r="CL101" s="55">
        <f>CL59+CL62+CL79+CL100</f>
        <v>43535.979999999996</v>
      </c>
      <c r="CM101" s="55">
        <f>CM59+CM62+CM79+CM100</f>
        <v>31672.21</v>
      </c>
      <c r="CN101" s="55">
        <f>CN59+CN62+CN79+CN100</f>
        <v>26124.059999999998</v>
      </c>
      <c r="CO101" s="55">
        <f>CO59+CO62+CO79+CO100</f>
        <v>46001.99</v>
      </c>
      <c r="CP101" s="55">
        <f>CP59+CP62+CP79+CP100</f>
        <v>90835.71999999999</v>
      </c>
      <c r="CQ101" s="55">
        <f>CQ59+CQ62+CQ79+CQ100</f>
        <v>112630.05999999998</v>
      </c>
      <c r="CR101" s="55">
        <f>CR59+CR62+CR79+CR100</f>
        <v>278486.44999999995</v>
      </c>
      <c r="CS101" s="55">
        <f>CS59+CS62+CS79+CS100</f>
        <v>272291.56</v>
      </c>
      <c r="CT101" s="55">
        <f>CT59+CT62+CT79+CT100</f>
        <v>210758.61000000002</v>
      </c>
      <c r="CU101" s="55">
        <f>CU59+CU62+CU79+CU100</f>
        <v>284311.77999999997</v>
      </c>
      <c r="CV101" s="55">
        <f>CV59+CV62+CV79+CV100</f>
        <v>208447.08</v>
      </c>
      <c r="CW101" s="55">
        <f>CW59+CW62+CW79+CW100</f>
        <v>203853.48999999996</v>
      </c>
      <c r="CX101" s="55">
        <f>CX59+CX62+CX79+CX100</f>
        <v>216531.53</v>
      </c>
      <c r="CY101" s="55">
        <f>CY59+CY62+CY79+CY100</f>
        <v>86519.58</v>
      </c>
      <c r="CZ101" s="55">
        <f>CZ59+CZ62+CZ79+CZ100</f>
        <v>83082.12999999999</v>
      </c>
      <c r="DA101" s="55">
        <f>DA59+DA62+DA79+DA100</f>
        <v>63237.58999999999</v>
      </c>
      <c r="DB101" s="55">
        <f>DB59+DB62+DB79+DB100</f>
        <v>215652.1</v>
      </c>
      <c r="DC101" s="55">
        <f>DC59+DC62+DC79+DC100</f>
        <v>364296.81999999995</v>
      </c>
      <c r="DD101" s="55">
        <f>DD59+DD62+DD79+DD100</f>
        <v>389471.89</v>
      </c>
      <c r="DE101" s="55">
        <f>DE59+DE62+DE79+DE100</f>
        <v>349661.5399999999</v>
      </c>
      <c r="DF101" s="55">
        <f>DF59+DF62+DF79+DF100</f>
        <v>362754.36999999994</v>
      </c>
      <c r="DG101" s="55">
        <f>DG59+DG62+DG79+DG100</f>
        <v>378844.19999999995</v>
      </c>
      <c r="DH101" s="55">
        <f>DH59+DH62+DH79+DH100</f>
        <v>431991.05999999994</v>
      </c>
      <c r="DI101" s="55">
        <f>DI59+DI62+DI79+DI100</f>
        <v>450507.68999999994</v>
      </c>
      <c r="DJ101" s="55">
        <f>DJ59+DJ62+DJ79+DJ100</f>
        <v>374311.9199999999</v>
      </c>
      <c r="DK101" s="55">
        <f>DK59+DK62+DK79+DK100</f>
        <v>426923.63999999996</v>
      </c>
      <c r="DL101" s="55">
        <f>DL59+DL62+DL79+DL100</f>
        <v>499594.5399999999</v>
      </c>
      <c r="DM101" s="55">
        <f>DM59+DM62+DM79+DM100</f>
        <v>517981.4899999999</v>
      </c>
      <c r="DN101" s="55">
        <f>DN59+DN62+DN79+DN100</f>
        <v>495456.47</v>
      </c>
      <c r="DO101" s="55">
        <f>DO59+DO62+DO79+DO100</f>
        <v>544645.3300000001</v>
      </c>
      <c r="DP101" s="55">
        <f>DP59+DP62+DP79+DP100</f>
        <v>572983.72</v>
      </c>
      <c r="DQ101" s="55">
        <f>DQ59+DQ62+DQ79+DQ100</f>
        <v>647337.09</v>
      </c>
      <c r="DR101" s="55">
        <f>DR59+DR62+DR79+DR100</f>
        <v>423473.45999999996</v>
      </c>
      <c r="DS101" s="55">
        <f>DS59+DS62+DS79+DS100</f>
        <v>430798.35</v>
      </c>
      <c r="DT101" s="55">
        <f>DT59+DT62+DT79+DT100</f>
        <v>449554.50999999995</v>
      </c>
      <c r="DU101" s="55">
        <f>DU59+DU62+DU79+DU100</f>
        <v>475999.1</v>
      </c>
      <c r="DV101" s="55">
        <f>DV59+DV62+DV79+DV100</f>
        <v>483165.5399999999</v>
      </c>
      <c r="DW101" s="55">
        <f>DW59+DW62+DW79+DW100</f>
        <v>491168.00999999995</v>
      </c>
      <c r="DX101" s="55">
        <f>DX59+DX62+DX79+DX100</f>
        <v>498549.20999999996</v>
      </c>
      <c r="DY101" s="55">
        <f>DY59+DY62+DY79+DY100</f>
        <v>502198.26</v>
      </c>
      <c r="DZ101" s="55">
        <f>DZ59+DZ62+DZ79+DZ100</f>
        <v>530245.71</v>
      </c>
      <c r="EA101" s="55">
        <f>EA59+EA62+EA79+EA100</f>
        <v>588564.8899999999</v>
      </c>
      <c r="EB101" s="55">
        <f>EB59+EB62+EB79+EB100</f>
        <v>541357.51</v>
      </c>
      <c r="EC101" s="55">
        <f>EC59+EC62+EC79+EC100</f>
        <v>536193.97</v>
      </c>
      <c r="ED101" s="55">
        <f>ED59+ED62+ED79+ED100</f>
        <v>432417.17000000004</v>
      </c>
      <c r="EE101" s="55">
        <f>EE59+EE62+EE79+EE100</f>
        <v>416883.23</v>
      </c>
      <c r="EF101" s="55">
        <f>EF59+EF62+EF79+EF100</f>
        <v>393805.42000000004</v>
      </c>
      <c r="EG101" s="55">
        <f>EG59+EG62+EG79+EG100</f>
        <v>388161.06</v>
      </c>
      <c r="EH101" s="55">
        <f>EH59+EH62+EH79+EH100</f>
        <v>379007.68</v>
      </c>
      <c r="EI101" s="55">
        <f>EI59+EI62+EI79+EI100</f>
        <v>338633.72</v>
      </c>
      <c r="EJ101" s="55">
        <f>EJ59+EJ62+EJ79+EJ100</f>
        <v>294858.26</v>
      </c>
      <c r="EK101" s="55">
        <f>EK59+EK62+EK79+EK100</f>
        <v>297038.62</v>
      </c>
      <c r="EL101" s="55">
        <f>EL59+EL62+EL79+EL100</f>
        <v>295431.18</v>
      </c>
      <c r="EM101" s="55">
        <f>EM59+EM62+EM79+EM100</f>
        <v>297701.18</v>
      </c>
      <c r="EN101" s="55">
        <f>EN59+EN62+EN79+EN100</f>
        <v>297152.79</v>
      </c>
      <c r="EO101" s="55">
        <f>EO59+EO62+EO79+EO100</f>
        <v>352314.18999999994</v>
      </c>
      <c r="EP101" s="55">
        <f>EP59+EP62+EP79+EP100</f>
        <v>342389.83999999997</v>
      </c>
      <c r="EQ101" s="55">
        <f>EQ59+EQ62+EQ79+EQ100</f>
        <v>342389.83999999997</v>
      </c>
      <c r="ER101" s="55">
        <f>ER59+ER62+ER79+ER100</f>
        <v>342389.83999999997</v>
      </c>
    </row>
    <row r="102" spans="1:148" ht="16">
      <c r="A102" s="41" t="s">
        <v>99</v>
      </c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</row>
    <row r="103" spans="1:148" ht="16">
      <c r="A103" s="42" t="s">
        <v>100</v>
      </c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4">
        <v>26641.77</v>
      </c>
      <c r="BX103" s="54">
        <v>26641.77</v>
      </c>
      <c r="BY103" s="54">
        <v>26381.33</v>
      </c>
      <c r="BZ103" s="54">
        <v>26381.33</v>
      </c>
      <c r="CA103" s="54">
        <v>25589.06</v>
      </c>
      <c r="CB103" s="54">
        <v>25110.65</v>
      </c>
      <c r="CC103" s="54">
        <v>24610.65</v>
      </c>
      <c r="CD103" s="54">
        <v>24110.65</v>
      </c>
      <c r="CE103" s="54">
        <v>23610.65</v>
      </c>
      <c r="CF103" s="54">
        <v>23110.65</v>
      </c>
      <c r="CG103" s="54">
        <v>22610.65</v>
      </c>
      <c r="CH103" s="54">
        <v>22110.65</v>
      </c>
      <c r="CI103" s="54">
        <v>21610.65</v>
      </c>
      <c r="CJ103" s="54">
        <v>21110.65</v>
      </c>
      <c r="CK103" s="54">
        <v>20610.65</v>
      </c>
      <c r="CL103" s="54">
        <v>20110.65</v>
      </c>
      <c r="CM103" s="54">
        <v>19610.65</v>
      </c>
      <c r="CN103" s="54">
        <v>19110.65</v>
      </c>
      <c r="CO103" s="54">
        <v>18610.65</v>
      </c>
      <c r="CP103" s="54">
        <v>18110.65</v>
      </c>
      <c r="CQ103" s="54">
        <v>17610.65</v>
      </c>
      <c r="CR103" s="54">
        <v>17110.65</v>
      </c>
      <c r="CS103" s="54">
        <v>16610.65</v>
      </c>
      <c r="CT103" s="54">
        <v>16110.650000000001</v>
      </c>
      <c r="CU103" s="54">
        <v>15610.650000000001</v>
      </c>
      <c r="CV103" s="54">
        <v>15110.650000000001</v>
      </c>
      <c r="CW103" s="54">
        <v>14610.650000000001</v>
      </c>
      <c r="CX103" s="54">
        <v>14110.650000000001</v>
      </c>
      <c r="CY103" s="54">
        <v>13610.650000000001</v>
      </c>
      <c r="CZ103" s="54">
        <v>13110.650000000001</v>
      </c>
      <c r="DA103" s="54">
        <v>12610.650000000001</v>
      </c>
      <c r="DB103" s="54">
        <v>12110.650000000001</v>
      </c>
      <c r="DC103" s="54">
        <v>11610.650000000001</v>
      </c>
      <c r="DD103" s="54">
        <v>11110.650000000001</v>
      </c>
      <c r="DE103" s="54">
        <v>10610.650000000001</v>
      </c>
      <c r="DF103" s="54">
        <v>10110.650000000001</v>
      </c>
      <c r="DG103" s="54">
        <v>9610.650000000001</v>
      </c>
      <c r="DH103" s="54">
        <v>9110.650000000001</v>
      </c>
      <c r="DI103" s="54">
        <v>8610.650000000001</v>
      </c>
      <c r="DJ103" s="54">
        <v>8110.6500000000015</v>
      </c>
      <c r="DK103" s="54">
        <v>7610.6500000000015</v>
      </c>
      <c r="DL103" s="54">
        <v>7110.6500000000015</v>
      </c>
      <c r="DM103" s="54">
        <v>6610.6500000000015</v>
      </c>
      <c r="DN103" s="54">
        <v>6110.6500000000015</v>
      </c>
      <c r="DO103" s="54">
        <v>6110.6500000000015</v>
      </c>
      <c r="DP103" s="54">
        <v>6110.6500000000015</v>
      </c>
      <c r="DQ103" s="54">
        <v>1.8189894035458565E-12</v>
      </c>
      <c r="DR103" s="54">
        <v>1.8189894035458565E-12</v>
      </c>
      <c r="DS103" s="54">
        <v>1.8189894035458565E-12</v>
      </c>
      <c r="DT103" s="54">
        <v>1.8189894035458565E-12</v>
      </c>
      <c r="DU103" s="54">
        <v>1.8189894035458565E-12</v>
      </c>
      <c r="DV103" s="54">
        <v>1.8189894035458565E-12</v>
      </c>
      <c r="DW103" s="54">
        <v>1.8189894035458565E-12</v>
      </c>
      <c r="DX103" s="54">
        <v>1.8189894035458565E-12</v>
      </c>
      <c r="DY103" s="54">
        <v>1.8189894035458565E-12</v>
      </c>
      <c r="DZ103" s="54">
        <v>1.8189894035458565E-12</v>
      </c>
      <c r="EA103" s="54">
        <v>1.8189894035458565E-12</v>
      </c>
      <c r="EB103" s="54">
        <v>1.8189894035458565E-12</v>
      </c>
      <c r="EC103" s="54">
        <v>1.8189894035458565E-12</v>
      </c>
      <c r="ED103" s="54">
        <v>1.8189894035458565E-12</v>
      </c>
      <c r="EE103" s="54">
        <v>1.8189894035458565E-12</v>
      </c>
      <c r="EF103" s="54">
        <v>1.8189894035458565E-12</v>
      </c>
      <c r="EG103" s="54">
        <v>1.8189894035458565E-12</v>
      </c>
      <c r="EH103" s="54">
        <v>1.8189894035458565E-12</v>
      </c>
      <c r="EI103" s="54">
        <v>1.8189894035458565E-12</v>
      </c>
      <c r="EJ103" s="54">
        <v>1.8189894035458565E-12</v>
      </c>
      <c r="EK103" s="54">
        <v>1.8189894035458565E-12</v>
      </c>
      <c r="EL103" s="54">
        <v>1.8189894035458565E-12</v>
      </c>
      <c r="EM103" s="54">
        <v>1.8189894035458565E-12</v>
      </c>
      <c r="EN103" s="54">
        <v>1.8189894035458565E-12</v>
      </c>
      <c r="EO103" s="54">
        <v>1.8189894035458565E-12</v>
      </c>
      <c r="EP103" s="54">
        <v>1.8189894035458565E-12</v>
      </c>
      <c r="EQ103" s="54">
        <v>1.8189894035458565E-12</v>
      </c>
      <c r="ER103" s="54">
        <v>1.8189894035458565E-12</v>
      </c>
    </row>
    <row r="104" spans="1:148" ht="16">
      <c r="A104" s="42" t="s">
        <v>101</v>
      </c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4">
        <v>29000.0</v>
      </c>
      <c r="CU104" s="54">
        <v>26670.54</v>
      </c>
      <c r="CV104" s="54">
        <v>24325.57</v>
      </c>
      <c r="CW104" s="54">
        <v>21964.98</v>
      </c>
      <c r="CX104" s="54">
        <v>19588.68</v>
      </c>
      <c r="CY104" s="54">
        <v>17196.55</v>
      </c>
      <c r="CZ104" s="54">
        <v>14788.5</v>
      </c>
      <c r="DA104" s="54">
        <v>12364.41</v>
      </c>
      <c r="DB104" s="54">
        <v>9924.18</v>
      </c>
      <c r="DC104" s="54">
        <v>7467.700000000001</v>
      </c>
      <c r="DD104" s="54">
        <v>4994.870000000001</v>
      </c>
      <c r="DE104" s="54">
        <v>2505.5700000000006</v>
      </c>
      <c r="DF104" s="54">
        <v>4.547473508864641E-13</v>
      </c>
      <c r="DG104" s="54">
        <v>4.547473508864641E-13</v>
      </c>
      <c r="DH104" s="54">
        <v>49000.0</v>
      </c>
      <c r="DI104" s="54">
        <v>49000.0</v>
      </c>
      <c r="DJ104" s="54">
        <v>49000.0</v>
      </c>
      <c r="DK104" s="54">
        <v>49000.0</v>
      </c>
      <c r="DL104" s="54">
        <v>67000.0</v>
      </c>
      <c r="DM104" s="54">
        <v>62323.43</v>
      </c>
      <c r="DN104" s="54">
        <v>57008.66</v>
      </c>
      <c r="DO104" s="54">
        <v>51302.14</v>
      </c>
      <c r="DP104" s="54">
        <v>48452.02</v>
      </c>
      <c r="DQ104" s="54">
        <v>40479.939999999995</v>
      </c>
      <c r="DR104" s="54">
        <v>36966.119999999995</v>
      </c>
      <c r="DS104" s="54">
        <v>30855.269999999997</v>
      </c>
      <c r="DT104" s="54">
        <v>23553.909999999996</v>
      </c>
      <c r="DU104" s="54">
        <v>21052.489999999998</v>
      </c>
      <c r="DV104" s="54">
        <v>16185.55</v>
      </c>
      <c r="DW104" s="54">
        <v>9297.82</v>
      </c>
      <c r="DX104" s="54">
        <v>3171.8099999999995</v>
      </c>
      <c r="DY104" s="54">
        <v>-4.547473508864641E-13</v>
      </c>
      <c r="DZ104" s="54">
        <v>-4.547473508864641E-13</v>
      </c>
      <c r="EA104" s="54">
        <v>-4.547473508864641E-13</v>
      </c>
      <c r="EB104" s="54">
        <v>-4.547473508864641E-13</v>
      </c>
      <c r="EC104" s="54">
        <v>-4.547473508864641E-13</v>
      </c>
      <c r="ED104" s="54">
        <v>-4.547473508864641E-13</v>
      </c>
      <c r="EE104" s="54">
        <v>-4.547473508864641E-13</v>
      </c>
      <c r="EF104" s="54">
        <v>-4.547473508864641E-13</v>
      </c>
      <c r="EG104" s="54">
        <v>-4.547473508864641E-13</v>
      </c>
      <c r="EH104" s="54">
        <v>-4.547473508864641E-13</v>
      </c>
      <c r="EI104" s="54">
        <v>-4.547473508864641E-13</v>
      </c>
      <c r="EJ104" s="54">
        <v>-4.547473508864641E-13</v>
      </c>
      <c r="EK104" s="54">
        <v>-4.547473508864641E-13</v>
      </c>
      <c r="EL104" s="54">
        <v>-4.547473508864641E-13</v>
      </c>
      <c r="EM104" s="54">
        <v>-4.547473508864641E-13</v>
      </c>
      <c r="EN104" s="54">
        <v>-4.547473508864641E-13</v>
      </c>
      <c r="EO104" s="54">
        <v>-4.547473508864641E-13</v>
      </c>
      <c r="EP104" s="54">
        <v>-4.547473508864641E-13</v>
      </c>
      <c r="EQ104" s="54">
        <v>-4.547473508864641E-13</v>
      </c>
      <c r="ER104" s="54">
        <v>-4.547473508864641E-13</v>
      </c>
    </row>
    <row r="105" spans="1:148" ht="16">
      <c r="A105" s="42" t="s">
        <v>102</v>
      </c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4">
        <v>12562.2</v>
      </c>
      <c r="DY105" s="54">
        <v>7142.4800000000005</v>
      </c>
      <c r="DZ105" s="54">
        <v>2900.96</v>
      </c>
      <c r="EA105" s="54">
        <v>-1223.2600000000002</v>
      </c>
      <c r="EB105" s="54">
        <v>846.52</v>
      </c>
      <c r="EC105" s="54">
        <v>0</v>
      </c>
      <c r="ED105" s="54">
        <v>0</v>
      </c>
      <c r="EE105" s="54">
        <v>0</v>
      </c>
      <c r="EF105" s="54">
        <v>0</v>
      </c>
      <c r="EG105" s="54">
        <v>0</v>
      </c>
      <c r="EH105" s="54">
        <v>0</v>
      </c>
      <c r="EI105" s="54">
        <v>0</v>
      </c>
      <c r="EJ105" s="54">
        <v>0</v>
      </c>
      <c r="EK105" s="54">
        <v>0</v>
      </c>
      <c r="EL105" s="54">
        <v>0</v>
      </c>
      <c r="EM105" s="54">
        <v>0</v>
      </c>
      <c r="EN105" s="54">
        <v>0</v>
      </c>
      <c r="EO105" s="54">
        <v>0</v>
      </c>
      <c r="EP105" s="54">
        <v>0</v>
      </c>
      <c r="EQ105" s="54">
        <v>0</v>
      </c>
      <c r="ER105" s="54">
        <v>0</v>
      </c>
    </row>
    <row r="106" spans="1:148" ht="16">
      <c r="A106" s="42" t="s">
        <v>103</v>
      </c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4">
        <v>110000.0</v>
      </c>
      <c r="CZ106" s="54">
        <v>107561.44</v>
      </c>
      <c r="DA106" s="54">
        <v>105092.41</v>
      </c>
      <c r="DB106" s="54">
        <v>102592.54000000001</v>
      </c>
      <c r="DC106" s="54">
        <v>100061.45000000001</v>
      </c>
      <c r="DD106" s="54">
        <v>97498.73000000001</v>
      </c>
      <c r="DE106" s="54">
        <v>94904.01000000001</v>
      </c>
      <c r="DF106" s="54">
        <v>92276.87000000001</v>
      </c>
      <c r="DG106" s="54">
        <v>89616.91</v>
      </c>
      <c r="DH106" s="54">
        <v>86923.73000000001</v>
      </c>
      <c r="DI106" s="54">
        <v>84196.91</v>
      </c>
      <c r="DJ106" s="54">
        <v>81436.02</v>
      </c>
      <c r="DK106" s="54">
        <v>78640.64</v>
      </c>
      <c r="DL106" s="54">
        <v>75810.35</v>
      </c>
      <c r="DM106" s="54">
        <v>72944.70000000001</v>
      </c>
      <c r="DN106" s="54">
        <v>70043.25000000001</v>
      </c>
      <c r="DO106" s="54">
        <v>67105.56000000001</v>
      </c>
      <c r="DP106" s="54">
        <v>64131.17000000001</v>
      </c>
      <c r="DQ106" s="54">
        <v>61119.63000000001</v>
      </c>
      <c r="DR106" s="54">
        <v>58070.470000000016</v>
      </c>
      <c r="DS106" s="54">
        <v>51857.400000000016</v>
      </c>
      <c r="DT106" s="54">
        <v>51857.400000000016</v>
      </c>
      <c r="DU106" s="54">
        <v>48692.540000000015</v>
      </c>
      <c r="DV106" s="54">
        <v>45488.140000000014</v>
      </c>
      <c r="DW106" s="54">
        <v>42243.720000000016</v>
      </c>
      <c r="DX106" s="54">
        <v>38958.77000000002</v>
      </c>
      <c r="DY106" s="54">
        <v>35632.78000000002</v>
      </c>
      <c r="DZ106" s="54">
        <v>35632.78000000002</v>
      </c>
      <c r="EA106" s="54">
        <v>35632.78000000002</v>
      </c>
      <c r="EB106" s="54">
        <v>35632.78000000002</v>
      </c>
      <c r="EC106" s="54">
        <v>35632.78000000002</v>
      </c>
      <c r="ED106" s="54">
        <v>18717.180000000022</v>
      </c>
      <c r="EE106" s="54">
        <v>15302.650000000021</v>
      </c>
      <c r="EF106" s="54">
        <v>15517.680000000022</v>
      </c>
      <c r="EG106" s="54">
        <v>15702.920000000022</v>
      </c>
      <c r="EH106" s="54">
        <v>4408.960000000023</v>
      </c>
      <c r="EI106" s="54">
        <v>2.2737367544323206E-11</v>
      </c>
      <c r="EJ106" s="54">
        <v>2.2737367544323206E-11</v>
      </c>
      <c r="EK106" s="54">
        <v>2.2737367544323206E-11</v>
      </c>
      <c r="EL106" s="54">
        <v>2.2737367544323206E-11</v>
      </c>
      <c r="EM106" s="54">
        <v>2.2737367544323206E-11</v>
      </c>
      <c r="EN106" s="54">
        <v>2.2737367544323206E-11</v>
      </c>
      <c r="EO106" s="54">
        <v>2.2737367544323206E-11</v>
      </c>
      <c r="EP106" s="54">
        <v>2.2737367544323206E-11</v>
      </c>
      <c r="EQ106" s="54">
        <v>2.2737367544323206E-11</v>
      </c>
      <c r="ER106" s="54">
        <v>2.2737367544323206E-11</v>
      </c>
    </row>
    <row r="107" spans="1:148" ht="16">
      <c r="A107" s="42" t="s">
        <v>104</v>
      </c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4">
        <v>100000.0</v>
      </c>
      <c r="CO107" s="54">
        <v>91204.54000000001</v>
      </c>
      <c r="CP107" s="54">
        <v>82409.08000000002</v>
      </c>
      <c r="CQ107" s="54">
        <v>73613.62000000002</v>
      </c>
      <c r="CR107" s="54">
        <v>64818.160000000025</v>
      </c>
      <c r="CS107" s="54">
        <v>59513.46000000003</v>
      </c>
      <c r="CT107" s="54">
        <v>51222.760000000024</v>
      </c>
      <c r="CU107" s="54">
        <v>51222.760000000024</v>
      </c>
      <c r="CV107" s="54">
        <v>34394.63000000002</v>
      </c>
      <c r="CW107" s="54">
        <v>25890.88000000002</v>
      </c>
      <c r="CX107" s="54">
        <v>17307.93000000002</v>
      </c>
      <c r="CY107" s="54">
        <v>1.8189894035458565E-11</v>
      </c>
      <c r="CZ107" s="54">
        <v>1.8189894035458565E-11</v>
      </c>
      <c r="DA107" s="54">
        <v>1.8189894035458565E-11</v>
      </c>
      <c r="DB107" s="54">
        <v>1.8189894035458565E-11</v>
      </c>
      <c r="DC107" s="54">
        <v>1.8189894035458565E-11</v>
      </c>
      <c r="DD107" s="54">
        <v>1.8189894035458565E-11</v>
      </c>
      <c r="DE107" s="54">
        <v>1.8189894035458565E-11</v>
      </c>
      <c r="DF107" s="54">
        <v>1.8189894035458565E-11</v>
      </c>
      <c r="DG107" s="54">
        <v>1.8189894035458565E-11</v>
      </c>
      <c r="DH107" s="54">
        <v>1.8189894035458565E-11</v>
      </c>
      <c r="DI107" s="54">
        <v>1.8189894035458565E-11</v>
      </c>
      <c r="DJ107" s="54">
        <v>1.8189894035458565E-11</v>
      </c>
      <c r="DK107" s="54">
        <v>1.8189894035458565E-11</v>
      </c>
      <c r="DL107" s="54">
        <v>1.8189894035458565E-11</v>
      </c>
      <c r="DM107" s="54">
        <v>1.8189894035458565E-11</v>
      </c>
      <c r="DN107" s="54">
        <v>1.8189894035458565E-11</v>
      </c>
      <c r="DO107" s="54">
        <v>1.8189894035458565E-11</v>
      </c>
      <c r="DP107" s="54">
        <v>1.8189894035458565E-11</v>
      </c>
      <c r="DQ107" s="54">
        <v>1.8189894035458565E-11</v>
      </c>
      <c r="DR107" s="54">
        <v>1.8189894035458565E-11</v>
      </c>
      <c r="DS107" s="54">
        <v>1.8189894035458565E-11</v>
      </c>
      <c r="DT107" s="54">
        <v>1.8189894035458565E-11</v>
      </c>
      <c r="DU107" s="54">
        <v>1.8189894035458565E-11</v>
      </c>
      <c r="DV107" s="54">
        <v>1.8189894035458565E-11</v>
      </c>
      <c r="DW107" s="54">
        <v>1.8189894035458565E-11</v>
      </c>
      <c r="DX107" s="54">
        <v>1.8189894035458565E-11</v>
      </c>
      <c r="DY107" s="54">
        <v>1.8189894035458565E-11</v>
      </c>
      <c r="DZ107" s="54">
        <v>1.8189894035458565E-11</v>
      </c>
      <c r="EA107" s="54">
        <v>1.8189894035458565E-11</v>
      </c>
      <c r="EB107" s="54">
        <v>1.8189894035458565E-11</v>
      </c>
      <c r="EC107" s="54">
        <v>1.8189894035458565E-11</v>
      </c>
      <c r="ED107" s="54">
        <v>1.8189894035458565E-11</v>
      </c>
      <c r="EE107" s="54">
        <v>1.8189894035458565E-11</v>
      </c>
      <c r="EF107" s="54">
        <v>1.8189894035458565E-11</v>
      </c>
      <c r="EG107" s="54">
        <v>1.8189894035458565E-11</v>
      </c>
      <c r="EH107" s="54">
        <v>1.8189894035458565E-11</v>
      </c>
      <c r="EI107" s="54">
        <v>1.8189894035458565E-11</v>
      </c>
      <c r="EJ107" s="54">
        <v>1.8189894035458565E-11</v>
      </c>
      <c r="EK107" s="54">
        <v>1.8189894035458565E-11</v>
      </c>
      <c r="EL107" s="54">
        <v>1.8189894035458565E-11</v>
      </c>
      <c r="EM107" s="54">
        <v>1.8189894035458565E-11</v>
      </c>
      <c r="EN107" s="54">
        <v>1.8189894035458565E-11</v>
      </c>
      <c r="EO107" s="54">
        <v>1.8189894035458565E-11</v>
      </c>
      <c r="EP107" s="54">
        <v>1.8189894035458565E-11</v>
      </c>
      <c r="EQ107" s="54">
        <v>1.8189894035458565E-11</v>
      </c>
      <c r="ER107" s="54">
        <v>1.8189894035458565E-11</v>
      </c>
    </row>
    <row r="108" spans="1:148" ht="16">
      <c r="A108" s="42" t="s">
        <v>105</v>
      </c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4">
        <v>100000.0</v>
      </c>
      <c r="DR108" s="54">
        <v>100000.0</v>
      </c>
      <c r="DS108" s="54">
        <v>100000.0</v>
      </c>
      <c r="DT108" s="54">
        <v>100000.0</v>
      </c>
      <c r="DU108" s="54">
        <v>100000.0</v>
      </c>
      <c r="DV108" s="54">
        <v>100000.0</v>
      </c>
      <c r="DW108" s="54">
        <v>100000.0</v>
      </c>
      <c r="DX108" s="54">
        <v>100000.0</v>
      </c>
      <c r="DY108" s="54">
        <v>100000.0</v>
      </c>
      <c r="DZ108" s="54">
        <v>100000.0</v>
      </c>
      <c r="EA108" s="54">
        <v>100000.0</v>
      </c>
      <c r="EB108" s="54">
        <v>100000.0</v>
      </c>
      <c r="EC108" s="54">
        <v>100000.0</v>
      </c>
      <c r="ED108" s="54">
        <v>100000.0</v>
      </c>
      <c r="EE108" s="54">
        <v>100000.0</v>
      </c>
      <c r="EF108" s="54">
        <v>100000.0</v>
      </c>
      <c r="EG108" s="54">
        <v>100000.0</v>
      </c>
      <c r="EH108" s="54">
        <v>100000.0</v>
      </c>
      <c r="EI108" s="54">
        <v>100000.0</v>
      </c>
      <c r="EJ108" s="54">
        <v>92549.0</v>
      </c>
      <c r="EK108" s="54">
        <v>88767.0</v>
      </c>
      <c r="EL108" s="54">
        <v>88767.0</v>
      </c>
      <c r="EM108" s="54">
        <v>88767.0</v>
      </c>
      <c r="EN108" s="54">
        <v>88767.0</v>
      </c>
      <c r="EO108" s="54">
        <v>88767.0</v>
      </c>
      <c r="EP108" s="54">
        <v>88767.0</v>
      </c>
      <c r="EQ108" s="54">
        <v>88767.0</v>
      </c>
      <c r="ER108" s="54">
        <v>88767.0</v>
      </c>
    </row>
    <row r="109" spans="1:148" ht="16">
      <c r="A109" s="42" t="s">
        <v>106</v>
      </c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4">
        <v>29625.88</v>
      </c>
      <c r="CT109" s="54">
        <v>26418.920000000002</v>
      </c>
      <c r="CU109" s="54">
        <v>23455.68</v>
      </c>
      <c r="CV109" s="54">
        <v>19900.190000000002</v>
      </c>
      <c r="CW109" s="54">
        <v>16536.22</v>
      </c>
      <c r="CX109" s="54">
        <v>12435.0</v>
      </c>
      <c r="CY109" s="54">
        <v>8635.67</v>
      </c>
      <c r="CZ109" s="54">
        <v>6079.389999999999</v>
      </c>
      <c r="DA109" s="54">
        <v>2393.4099999999994</v>
      </c>
      <c r="DB109" s="54">
        <v>-4.547473508864641E-13</v>
      </c>
      <c r="DC109" s="54">
        <v>-4.547473508864641E-13</v>
      </c>
      <c r="DD109" s="54">
        <v>-4.547473508864641E-13</v>
      </c>
      <c r="DE109" s="54">
        <v>-4.547473508864641E-13</v>
      </c>
      <c r="DF109" s="54">
        <v>-4.547473508864641E-13</v>
      </c>
      <c r="DG109" s="54">
        <v>-4.547473508864641E-13</v>
      </c>
      <c r="DH109" s="54">
        <v>-4.547473508864641E-13</v>
      </c>
      <c r="DI109" s="54">
        <v>-4.547473508864641E-13</v>
      </c>
      <c r="DJ109" s="54">
        <v>-4.547473508864641E-13</v>
      </c>
      <c r="DK109" s="54">
        <v>-4.547473508864641E-13</v>
      </c>
      <c r="DL109" s="54">
        <v>-4.547473508864641E-13</v>
      </c>
      <c r="DM109" s="54">
        <v>-4.547473508864641E-13</v>
      </c>
      <c r="DN109" s="54">
        <v>-4.547473508864641E-13</v>
      </c>
      <c r="DO109" s="54">
        <v>-4.547473508864641E-13</v>
      </c>
      <c r="DP109" s="54">
        <v>-4.547473508864641E-13</v>
      </c>
      <c r="DQ109" s="54">
        <v>-4.547473508864641E-13</v>
      </c>
      <c r="DR109" s="54">
        <v>-4.547473508864641E-13</v>
      </c>
      <c r="DS109" s="54">
        <v>-4.547473508864641E-13</v>
      </c>
      <c r="DT109" s="54">
        <v>-4.547473508864641E-13</v>
      </c>
      <c r="DU109" s="54">
        <v>-4.547473508864641E-13</v>
      </c>
      <c r="DV109" s="54">
        <v>-4.547473508864641E-13</v>
      </c>
      <c r="DW109" s="54">
        <v>-4.547473508864641E-13</v>
      </c>
      <c r="DX109" s="54">
        <v>-4.547473508864641E-13</v>
      </c>
      <c r="DY109" s="54">
        <v>-4.547473508864641E-13</v>
      </c>
      <c r="DZ109" s="54">
        <v>-4.547473508864641E-13</v>
      </c>
      <c r="EA109" s="54">
        <v>-4.547473508864641E-13</v>
      </c>
      <c r="EB109" s="54">
        <v>-4.547473508864641E-13</v>
      </c>
      <c r="EC109" s="54">
        <v>-4.547473508864641E-13</v>
      </c>
      <c r="ED109" s="54">
        <v>-4.547473508864641E-13</v>
      </c>
      <c r="EE109" s="54">
        <v>-4.547473508864641E-13</v>
      </c>
      <c r="EF109" s="54">
        <v>-4.547473508864641E-13</v>
      </c>
      <c r="EG109" s="54">
        <v>-4.547473508864641E-13</v>
      </c>
      <c r="EH109" s="54">
        <v>-4.547473508864641E-13</v>
      </c>
      <c r="EI109" s="54">
        <v>-4.547473508864641E-13</v>
      </c>
      <c r="EJ109" s="54">
        <v>-4.547473508864641E-13</v>
      </c>
      <c r="EK109" s="54">
        <v>-4.547473508864641E-13</v>
      </c>
      <c r="EL109" s="54">
        <v>-4.547473508864641E-13</v>
      </c>
      <c r="EM109" s="54">
        <v>-4.547473508864641E-13</v>
      </c>
      <c r="EN109" s="54">
        <v>-4.547473508864641E-13</v>
      </c>
      <c r="EO109" s="54">
        <v>-4.547473508864641E-13</v>
      </c>
      <c r="EP109" s="54">
        <v>-4.547473508864641E-13</v>
      </c>
      <c r="EQ109" s="54">
        <v>-4.547473508864641E-13</v>
      </c>
      <c r="ER109" s="54">
        <v>-4.547473508864641E-13</v>
      </c>
    </row>
    <row r="110" spans="1:148" ht="16">
      <c r="A110" s="42" t="s">
        <v>107</v>
      </c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4">
        <v>48893.43</v>
      </c>
      <c r="DL110" s="54">
        <v>39519.79</v>
      </c>
      <c r="DM110" s="54">
        <v>34939.14</v>
      </c>
      <c r="DN110" s="54">
        <v>29081.94</v>
      </c>
      <c r="DO110" s="54">
        <v>23595.64</v>
      </c>
      <c r="DP110" s="54">
        <v>19978.62</v>
      </c>
      <c r="DQ110" s="54">
        <v>17693.85</v>
      </c>
      <c r="DR110" s="54">
        <v>14114.159999999998</v>
      </c>
      <c r="DS110" s="54">
        <v>12141.079999999998</v>
      </c>
      <c r="DT110" s="54">
        <v>9086.059999999998</v>
      </c>
      <c r="DU110" s="54">
        <v>6666.609999999998</v>
      </c>
      <c r="DV110" s="54">
        <v>5770.999999999998</v>
      </c>
      <c r="DW110" s="54">
        <v>4861.359999999998</v>
      </c>
      <c r="DX110" s="54">
        <v>3893.089999999998</v>
      </c>
      <c r="DY110" s="54">
        <v>3038.509999999998</v>
      </c>
      <c r="DZ110" s="54">
        <v>2284.2299999999977</v>
      </c>
      <c r="EA110" s="54">
        <v>1958.9599999999978</v>
      </c>
      <c r="EB110" s="54">
        <v>1769.4299999999978</v>
      </c>
      <c r="EC110" s="54">
        <v>1769.4299999999978</v>
      </c>
      <c r="ED110" s="54">
        <v>1625.9199999999978</v>
      </c>
      <c r="EE110" s="54">
        <v>-2.2737367544323206E-12</v>
      </c>
      <c r="EF110" s="54">
        <v>-2.2737367544323206E-12</v>
      </c>
      <c r="EG110" s="54">
        <v>-2.2737367544323206E-12</v>
      </c>
      <c r="EH110" s="54">
        <v>-2.2737367544323206E-12</v>
      </c>
      <c r="EI110" s="54">
        <v>-2.2737367544323206E-12</v>
      </c>
      <c r="EJ110" s="54">
        <v>-2.2737367544323206E-12</v>
      </c>
      <c r="EK110" s="54">
        <v>-2.2737367544323206E-12</v>
      </c>
      <c r="EL110" s="54">
        <v>-2.2737367544323206E-12</v>
      </c>
      <c r="EM110" s="54">
        <v>-2.2737367544323206E-12</v>
      </c>
      <c r="EN110" s="54">
        <v>-2.2737367544323206E-12</v>
      </c>
      <c r="EO110" s="54">
        <v>-2.2737367544323206E-12</v>
      </c>
      <c r="EP110" s="54">
        <v>-2.2737367544323206E-12</v>
      </c>
      <c r="EQ110" s="54">
        <v>-2.2737367544323206E-12</v>
      </c>
      <c r="ER110" s="54">
        <v>-2.2737367544323206E-12</v>
      </c>
    </row>
    <row r="111" spans="1:148" ht="16">
      <c r="A111" s="42" t="s">
        <v>108</v>
      </c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4">
        <v>26300.0</v>
      </c>
      <c r="CK111" s="54">
        <v>26300.0</v>
      </c>
      <c r="CL111" s="54">
        <v>26300.0</v>
      </c>
      <c r="CM111" s="54">
        <v>26300.0</v>
      </c>
      <c r="CN111" s="54">
        <v>26300.0</v>
      </c>
      <c r="CO111" s="54">
        <v>26300.0</v>
      </c>
      <c r="CP111" s="54">
        <v>26300.0</v>
      </c>
      <c r="CQ111" s="54">
        <v>26300.0</v>
      </c>
      <c r="CR111" s="54">
        <v>26300.0</v>
      </c>
      <c r="CS111" s="54">
        <v>0</v>
      </c>
      <c r="CT111" s="54">
        <v>0</v>
      </c>
      <c r="CU111" s="54">
        <v>0</v>
      </c>
      <c r="CV111" s="54">
        <v>0</v>
      </c>
      <c r="CW111" s="54">
        <v>0</v>
      </c>
      <c r="CX111" s="54">
        <v>0</v>
      </c>
      <c r="CY111" s="54">
        <v>0</v>
      </c>
      <c r="CZ111" s="54">
        <v>0</v>
      </c>
      <c r="DA111" s="54">
        <v>0</v>
      </c>
      <c r="DB111" s="54">
        <v>0</v>
      </c>
      <c r="DC111" s="54">
        <v>0</v>
      </c>
      <c r="DD111" s="54">
        <v>0</v>
      </c>
      <c r="DE111" s="54">
        <v>0</v>
      </c>
      <c r="DF111" s="54">
        <v>0</v>
      </c>
      <c r="DG111" s="54">
        <v>0</v>
      </c>
      <c r="DH111" s="54">
        <v>0</v>
      </c>
      <c r="DI111" s="54">
        <v>0</v>
      </c>
      <c r="DJ111" s="54">
        <v>0</v>
      </c>
      <c r="DK111" s="54">
        <v>0</v>
      </c>
      <c r="DL111" s="54">
        <v>0</v>
      </c>
      <c r="DM111" s="54">
        <v>0</v>
      </c>
      <c r="DN111" s="54">
        <v>0</v>
      </c>
      <c r="DO111" s="54">
        <v>0</v>
      </c>
      <c r="DP111" s="54">
        <v>0</v>
      </c>
      <c r="DQ111" s="54">
        <v>0</v>
      </c>
      <c r="DR111" s="54">
        <v>0</v>
      </c>
      <c r="DS111" s="54">
        <v>0</v>
      </c>
      <c r="DT111" s="54">
        <v>0</v>
      </c>
      <c r="DU111" s="54">
        <v>0</v>
      </c>
      <c r="DV111" s="54">
        <v>0</v>
      </c>
      <c r="DW111" s="54">
        <v>0</v>
      </c>
      <c r="DX111" s="54">
        <v>0</v>
      </c>
      <c r="DY111" s="54">
        <v>0</v>
      </c>
      <c r="DZ111" s="54">
        <v>0</v>
      </c>
      <c r="EA111" s="54">
        <v>0</v>
      </c>
      <c r="EB111" s="54">
        <v>0</v>
      </c>
      <c r="EC111" s="54">
        <v>0</v>
      </c>
      <c r="ED111" s="54">
        <v>0</v>
      </c>
      <c r="EE111" s="54">
        <v>0</v>
      </c>
      <c r="EF111" s="54">
        <v>0</v>
      </c>
      <c r="EG111" s="54">
        <v>0</v>
      </c>
      <c r="EH111" s="54">
        <v>0</v>
      </c>
      <c r="EI111" s="54">
        <v>0</v>
      </c>
      <c r="EJ111" s="54">
        <v>0</v>
      </c>
      <c r="EK111" s="54">
        <v>0</v>
      </c>
      <c r="EL111" s="54">
        <v>0</v>
      </c>
      <c r="EM111" s="54">
        <v>0</v>
      </c>
      <c r="EN111" s="54">
        <v>0</v>
      </c>
      <c r="EO111" s="54">
        <v>0</v>
      </c>
      <c r="EP111" s="54">
        <v>0</v>
      </c>
      <c r="EQ111" s="54">
        <v>0</v>
      </c>
      <c r="ER111" s="54">
        <v>0</v>
      </c>
    </row>
    <row r="112" spans="1:148" ht="16">
      <c r="A112" s="42" t="s">
        <v>109</v>
      </c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4">
        <v>65000.0</v>
      </c>
      <c r="CZ112" s="54">
        <v>61652.37</v>
      </c>
      <c r="DA112" s="54">
        <v>58313.36</v>
      </c>
      <c r="DB112" s="54">
        <v>54940.33</v>
      </c>
      <c r="DC112" s="54">
        <v>51514.87</v>
      </c>
      <c r="DD112" s="54">
        <v>48072.560000000005</v>
      </c>
      <c r="DE112" s="54">
        <v>44579.380000000005</v>
      </c>
      <c r="DF112" s="54">
        <v>41066.4</v>
      </c>
      <c r="DG112" s="54">
        <v>37517.630000000005</v>
      </c>
      <c r="DH112" s="54">
        <v>33895.700000000004</v>
      </c>
      <c r="DI112" s="54">
        <v>30273.860000000004</v>
      </c>
      <c r="DJ112" s="54">
        <v>26605.170000000006</v>
      </c>
      <c r="DK112" s="54">
        <v>22909.040000000005</v>
      </c>
      <c r="DL112" s="54">
        <v>19167.720000000005</v>
      </c>
      <c r="DM112" s="54">
        <v>15395.810000000005</v>
      </c>
      <c r="DN112" s="54">
        <v>11585.460000000005</v>
      </c>
      <c r="DO112" s="54">
        <v>7732.480000000005</v>
      </c>
      <c r="DP112" s="54">
        <v>3844.040000000005</v>
      </c>
      <c r="DQ112" s="54">
        <v>5.002220859751105E-12</v>
      </c>
      <c r="DR112" s="54">
        <v>5.002220859751105E-12</v>
      </c>
      <c r="DS112" s="54">
        <v>5.002220859751105E-12</v>
      </c>
      <c r="DT112" s="54">
        <v>5.002220859751105E-12</v>
      </c>
      <c r="DU112" s="54">
        <v>5.002220859751105E-12</v>
      </c>
      <c r="DV112" s="54">
        <v>5.002220859751105E-12</v>
      </c>
      <c r="DW112" s="54">
        <v>5.002220859751105E-12</v>
      </c>
      <c r="DX112" s="54">
        <v>5.002220859751105E-12</v>
      </c>
      <c r="DY112" s="54">
        <v>5.002220859751105E-12</v>
      </c>
      <c r="DZ112" s="54">
        <v>5.002220859751105E-12</v>
      </c>
      <c r="EA112" s="54">
        <v>5.002220859751105E-12</v>
      </c>
      <c r="EB112" s="54">
        <v>5.002220859751105E-12</v>
      </c>
      <c r="EC112" s="54">
        <v>5.002220859751105E-12</v>
      </c>
      <c r="ED112" s="54">
        <v>5.002220859751105E-12</v>
      </c>
      <c r="EE112" s="54">
        <v>5.002220859751105E-12</v>
      </c>
      <c r="EF112" s="54">
        <v>5.002220859751105E-12</v>
      </c>
      <c r="EG112" s="54">
        <v>5.002220859751105E-12</v>
      </c>
      <c r="EH112" s="54">
        <v>5.002220859751105E-12</v>
      </c>
      <c r="EI112" s="54">
        <v>5.002220859751105E-12</v>
      </c>
      <c r="EJ112" s="54">
        <v>5.002220859751105E-12</v>
      </c>
      <c r="EK112" s="54">
        <v>5.002220859751105E-12</v>
      </c>
      <c r="EL112" s="54">
        <v>5.002220859751105E-12</v>
      </c>
      <c r="EM112" s="54">
        <v>5.002220859751105E-12</v>
      </c>
      <c r="EN112" s="54">
        <v>5.002220859751105E-12</v>
      </c>
      <c r="EO112" s="54">
        <v>5.002220859751105E-12</v>
      </c>
      <c r="EP112" s="54">
        <v>5.002220859751105E-12</v>
      </c>
      <c r="EQ112" s="54">
        <v>5.002220859751105E-12</v>
      </c>
      <c r="ER112" s="54">
        <v>5.002220859751105E-12</v>
      </c>
    </row>
    <row r="113" spans="1:148" ht="16">
      <c r="A113" s="42" t="s">
        <v>110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4">
        <v>25000.0</v>
      </c>
      <c r="ED113" s="54">
        <v>251300.0</v>
      </c>
      <c r="EE113" s="54">
        <v>251300.0</v>
      </c>
      <c r="EF113" s="54">
        <v>251300.0</v>
      </c>
      <c r="EG113" s="54">
        <v>251300.0</v>
      </c>
      <c r="EH113" s="54">
        <v>251300.0</v>
      </c>
      <c r="EI113" s="54">
        <v>251300.0</v>
      </c>
      <c r="EJ113" s="54">
        <v>351300.0</v>
      </c>
      <c r="EK113" s="54">
        <v>351300.0</v>
      </c>
      <c r="EL113" s="54">
        <v>351300.0</v>
      </c>
      <c r="EM113" s="54">
        <v>351300.0</v>
      </c>
      <c r="EN113" s="54">
        <v>351300.0</v>
      </c>
      <c r="EO113" s="54">
        <v>351300.0</v>
      </c>
      <c r="EP113" s="54">
        <v>351300.0</v>
      </c>
      <c r="EQ113" s="54">
        <v>351300.0</v>
      </c>
      <c r="ER113" s="54">
        <v>351300.0</v>
      </c>
    </row>
    <row r="114" spans="1:148" ht="16">
      <c r="A114" s="42" t="s">
        <v>111</v>
      </c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4">
        <v>23572.46</v>
      </c>
      <c r="DH114" s="54">
        <v>20470.11</v>
      </c>
      <c r="DI114" s="54">
        <v>18113.36</v>
      </c>
      <c r="DJ114" s="54">
        <v>15419.890000000001</v>
      </c>
      <c r="DK114" s="54">
        <v>13719.02</v>
      </c>
      <c r="DL114" s="54">
        <v>12501.060000000001</v>
      </c>
      <c r="DM114" s="54">
        <v>10062.260000000002</v>
      </c>
      <c r="DN114" s="54">
        <v>8357.420000000002</v>
      </c>
      <c r="DO114" s="54">
        <v>7403.420000000002</v>
      </c>
      <c r="DP114" s="54">
        <v>4845.190000000002</v>
      </c>
      <c r="DQ114" s="54">
        <v>2732.8600000000024</v>
      </c>
      <c r="DR114" s="54">
        <v>7094.190000000002</v>
      </c>
      <c r="DS114" s="54">
        <v>6483.100000000002</v>
      </c>
      <c r="DT114" s="54">
        <v>6028.800000000002</v>
      </c>
      <c r="DU114" s="54">
        <v>5566.830000000002</v>
      </c>
      <c r="DV114" s="54">
        <v>4989.8200000000015</v>
      </c>
      <c r="DW114" s="54">
        <v>4586.520000000001</v>
      </c>
      <c r="DX114" s="54">
        <v>3662.3400000000015</v>
      </c>
      <c r="DY114" s="54">
        <v>2601.6200000000017</v>
      </c>
      <c r="DZ114" s="54">
        <v>2296.5100000000016</v>
      </c>
      <c r="EA114" s="54">
        <v>1701.5000000000016</v>
      </c>
      <c r="EB114" s="54">
        <v>1209.5000000000016</v>
      </c>
      <c r="EC114" s="54">
        <v>528.6600000000016</v>
      </c>
      <c r="ED114" s="54">
        <v>512.3300000000015</v>
      </c>
      <c r="EE114" s="54">
        <v>1.4779288903810084E-12</v>
      </c>
      <c r="EF114" s="54">
        <v>1.4779288903810084E-12</v>
      </c>
      <c r="EG114" s="54">
        <v>1.4779288903810084E-12</v>
      </c>
      <c r="EH114" s="54">
        <v>1.4779288903810084E-12</v>
      </c>
      <c r="EI114" s="54">
        <v>7543.730000000001</v>
      </c>
      <c r="EJ114" s="54">
        <v>7058.230000000001</v>
      </c>
      <c r="EK114" s="54">
        <v>6583.970000000001</v>
      </c>
      <c r="EL114" s="54">
        <v>6188.280000000002</v>
      </c>
      <c r="EM114" s="54">
        <v>5565.000000000002</v>
      </c>
      <c r="EN114" s="54">
        <v>5641.220000000002</v>
      </c>
      <c r="EO114" s="54">
        <v>13130.380000000001</v>
      </c>
      <c r="EP114" s="54">
        <v>12378.02</v>
      </c>
      <c r="EQ114" s="54">
        <v>12378.02</v>
      </c>
      <c r="ER114" s="54">
        <v>12378.02</v>
      </c>
    </row>
    <row r="115" spans="1:148" ht="16">
      <c r="A115" s="43" t="s">
        <v>112</v>
      </c>
      <c r="B115" s="55">
        <f>B102+B103+B104+B105+B106+B107+B108+B109+B110+B111+B112+B113+B114</f>
        <v>0.0</v>
      </c>
      <c r="C115" s="55">
        <f>C102+C103+C104+C105+C106+C107+C108+C109+C110+C111+C112+C113+C114</f>
        <v>0.0</v>
      </c>
      <c r="D115" s="55">
        <f>D102+D103+D104+D105+D106+D107+D108+D109+D110+D111+D112+D113+D114</f>
        <v>0.0</v>
      </c>
      <c r="E115" s="55">
        <f>E102+E103+E104+E105+E106+E107+E108+E109+E110+E111+E112+E113+E114</f>
        <v>0.0</v>
      </c>
      <c r="F115" s="55">
        <f>F102+F103+F104+F105+F106+F107+F108+F109+F110+F111+F112+F113+F114</f>
        <v>0.0</v>
      </c>
      <c r="G115" s="55">
        <f>G102+G103+G104+G105+G106+G107+G108+G109+G110+G111+G112+G113+G114</f>
        <v>0.0</v>
      </c>
      <c r="H115" s="55">
        <f>H102+H103+H104+H105+H106+H107+H108+H109+H110+H111+H112+H113+H114</f>
        <v>0.0</v>
      </c>
      <c r="I115" s="55">
        <f>I102+I103+I104+I105+I106+I107+I108+I109+I110+I111+I112+I113+I114</f>
        <v>0.0</v>
      </c>
      <c r="J115" s="55">
        <f>J102+J103+J104+J105+J106+J107+J108+J109+J110+J111+J112+J113+J114</f>
        <v>0.0</v>
      </c>
      <c r="K115" s="55">
        <f>K102+K103+K104+K105+K106+K107+K108+K109+K110+K111+K112+K113+K114</f>
        <v>0.0</v>
      </c>
      <c r="L115" s="55">
        <f>L102+L103+L104+L105+L106+L107+L108+L109+L110+L111+L112+L113+L114</f>
        <v>0.0</v>
      </c>
      <c r="M115" s="55">
        <f>M102+M103+M104+M105+M106+M107+M108+M109+M110+M111+M112+M113+M114</f>
        <v>0.0</v>
      </c>
      <c r="N115" s="55">
        <f>N102+N103+N104+N105+N106+N107+N108+N109+N110+N111+N112+N113+N114</f>
        <v>0.0</v>
      </c>
      <c r="O115" s="55">
        <f>O102+O103+O104+O105+O106+O107+O108+O109+O110+O111+O112+O113+O114</f>
        <v>0.0</v>
      </c>
      <c r="P115" s="55">
        <f>P102+P103+P104+P105+P106+P107+P108+P109+P110+P111+P112+P113+P114</f>
        <v>0.0</v>
      </c>
      <c r="Q115" s="55">
        <f>Q102+Q103+Q104+Q105+Q106+Q107+Q108+Q109+Q110+Q111+Q112+Q113+Q114</f>
        <v>0.0</v>
      </c>
      <c r="R115" s="55">
        <f>R102+R103+R104+R105+R106+R107+R108+R109+R110+R111+R112+R113+R114</f>
        <v>0.0</v>
      </c>
      <c r="S115" s="55">
        <f>S102+S103+S104+S105+S106+S107+S108+S109+S110+S111+S112+S113+S114</f>
        <v>0.0</v>
      </c>
      <c r="T115" s="55">
        <f>T102+T103+T104+T105+T106+T107+T108+T109+T110+T111+T112+T113+T114</f>
        <v>0.0</v>
      </c>
      <c r="U115" s="55">
        <f>U102+U103+U104+U105+U106+U107+U108+U109+U110+U111+U112+U113+U114</f>
        <v>0.0</v>
      </c>
      <c r="V115" s="55">
        <f>V102+V103+V104+V105+V106+V107+V108+V109+V110+V111+V112+V113+V114</f>
        <v>0.0</v>
      </c>
      <c r="W115" s="55">
        <f>W102+W103+W104+W105+W106+W107+W108+W109+W110+W111+W112+W113+W114</f>
        <v>0.0</v>
      </c>
      <c r="X115" s="55">
        <f>X102+X103+X104+X105+X106+X107+X108+X109+X110+X111+X112+X113+X114</f>
        <v>0.0</v>
      </c>
      <c r="Y115" s="55">
        <f>Y102+Y103+Y104+Y105+Y106+Y107+Y108+Y109+Y110+Y111+Y112+Y113+Y114</f>
        <v>0.0</v>
      </c>
      <c r="Z115" s="55">
        <f>Z102+Z103+Z104+Z105+Z106+Z107+Z108+Z109+Z110+Z111+Z112+Z113+Z114</f>
        <v>0.0</v>
      </c>
      <c r="AA115" s="55">
        <f>AA102+AA103+AA104+AA105+AA106+AA107+AA108+AA109+AA110+AA111+AA112+AA113+AA114</f>
        <v>0.0</v>
      </c>
      <c r="AB115" s="55">
        <f>AB102+AB103+AB104+AB105+AB106+AB107+AB108+AB109+AB110+AB111+AB112+AB113+AB114</f>
        <v>0.0</v>
      </c>
      <c r="AC115" s="55">
        <f>AC102+AC103+AC104+AC105+AC106+AC107+AC108+AC109+AC110+AC111+AC112+AC113+AC114</f>
        <v>0.0</v>
      </c>
      <c r="AD115" s="55">
        <f>AD102+AD103+AD104+AD105+AD106+AD107+AD108+AD109+AD110+AD111+AD112+AD113+AD114</f>
        <v>0.0</v>
      </c>
      <c r="AE115" s="55">
        <f>AE102+AE103+AE104+AE105+AE106+AE107+AE108+AE109+AE110+AE111+AE112+AE113+AE114</f>
        <v>0.0</v>
      </c>
      <c r="AF115" s="55">
        <f>AF102+AF103+AF104+AF105+AF106+AF107+AF108+AF109+AF110+AF111+AF112+AF113+AF114</f>
        <v>0.0</v>
      </c>
      <c r="AG115" s="55">
        <f>AG102+AG103+AG104+AG105+AG106+AG107+AG108+AG109+AG110+AG111+AG112+AG113+AG114</f>
        <v>0.0</v>
      </c>
      <c r="AH115" s="55">
        <f>AH102+AH103+AH104+AH105+AH106+AH107+AH108+AH109+AH110+AH111+AH112+AH113+AH114</f>
        <v>0.0</v>
      </c>
      <c r="AI115" s="55">
        <f>AI102+AI103+AI104+AI105+AI106+AI107+AI108+AI109+AI110+AI111+AI112+AI113+AI114</f>
        <v>0.0</v>
      </c>
      <c r="AJ115" s="55">
        <f>AJ102+AJ103+AJ104+AJ105+AJ106+AJ107+AJ108+AJ109+AJ110+AJ111+AJ112+AJ113+AJ114</f>
        <v>0.0</v>
      </c>
      <c r="AK115" s="55">
        <f>AK102+AK103+AK104+AK105+AK106+AK107+AK108+AK109+AK110+AK111+AK112+AK113+AK114</f>
        <v>0.0</v>
      </c>
      <c r="AL115" s="55">
        <f>AL102+AL103+AL104+AL105+AL106+AL107+AL108+AL109+AL110+AL111+AL112+AL113+AL114</f>
        <v>0.0</v>
      </c>
      <c r="AM115" s="55">
        <f>AM102+AM103+AM104+AM105+AM106+AM107+AM108+AM109+AM110+AM111+AM112+AM113+AM114</f>
        <v>0.0</v>
      </c>
      <c r="AN115" s="55">
        <f>AN102+AN103+AN104+AN105+AN106+AN107+AN108+AN109+AN110+AN111+AN112+AN113+AN114</f>
        <v>0.0</v>
      </c>
      <c r="AO115" s="55">
        <f>AO102+AO103+AO104+AO105+AO106+AO107+AO108+AO109+AO110+AO111+AO112+AO113+AO114</f>
        <v>0.0</v>
      </c>
      <c r="AP115" s="55">
        <f>AP102+AP103+AP104+AP105+AP106+AP107+AP108+AP109+AP110+AP111+AP112+AP113+AP114</f>
        <v>0.0</v>
      </c>
      <c r="AQ115" s="55">
        <f>AQ102+AQ103+AQ104+AQ105+AQ106+AQ107+AQ108+AQ109+AQ110+AQ111+AQ112+AQ113+AQ114</f>
        <v>0.0</v>
      </c>
      <c r="AR115" s="55">
        <f>AR102+AR103+AR104+AR105+AR106+AR107+AR108+AR109+AR110+AR111+AR112+AR113+AR114</f>
        <v>0.0</v>
      </c>
      <c r="AS115" s="55">
        <f>AS102+AS103+AS104+AS105+AS106+AS107+AS108+AS109+AS110+AS111+AS112+AS113+AS114</f>
        <v>0.0</v>
      </c>
      <c r="AT115" s="55">
        <f>AT102+AT103+AT104+AT105+AT106+AT107+AT108+AT109+AT110+AT111+AT112+AT113+AT114</f>
        <v>0.0</v>
      </c>
      <c r="AU115" s="55">
        <f>AU102+AU103+AU104+AU105+AU106+AU107+AU108+AU109+AU110+AU111+AU112+AU113+AU114</f>
        <v>0.0</v>
      </c>
      <c r="AV115" s="55">
        <f>AV102+AV103+AV104+AV105+AV106+AV107+AV108+AV109+AV110+AV111+AV112+AV113+AV114</f>
        <v>0.0</v>
      </c>
      <c r="AW115" s="55">
        <f>AW102+AW103+AW104+AW105+AW106+AW107+AW108+AW109+AW110+AW111+AW112+AW113+AW114</f>
        <v>0.0</v>
      </c>
      <c r="AX115" s="55">
        <f>AX102+AX103+AX104+AX105+AX106+AX107+AX108+AX109+AX110+AX111+AX112+AX113+AX114</f>
        <v>0.0</v>
      </c>
      <c r="AY115" s="55">
        <f>AY102+AY103+AY104+AY105+AY106+AY107+AY108+AY109+AY110+AY111+AY112+AY113+AY114</f>
        <v>0.0</v>
      </c>
      <c r="AZ115" s="55">
        <f>AZ102+AZ103+AZ104+AZ105+AZ106+AZ107+AZ108+AZ109+AZ110+AZ111+AZ112+AZ113+AZ114</f>
        <v>0.0</v>
      </c>
      <c r="BA115" s="55">
        <f>BA102+BA103+BA104+BA105+BA106+BA107+BA108+BA109+BA110+BA111+BA112+BA113+BA114</f>
        <v>0.0</v>
      </c>
      <c r="BB115" s="55">
        <f>BB102+BB103+BB104+BB105+BB106+BB107+BB108+BB109+BB110+BB111+BB112+BB113+BB114</f>
        <v>0.0</v>
      </c>
      <c r="BC115" s="55">
        <f>BC102+BC103+BC104+BC105+BC106+BC107+BC108+BC109+BC110+BC111+BC112+BC113+BC114</f>
        <v>0.0</v>
      </c>
      <c r="BD115" s="55">
        <f>BD102+BD103+BD104+BD105+BD106+BD107+BD108+BD109+BD110+BD111+BD112+BD113+BD114</f>
        <v>0.0</v>
      </c>
      <c r="BE115" s="55">
        <f>BE102+BE103+BE104+BE105+BE106+BE107+BE108+BE109+BE110+BE111+BE112+BE113+BE114</f>
        <v>0.0</v>
      </c>
      <c r="BF115" s="55">
        <f>BF102+BF103+BF104+BF105+BF106+BF107+BF108+BF109+BF110+BF111+BF112+BF113+BF114</f>
        <v>0.0</v>
      </c>
      <c r="BG115" s="55">
        <f>BG102+BG103+BG104+BG105+BG106+BG107+BG108+BG109+BG110+BG111+BG112+BG113+BG114</f>
        <v>0.0</v>
      </c>
      <c r="BH115" s="55">
        <f>BH102+BH103+BH104+BH105+BH106+BH107+BH108+BH109+BH110+BH111+BH112+BH113+BH114</f>
        <v>0.0</v>
      </c>
      <c r="BI115" s="55">
        <f>BI102+BI103+BI104+BI105+BI106+BI107+BI108+BI109+BI110+BI111+BI112+BI113+BI114</f>
        <v>0.0</v>
      </c>
      <c r="BJ115" s="55">
        <f>BJ102+BJ103+BJ104+BJ105+BJ106+BJ107+BJ108+BJ109+BJ110+BJ111+BJ112+BJ113+BJ114</f>
        <v>0.0</v>
      </c>
      <c r="BK115" s="55">
        <f>BK102+BK103+BK104+BK105+BK106+BK107+BK108+BK109+BK110+BK111+BK112+BK113+BK114</f>
        <v>0.0</v>
      </c>
      <c r="BL115" s="55">
        <f>BL102+BL103+BL104+BL105+BL106+BL107+BL108+BL109+BL110+BL111+BL112+BL113+BL114</f>
        <v>0.0</v>
      </c>
      <c r="BM115" s="55">
        <f>BM102+BM103+BM104+BM105+BM106+BM107+BM108+BM109+BM110+BM111+BM112+BM113+BM114</f>
        <v>0.0</v>
      </c>
      <c r="BN115" s="55">
        <f>BN102+BN103+BN104+BN105+BN106+BN107+BN108+BN109+BN110+BN111+BN112+BN113+BN114</f>
        <v>0.0</v>
      </c>
      <c r="BO115" s="55">
        <f>BO102+BO103+BO104+BO105+BO106+BO107+BO108+BO109+BO110+BO111+BO112+BO113+BO114</f>
        <v>0.0</v>
      </c>
      <c r="BP115" s="55">
        <f>BP102+BP103+BP104+BP105+BP106+BP107+BP108+BP109+BP110+BP111+BP112+BP113+BP114</f>
        <v>0.0</v>
      </c>
      <c r="BQ115" s="55">
        <f>BQ102+BQ103+BQ104+BQ105+BQ106+BQ107+BQ108+BQ109+BQ110+BQ111+BQ112+BQ113+BQ114</f>
        <v>0.0</v>
      </c>
      <c r="BR115" s="55">
        <f>BR102+BR103+BR104+BR105+BR106+BR107+BR108+BR109+BR110+BR111+BR112+BR113+BR114</f>
        <v>0.0</v>
      </c>
      <c r="BS115" s="55">
        <f>BS102+BS103+BS104+BS105+BS106+BS107+BS108+BS109+BS110+BS111+BS112+BS113+BS114</f>
        <v>0.0</v>
      </c>
      <c r="BT115" s="55">
        <f>BT102+BT103+BT104+BT105+BT106+BT107+BT108+BT109+BT110+BT111+BT112+BT113+BT114</f>
        <v>0.0</v>
      </c>
      <c r="BU115" s="55">
        <f>BU102+BU103+BU104+BU105+BU106+BU107+BU108+BU109+BU110+BU111+BU112+BU113+BU114</f>
        <v>0.0</v>
      </c>
      <c r="BV115" s="55">
        <f>BV102+BV103+BV104+BV105+BV106+BV107+BV108+BV109+BV110+BV111+BV112+BV113+BV114</f>
        <v>0.0</v>
      </c>
      <c r="BW115" s="55">
        <f>BW102+BW103+BW104+BW105+BW106+BW107+BW108+BW109+BW110+BW111+BW112+BW113+BW114</f>
        <v>26641.77</v>
      </c>
      <c r="BX115" s="55">
        <f>BX102+BX103+BX104+BX105+BX106+BX107+BX108+BX109+BX110+BX111+BX112+BX113+BX114</f>
        <v>26641.77</v>
      </c>
      <c r="BY115" s="55">
        <f>BY102+BY103+BY104+BY105+BY106+BY107+BY108+BY109+BY110+BY111+BY112+BY113+BY114</f>
        <v>26381.33</v>
      </c>
      <c r="BZ115" s="55">
        <f>BZ102+BZ103+BZ104+BZ105+BZ106+BZ107+BZ108+BZ109+BZ110+BZ111+BZ112+BZ113+BZ114</f>
        <v>26381.33</v>
      </c>
      <c r="CA115" s="55">
        <f>CA102+CA103+CA104+CA105+CA106+CA107+CA108+CA109+CA110+CA111+CA112+CA113+CA114</f>
        <v>25589.06</v>
      </c>
      <c r="CB115" s="55">
        <f>CB102+CB103+CB104+CB105+CB106+CB107+CB108+CB109+CB110+CB111+CB112+CB113+CB114</f>
        <v>25110.65</v>
      </c>
      <c r="CC115" s="55">
        <f>CC102+CC103+CC104+CC105+CC106+CC107+CC108+CC109+CC110+CC111+CC112+CC113+CC114</f>
        <v>24610.65</v>
      </c>
      <c r="CD115" s="55">
        <f>CD102+CD103+CD104+CD105+CD106+CD107+CD108+CD109+CD110+CD111+CD112+CD113+CD114</f>
        <v>24110.65</v>
      </c>
      <c r="CE115" s="55">
        <f>CE102+CE103+CE104+CE105+CE106+CE107+CE108+CE109+CE110+CE111+CE112+CE113+CE114</f>
        <v>23610.65</v>
      </c>
      <c r="CF115" s="55">
        <f>CF102+CF103+CF104+CF105+CF106+CF107+CF108+CF109+CF110+CF111+CF112+CF113+CF114</f>
        <v>23110.65</v>
      </c>
      <c r="CG115" s="55">
        <f>CG102+CG103+CG104+CG105+CG106+CG107+CG108+CG109+CG110+CG111+CG112+CG113+CG114</f>
        <v>22610.65</v>
      </c>
      <c r="CH115" s="55">
        <f>CH102+CH103+CH104+CH105+CH106+CH107+CH108+CH109+CH110+CH111+CH112+CH113+CH114</f>
        <v>22110.65</v>
      </c>
      <c r="CI115" s="55">
        <f>CI102+CI103+CI104+CI105+CI106+CI107+CI108+CI109+CI110+CI111+CI112+CI113+CI114</f>
        <v>21610.65</v>
      </c>
      <c r="CJ115" s="55">
        <f>CJ102+CJ103+CJ104+CJ105+CJ106+CJ107+CJ108+CJ109+CJ110+CJ111+CJ112+CJ113+CJ114</f>
        <v>47410.65</v>
      </c>
      <c r="CK115" s="55">
        <f>CK102+CK103+CK104+CK105+CK106+CK107+CK108+CK109+CK110+CK111+CK112+CK113+CK114</f>
        <v>46910.65</v>
      </c>
      <c r="CL115" s="55">
        <f>CL102+CL103+CL104+CL105+CL106+CL107+CL108+CL109+CL110+CL111+CL112+CL113+CL114</f>
        <v>46410.65</v>
      </c>
      <c r="CM115" s="55">
        <f>CM102+CM103+CM104+CM105+CM106+CM107+CM108+CM109+CM110+CM111+CM112+CM113+CM114</f>
        <v>45910.65</v>
      </c>
      <c r="CN115" s="55">
        <f>CN102+CN103+CN104+CN105+CN106+CN107+CN108+CN109+CN110+CN111+CN112+CN113+CN114</f>
        <v>145410.65</v>
      </c>
      <c r="CO115" s="55">
        <f>CO102+CO103+CO104+CO105+CO106+CO107+CO108+CO109+CO110+CO111+CO112+CO113+CO114</f>
        <v>136115.19</v>
      </c>
      <c r="CP115" s="55">
        <f>CP102+CP103+CP104+CP105+CP106+CP107+CP108+CP109+CP110+CP111+CP112+CP113+CP114</f>
        <v>126819.73000000001</v>
      </c>
      <c r="CQ115" s="55">
        <f>CQ102+CQ103+CQ104+CQ105+CQ106+CQ107+CQ108+CQ109+CQ110+CQ111+CQ112+CQ113+CQ114</f>
        <v>117524.27000000002</v>
      </c>
      <c r="CR115" s="55">
        <f>CR102+CR103+CR104+CR105+CR106+CR107+CR108+CR109+CR110+CR111+CR112+CR113+CR114</f>
        <v>108228.81000000003</v>
      </c>
      <c r="CS115" s="55">
        <f>CS102+CS103+CS104+CS105+CS106+CS107+CS108+CS109+CS110+CS111+CS112+CS113+CS114</f>
        <v>105749.99000000003</v>
      </c>
      <c r="CT115" s="55">
        <f>CT102+CT103+CT104+CT105+CT106+CT107+CT108+CT109+CT110+CT111+CT112+CT113+CT114</f>
        <v>122752.33000000003</v>
      </c>
      <c r="CU115" s="55">
        <f>CU102+CU103+CU104+CU105+CU106+CU107+CU108+CU109+CU110+CU111+CU112+CU113+CU114</f>
        <v>116959.63000000003</v>
      </c>
      <c r="CV115" s="55">
        <f>CV102+CV103+CV104+CV105+CV106+CV107+CV108+CV109+CV110+CV111+CV112+CV113+CV114</f>
        <v>93731.04000000002</v>
      </c>
      <c r="CW115" s="55">
        <f>CW102+CW103+CW104+CW105+CW106+CW107+CW108+CW109+CW110+CW111+CW112+CW113+CW114</f>
        <v>79002.73000000003</v>
      </c>
      <c r="CX115" s="55">
        <f>CX102+CX103+CX104+CX105+CX106+CX107+CX108+CX109+CX110+CX111+CX112+CX113+CX114</f>
        <v>63442.260000000024</v>
      </c>
      <c r="CY115" s="55">
        <f>CY102+CY103+CY104+CY105+CY106+CY107+CY108+CY109+CY110+CY111+CY112+CY113+CY114</f>
        <v>214442.87000000005</v>
      </c>
      <c r="CZ115" s="55">
        <f>CZ102+CZ103+CZ104+CZ105+CZ106+CZ107+CZ108+CZ109+CZ110+CZ111+CZ112+CZ113+CZ114</f>
        <v>203192.35000000003</v>
      </c>
      <c r="DA115" s="55">
        <f>DA102+DA103+DA104+DA105+DA106+DA107+DA108+DA109+DA110+DA111+DA112+DA113+DA114</f>
        <v>190774.24</v>
      </c>
      <c r="DB115" s="55">
        <f>DB102+DB103+DB104+DB105+DB106+DB107+DB108+DB109+DB110+DB111+DB112+DB113+DB114</f>
        <v>179567.7</v>
      </c>
      <c r="DC115" s="55">
        <f>DC102+DC103+DC104+DC105+DC106+DC107+DC108+DC109+DC110+DC111+DC112+DC113+DC114</f>
        <v>170654.67000000004</v>
      </c>
      <c r="DD115" s="55">
        <f>DD102+DD103+DD104+DD105+DD106+DD107+DD108+DD109+DD110+DD111+DD112+DD113+DD114</f>
        <v>161676.81000000003</v>
      </c>
      <c r="DE115" s="55">
        <f>DE102+DE103+DE104+DE105+DE106+DE107+DE108+DE109+DE110+DE111+DE112+DE113+DE114</f>
        <v>152599.61000000004</v>
      </c>
      <c r="DF115" s="55">
        <f>DF102+DF103+DF104+DF105+DF106+DF107+DF108+DF109+DF110+DF111+DF112+DF113+DF114</f>
        <v>143453.92000000004</v>
      </c>
      <c r="DG115" s="55">
        <f>DG102+DG103+DG104+DG105+DG106+DG107+DG108+DG109+DG110+DG111+DG112+DG113+DG114</f>
        <v>160317.65</v>
      </c>
      <c r="DH115" s="55">
        <f>DH102+DH103+DH104+DH105+DH106+DH107+DH108+DH109+DH110+DH111+DH112+DH113+DH114</f>
        <v>199400.19000000006</v>
      </c>
      <c r="DI115" s="55">
        <f>DI102+DI103+DI104+DI105+DI106+DI107+DI108+DI109+DI110+DI111+DI112+DI113+DI114</f>
        <v>190194.78000000003</v>
      </c>
      <c r="DJ115" s="55">
        <f>DJ102+DJ103+DJ104+DJ105+DJ106+DJ107+DJ108+DJ109+DJ110+DJ111+DJ112+DJ113+DJ114</f>
        <v>180571.73000000007</v>
      </c>
      <c r="DK115" s="55">
        <f>DK102+DK103+DK104+DK105+DK106+DK107+DK108+DK109+DK110+DK111+DK112+DK113+DK114</f>
        <v>220772.78000000003</v>
      </c>
      <c r="DL115" s="55">
        <f>DL102+DL103+DL104+DL105+DL106+DL107+DL108+DL109+DL110+DL111+DL112+DL113+DL114</f>
        <v>221109.57000000004</v>
      </c>
      <c r="DM115" s="55">
        <f>DM102+DM103+DM104+DM105+DM106+DM107+DM108+DM109+DM110+DM111+DM112+DM113+DM114</f>
        <v>202275.99000000005</v>
      </c>
      <c r="DN115" s="55">
        <f>DN102+DN103+DN104+DN105+DN106+DN107+DN108+DN109+DN110+DN111+DN112+DN113+DN114</f>
        <v>182187.38000000006</v>
      </c>
      <c r="DO115" s="55">
        <f>DO102+DO103+DO104+DO105+DO106+DO107+DO108+DO109+DO110+DO111+DO112+DO113+DO114</f>
        <v>163249.89000000004</v>
      </c>
      <c r="DP115" s="55">
        <f>DP102+DP103+DP104+DP105+DP106+DP107+DP108+DP109+DP110+DP111+DP112+DP113+DP114</f>
        <v>147361.69000000003</v>
      </c>
      <c r="DQ115" s="55">
        <f>DQ102+DQ103+DQ104+DQ105+DQ106+DQ107+DQ108+DQ109+DQ110+DQ111+DQ112+DQ113+DQ114</f>
        <v>222026.28000000003</v>
      </c>
      <c r="DR115" s="55">
        <f>DR102+DR103+DR104+DR105+DR106+DR107+DR108+DR109+DR110+DR111+DR112+DR113+DR114</f>
        <v>216244.94000000003</v>
      </c>
      <c r="DS115" s="55">
        <f>DS102+DS103+DS104+DS105+DS106+DS107+DS108+DS109+DS110+DS111+DS112+DS113+DS114</f>
        <v>201336.85000000003</v>
      </c>
      <c r="DT115" s="55">
        <f>DT102+DT103+DT104+DT105+DT106+DT107+DT108+DT109+DT110+DT111+DT112+DT113+DT114</f>
        <v>190526.17</v>
      </c>
      <c r="DU115" s="55">
        <f>DU102+DU103+DU104+DU105+DU106+DU107+DU108+DU109+DU110+DU111+DU112+DU113+DU114</f>
        <v>181978.47000000003</v>
      </c>
      <c r="DV115" s="55">
        <f>DV102+DV103+DV104+DV105+DV106+DV107+DV108+DV109+DV110+DV111+DV112+DV113+DV114</f>
        <v>172434.51000000004</v>
      </c>
      <c r="DW115" s="55">
        <f>DW102+DW103+DW104+DW105+DW106+DW107+DW108+DW109+DW110+DW111+DW112+DW113+DW114</f>
        <v>160989.42</v>
      </c>
      <c r="DX115" s="55">
        <f>DX102+DX103+DX104+DX105+DX106+DX107+DX108+DX109+DX110+DX111+DX112+DX113+DX114</f>
        <v>162248.21000000002</v>
      </c>
      <c r="DY115" s="55">
        <f>DY102+DY103+DY104+DY105+DY106+DY107+DY108+DY109+DY110+DY111+DY112+DY113+DY114</f>
        <v>148415.39000000004</v>
      </c>
      <c r="DZ115" s="55">
        <f>DZ102+DZ103+DZ104+DZ105+DZ106+DZ107+DZ108+DZ109+DZ110+DZ111+DZ112+DZ113+DZ114</f>
        <v>143114.48000000007</v>
      </c>
      <c r="EA115" s="55">
        <f>EA102+EA103+EA104+EA105+EA106+EA107+EA108+EA109+EA110+EA111+EA112+EA113+EA114</f>
        <v>138069.98</v>
      </c>
      <c r="EB115" s="55">
        <f>EB102+EB103+EB104+EB105+EB106+EB107+EB108+EB109+EB110+EB111+EB112+EB113+EB114</f>
        <v>139458.23000000004</v>
      </c>
      <c r="EC115" s="55">
        <f>EC102+EC103+EC104+EC105+EC106+EC107+EC108+EC109+EC110+EC111+EC112+EC113+EC114</f>
        <v>162930.87000000002</v>
      </c>
      <c r="ED115" s="55">
        <f>ED102+ED103+ED104+ED105+ED106+ED107+ED108+ED109+ED110+ED111+ED112+ED113+ED114</f>
        <v>372155.43000000005</v>
      </c>
      <c r="EE115" s="55">
        <f>EE102+EE103+EE104+EE105+EE106+EE107+EE108+EE109+EE110+EE111+EE112+EE113+EE114</f>
        <v>366602.65</v>
      </c>
      <c r="EF115" s="55">
        <f>EF102+EF103+EF104+EF105+EF106+EF107+EF108+EF109+EF110+EF111+EF112+EF113+EF114</f>
        <v>366817.68000000005</v>
      </c>
      <c r="EG115" s="55">
        <f>EG102+EG103+EG104+EG105+EG106+EG107+EG108+EG109+EG110+EG111+EG112+EG113+EG114</f>
        <v>367002.92000000004</v>
      </c>
      <c r="EH115" s="55">
        <f>EH102+EH103+EH104+EH105+EH106+EH107+EH108+EH109+EH110+EH111+EH112+EH113+EH114</f>
        <v>355708.9600000001</v>
      </c>
      <c r="EI115" s="55">
        <f>EI102+EI103+EI104+EI105+EI106+EI107+EI108+EI109+EI110+EI111+EI112+EI113+EI114</f>
        <v>358843.73000000004</v>
      </c>
      <c r="EJ115" s="55">
        <f>EJ102+EJ103+EJ104+EJ105+EJ106+EJ107+EJ108+EJ109+EJ110+EJ111+EJ112+EJ113+EJ114</f>
        <v>450907.23000000004</v>
      </c>
      <c r="EK115" s="55">
        <f>EK102+EK103+EK104+EK105+EK106+EK107+EK108+EK109+EK110+EK111+EK112+EK113+EK114</f>
        <v>446650.9700000001</v>
      </c>
      <c r="EL115" s="55">
        <f>EL102+EL103+EL104+EL105+EL106+EL107+EL108+EL109+EL110+EL111+EL112+EL113+EL114</f>
        <v>446255.2800000001</v>
      </c>
      <c r="EM115" s="55">
        <f>EM102+EM103+EM104+EM105+EM106+EM107+EM108+EM109+EM110+EM111+EM112+EM113+EM114</f>
        <v>445632.00000000006</v>
      </c>
      <c r="EN115" s="55">
        <f>EN102+EN103+EN104+EN105+EN106+EN107+EN108+EN109+EN110+EN111+EN112+EN113+EN114</f>
        <v>445708.2200000001</v>
      </c>
      <c r="EO115" s="55">
        <f>EO102+EO103+EO104+EO105+EO106+EO107+EO108+EO109+EO110+EO111+EO112+EO113+EO114</f>
        <v>453197.38000000006</v>
      </c>
      <c r="EP115" s="55">
        <f>EP102+EP103+EP104+EP105+EP106+EP107+EP108+EP109+EP110+EP111+EP112+EP113+EP114</f>
        <v>452445.0200000001</v>
      </c>
      <c r="EQ115" s="55">
        <f>EQ102+EQ103+EQ104+EQ105+EQ106+EQ107+EQ108+EQ109+EQ110+EQ111+EQ112+EQ113+EQ114</f>
        <v>452445.0200000001</v>
      </c>
      <c r="ER115" s="55">
        <f>ER102+ER103+ER104+ER105+ER106+ER107+ER108+ER109+ER110+ER111+ER112+ER113+ER114</f>
        <v>452445.0200000001</v>
      </c>
    </row>
    <row r="116" spans="1:148" ht="16">
      <c r="A116" s="48" t="s">
        <v>113</v>
      </c>
      <c r="B116" s="55">
        <f>B58+B101+B115</f>
        <v>8473.67</v>
      </c>
      <c r="C116" s="55">
        <f>C58+C101+C115</f>
        <v>7608.370000000001</v>
      </c>
      <c r="D116" s="55">
        <f>D58+D101+D115</f>
        <v>4795.76</v>
      </c>
      <c r="E116" s="55">
        <f>E58+E101+E115</f>
        <v>4611.56</v>
      </c>
      <c r="F116" s="55">
        <f>F58+F101+F115</f>
        <v>7231.6900000000005</v>
      </c>
      <c r="G116" s="55">
        <f>G58+G101+G115</f>
        <v>8590.54</v>
      </c>
      <c r="H116" s="55">
        <f>H58+H101+H115</f>
        <v>10659.77</v>
      </c>
      <c r="I116" s="55">
        <f>I58+I101+I115</f>
        <v>8728.73</v>
      </c>
      <c r="J116" s="55">
        <f>J58+J101+J115</f>
        <v>10002.87</v>
      </c>
      <c r="K116" s="55">
        <f>K58+K101+K115</f>
        <v>9668.18</v>
      </c>
      <c r="L116" s="55">
        <f>L58+L101+L115</f>
        <v>9650.28</v>
      </c>
      <c r="M116" s="55">
        <f>M58+M101+M115</f>
        <v>9111.82</v>
      </c>
      <c r="N116" s="55">
        <f>N58+N101+N115</f>
        <v>10211.03</v>
      </c>
      <c r="O116" s="55">
        <f>O58+O101+O115</f>
        <v>5357.81</v>
      </c>
      <c r="P116" s="55">
        <f>P58+P101+P115</f>
        <v>9295.84</v>
      </c>
      <c r="Q116" s="55">
        <f>Q58+Q101+Q115</f>
        <v>9340.54</v>
      </c>
      <c r="R116" s="55">
        <f>R58+R101+R115</f>
        <v>9446.310000000001</v>
      </c>
      <c r="S116" s="55">
        <f>S58+S101+S115</f>
        <v>9179.92</v>
      </c>
      <c r="T116" s="55">
        <f>T58+T101+T115</f>
        <v>9016.2</v>
      </c>
      <c r="U116" s="55">
        <f>U58+U101+U115</f>
        <v>8846.34</v>
      </c>
      <c r="V116" s="55">
        <f>V58+V101+V115</f>
        <v>8670.5</v>
      </c>
      <c r="W116" s="55">
        <f>W58+W101+W115</f>
        <v>9416.85</v>
      </c>
      <c r="X116" s="55">
        <f>X58+X101+X115</f>
        <v>8308.53</v>
      </c>
      <c r="Y116" s="55">
        <f>Y58+Y101+Y115</f>
        <v>8121.77</v>
      </c>
      <c r="Z116" s="55">
        <f>Z58+Z101+Z115</f>
        <v>10908.07</v>
      </c>
      <c r="AA116" s="55">
        <f>AA58+AA101+AA115</f>
        <v>6983.67</v>
      </c>
      <c r="AB116" s="55">
        <f>AB58+AB101+AB115</f>
        <v>11160.09</v>
      </c>
      <c r="AC116" s="55">
        <f>AC58+AC101+AC115</f>
        <v>5325.97</v>
      </c>
      <c r="AD116" s="55">
        <f>AD58+AD101+AD115</f>
        <v>1364.2500000000007</v>
      </c>
      <c r="AE116" s="55">
        <f>AE58+AE101+AE115</f>
        <v>1851.5800000000006</v>
      </c>
      <c r="AF116" s="55">
        <f>AF58+AF101+AF115</f>
        <v>3650.63</v>
      </c>
      <c r="AG116" s="55">
        <f>AG58+AG101+AG115</f>
        <v>4252.85</v>
      </c>
      <c r="AH116" s="55">
        <f>AH58+AH101+AH115</f>
        <v>6712.82</v>
      </c>
      <c r="AI116" s="55">
        <f>AI58+AI101+AI115</f>
        <v>9735.27</v>
      </c>
      <c r="AJ116" s="55">
        <f>AJ58+AJ101+AJ115</f>
        <v>21977.49</v>
      </c>
      <c r="AK116" s="55">
        <f>AK58+AK101+AK115</f>
        <v>13517.850000000002</v>
      </c>
      <c r="AL116" s="55">
        <f>AL58+AL101+AL115</f>
        <v>12120.440000000002</v>
      </c>
      <c r="AM116" s="55">
        <f>AM58+AM101+AM115</f>
        <v>15988.080000000002</v>
      </c>
      <c r="AN116" s="55">
        <f>AN58+AN101+AN115</f>
        <v>26969.920000000002</v>
      </c>
      <c r="AO116" s="55">
        <f>AO58+AO101+AO115</f>
        <v>27018.97</v>
      </c>
      <c r="AP116" s="55">
        <f>AP58+AP101+AP115</f>
        <v>35705.520000000004</v>
      </c>
      <c r="AQ116" s="55">
        <f>AQ58+AQ101+AQ115</f>
        <v>33650.31</v>
      </c>
      <c r="AR116" s="55">
        <f>AR58+AR101+AR115</f>
        <v>19689.600000000002</v>
      </c>
      <c r="AS116" s="55">
        <f>AS58+AS101+AS115</f>
        <v>17456.750000000004</v>
      </c>
      <c r="AT116" s="55">
        <f>AT58+AT101+AT115</f>
        <v>10528.400000000001</v>
      </c>
      <c r="AU116" s="55">
        <f>AU58+AU101+AU115</f>
        <v>32628.050000000003</v>
      </c>
      <c r="AV116" s="55">
        <f>AV58+AV101+AV115</f>
        <v>32963.71</v>
      </c>
      <c r="AW116" s="55">
        <f>AW58+AW101+AW115</f>
        <v>17889.84</v>
      </c>
      <c r="AX116" s="55">
        <f>AX58+AX101+AX115</f>
        <v>30409.84</v>
      </c>
      <c r="AY116" s="55">
        <f>AY58+AY101+AY115</f>
        <v>27362.22</v>
      </c>
      <c r="AZ116" s="55">
        <f>AZ58+AZ101+AZ115</f>
        <v>27053.440000000002</v>
      </c>
      <c r="BA116" s="55">
        <f>BA58+BA101+BA115</f>
        <v>43557.409999999996</v>
      </c>
      <c r="BB116" s="55">
        <f>BB58+BB101+BB115</f>
        <v>53324.920000000006</v>
      </c>
      <c r="BC116" s="55">
        <f>BC58+BC101+BC115</f>
        <v>42529.22</v>
      </c>
      <c r="BD116" s="55">
        <f>BD58+BD101+BD115</f>
        <v>33490.92</v>
      </c>
      <c r="BE116" s="55">
        <f>BE58+BE101+BE115</f>
        <v>50521.42999999999</v>
      </c>
      <c r="BF116" s="55">
        <f>BF58+BF101+BF115</f>
        <v>55751.990000000005</v>
      </c>
      <c r="BG116" s="55">
        <f>BG58+BG101+BG115</f>
        <v>48521.770000000004</v>
      </c>
      <c r="BH116" s="55">
        <f>BH58+BH101+BH115</f>
        <v>36952.75</v>
      </c>
      <c r="BI116" s="55">
        <f>BI58+BI101+BI115</f>
        <v>20058.000000000004</v>
      </c>
      <c r="BJ116" s="55">
        <f>BJ58+BJ101+BJ115</f>
        <v>42826.94</v>
      </c>
      <c r="BK116" s="55">
        <f>BK58+BK101+BK115</f>
        <v>60000.39</v>
      </c>
      <c r="BL116" s="55">
        <f>BL58+BL101+BL115</f>
        <v>71268.61000000002</v>
      </c>
      <c r="BM116" s="55">
        <f>BM58+BM101+BM115</f>
        <v>77610.61</v>
      </c>
      <c r="BN116" s="55">
        <f>BN58+BN101+BN115</f>
        <v>56876.79000000001</v>
      </c>
      <c r="BO116" s="55">
        <f>BO58+BO101+BO115</f>
        <v>38225.600000000006</v>
      </c>
      <c r="BP116" s="55">
        <f>BP58+BP101+BP115</f>
        <v>48337.04000000001</v>
      </c>
      <c r="BQ116" s="55">
        <f>BQ58+BQ101+BQ115</f>
        <v>74969.19</v>
      </c>
      <c r="BR116" s="55">
        <f>BR58+BR101+BR115</f>
        <v>72049.04</v>
      </c>
      <c r="BS116" s="55">
        <f>BS58+BS101+BS115</f>
        <v>44775.47</v>
      </c>
      <c r="BT116" s="55">
        <f>BT58+BT101+BT115</f>
        <v>32646.45</v>
      </c>
      <c r="BU116" s="55">
        <f>BU58+BU101+BU115</f>
        <v>15356.509999999998</v>
      </c>
      <c r="BV116" s="55">
        <f>BV58+BV101+BV115</f>
        <v>12989.819999999998</v>
      </c>
      <c r="BW116" s="55">
        <f>BW58+BW101+BW115</f>
        <v>59195.46000000001</v>
      </c>
      <c r="BX116" s="55">
        <f>BX58+BX101+BX115</f>
        <v>65981.03</v>
      </c>
      <c r="BY116" s="55">
        <f>BY58+BY101+BY115</f>
        <v>32442.83</v>
      </c>
      <c r="BZ116" s="55">
        <f>BZ58+BZ101+BZ115</f>
        <v>52803.920000000006</v>
      </c>
      <c r="CA116" s="55">
        <f>CA58+CA101+CA115</f>
        <v>60321.729999999996</v>
      </c>
      <c r="CB116" s="55">
        <f>CB58+CB101+CB115</f>
        <v>60285.5</v>
      </c>
      <c r="CC116" s="55">
        <f>CC58+CC101+CC115</f>
        <v>34534.850000000006</v>
      </c>
      <c r="CD116" s="55">
        <f>CD58+CD101+CD115</f>
        <v>39104.87</v>
      </c>
      <c r="CE116" s="55">
        <f>CE58+CE101+CE115</f>
        <v>59673.29</v>
      </c>
      <c r="CF116" s="55">
        <f>CF58+CF101+CF115</f>
        <v>46354.82</v>
      </c>
      <c r="CG116" s="55">
        <f>CG58+CG101+CG115</f>
        <v>45727.72</v>
      </c>
      <c r="CH116" s="55">
        <f>CH58+CH101+CH115</f>
        <v>58302.91000000001</v>
      </c>
      <c r="CI116" s="55">
        <f>CI58+CI101+CI115</f>
        <v>63088.799999999996</v>
      </c>
      <c r="CJ116" s="55">
        <f>CJ58+CJ101+CJ115</f>
        <v>79950.81</v>
      </c>
      <c r="CK116" s="55">
        <f>CK58+CK101+CK115</f>
        <v>94726.62</v>
      </c>
      <c r="CL116" s="55">
        <f>CL58+CL101+CL115</f>
        <v>89946.63</v>
      </c>
      <c r="CM116" s="55">
        <f>CM58+CM101+CM115</f>
        <v>77582.86</v>
      </c>
      <c r="CN116" s="55">
        <f>CN58+CN101+CN115</f>
        <v>171534.71</v>
      </c>
      <c r="CO116" s="55">
        <f>CO58+CO101+CO115</f>
        <v>182117.18</v>
      </c>
      <c r="CP116" s="55">
        <f>CP58+CP101+CP115</f>
        <v>217655.45</v>
      </c>
      <c r="CQ116" s="55">
        <f>CQ58+CQ101+CQ115</f>
        <v>230154.33000000002</v>
      </c>
      <c r="CR116" s="55">
        <f>CR58+CR101+CR115</f>
        <v>386715.26</v>
      </c>
      <c r="CS116" s="55">
        <f>CS58+CS101+CS115</f>
        <v>378041.55000000005</v>
      </c>
      <c r="CT116" s="55">
        <f>CT58+CT101+CT115</f>
        <v>333510.94000000006</v>
      </c>
      <c r="CU116" s="55">
        <f>CU58+CU101+CU115</f>
        <v>401271.41000000003</v>
      </c>
      <c r="CV116" s="55">
        <f>CV58+CV101+CV115</f>
        <v>302178.12</v>
      </c>
      <c r="CW116" s="55">
        <f>CW58+CW101+CW115</f>
        <v>282856.22</v>
      </c>
      <c r="CX116" s="55">
        <f>CX58+CX101+CX115</f>
        <v>279973.79000000004</v>
      </c>
      <c r="CY116" s="55">
        <f>CY58+CY101+CY115</f>
        <v>300962.45000000007</v>
      </c>
      <c r="CZ116" s="55">
        <f>CZ58+CZ101+CZ115</f>
        <v>286274.48000000004</v>
      </c>
      <c r="DA116" s="55">
        <f>DA58+DA101+DA115</f>
        <v>254011.83</v>
      </c>
      <c r="DB116" s="55">
        <f>DB58+DB101+DB115</f>
        <v>395219.80000000005</v>
      </c>
      <c r="DC116" s="55">
        <f>DC58+DC101+DC115</f>
        <v>534951.49</v>
      </c>
      <c r="DD116" s="55">
        <f>DD58+DD101+DD115</f>
        <v>551148.7000000001</v>
      </c>
      <c r="DE116" s="55">
        <f>DE58+DE101+DE115</f>
        <v>502261.14999999997</v>
      </c>
      <c r="DF116" s="55">
        <f>DF58+DF101+DF115</f>
        <v>506208.29</v>
      </c>
      <c r="DG116" s="55">
        <f>DG58+DG101+DG115</f>
        <v>539161.85</v>
      </c>
      <c r="DH116" s="55">
        <f>DH58+DH101+DH115</f>
        <v>631391.25</v>
      </c>
      <c r="DI116" s="55">
        <f>DI58+DI101+DI115</f>
        <v>640702.47</v>
      </c>
      <c r="DJ116" s="55">
        <f>DJ58+DJ101+DJ115</f>
        <v>554883.65</v>
      </c>
      <c r="DK116" s="55">
        <f>DK58+DK101+DK115</f>
        <v>647696.4199999999</v>
      </c>
      <c r="DL116" s="55">
        <f>DL58+DL101+DL115</f>
        <v>720704.11</v>
      </c>
      <c r="DM116" s="55">
        <f>DM58+DM101+DM115</f>
        <v>720257.48</v>
      </c>
      <c r="DN116" s="55">
        <f>DN58+DN101+DN115</f>
        <v>677643.8500000001</v>
      </c>
      <c r="DO116" s="55">
        <f>DO58+DO101+DO115</f>
        <v>707895.2200000001</v>
      </c>
      <c r="DP116" s="55">
        <f>DP58+DP101+DP115</f>
        <v>720345.41</v>
      </c>
      <c r="DQ116" s="55">
        <f>DQ58+DQ101+DQ115</f>
        <v>869363.37</v>
      </c>
      <c r="DR116" s="55">
        <f>DR58+DR101+DR115</f>
        <v>639718.4</v>
      </c>
      <c r="DS116" s="55">
        <f>DS58+DS101+DS115</f>
        <v>632135.2</v>
      </c>
      <c r="DT116" s="55">
        <f>DT58+DT101+DT115</f>
        <v>640080.6799999999</v>
      </c>
      <c r="DU116" s="55">
        <f>DU58+DU101+DU115</f>
        <v>657977.5700000001</v>
      </c>
      <c r="DV116" s="55">
        <f>DV58+DV101+DV115</f>
        <v>655600.0499999999</v>
      </c>
      <c r="DW116" s="55">
        <f>DW58+DW101+DW115</f>
        <v>652157.4299999999</v>
      </c>
      <c r="DX116" s="55">
        <f>DX58+DX101+DX115</f>
        <v>660797.4199999999</v>
      </c>
      <c r="DY116" s="55">
        <f>DY58+DY101+DY115</f>
        <v>650613.65</v>
      </c>
      <c r="DZ116" s="55">
        <f>DZ58+DZ101+DZ115</f>
        <v>673360.1900000001</v>
      </c>
      <c r="EA116" s="55">
        <f>EA58+EA101+EA115</f>
        <v>726634.8699999999</v>
      </c>
      <c r="EB116" s="55">
        <f>EB58+EB101+EB115</f>
        <v>680815.74</v>
      </c>
      <c r="EC116" s="55">
        <f>EC58+EC101+EC115</f>
        <v>699124.84</v>
      </c>
      <c r="ED116" s="55">
        <f>ED58+ED101+ED115</f>
        <v>804572.6000000001</v>
      </c>
      <c r="EE116" s="55">
        <f>EE58+EE101+EE115</f>
        <v>783485.88</v>
      </c>
      <c r="EF116" s="55">
        <f>EF58+EF101+EF115</f>
        <v>760623.1000000001</v>
      </c>
      <c r="EG116" s="55">
        <f>EG58+EG101+EG115</f>
        <v>755163.98</v>
      </c>
      <c r="EH116" s="55">
        <f>EH58+EH101+EH115</f>
        <v>734716.6400000001</v>
      </c>
      <c r="EI116" s="55">
        <f>EI58+EI101+EI115</f>
        <v>697477.45</v>
      </c>
      <c r="EJ116" s="55">
        <f>EJ58+EJ101+EJ115</f>
        <v>745765.49</v>
      </c>
      <c r="EK116" s="55">
        <f>EK58+EK101+EK115</f>
        <v>743689.5900000001</v>
      </c>
      <c r="EL116" s="55">
        <f>EL58+EL101+EL115</f>
        <v>741686.4600000001</v>
      </c>
      <c r="EM116" s="55">
        <f>EM58+EM101+EM115</f>
        <v>743333.18</v>
      </c>
      <c r="EN116" s="55">
        <f>EN58+EN101+EN115</f>
        <v>742861.01</v>
      </c>
      <c r="EO116" s="55">
        <f>EO58+EO101+EO115</f>
        <v>805511.5700000001</v>
      </c>
      <c r="EP116" s="55">
        <f>EP58+EP101+EP115</f>
        <v>794834.8600000001</v>
      </c>
      <c r="EQ116" s="55">
        <f>EQ58+EQ101+EQ115</f>
        <v>794834.8600000001</v>
      </c>
      <c r="ER116" s="55">
        <f>ER58+ER101+ER115</f>
        <v>794834.8600000001</v>
      </c>
    </row>
    <row r="117" spans="1:148" ht="16">
      <c r="A117" s="40" t="s">
        <v>114</v>
      </c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  <c r="EN117" s="53"/>
      <c r="EO117" s="53"/>
      <c r="EP117" s="53"/>
      <c r="EQ117" s="53"/>
      <c r="ER117" s="53"/>
    </row>
    <row r="118" spans="1:148" ht="16">
      <c r="A118" s="41" t="s">
        <v>115</v>
      </c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4">
        <v>0</v>
      </c>
      <c r="P118" s="54">
        <v>4.29</v>
      </c>
      <c r="Q118" s="54">
        <v>4.29</v>
      </c>
      <c r="R118" s="54">
        <v>4.29</v>
      </c>
      <c r="S118" s="54">
        <v>4.29</v>
      </c>
      <c r="T118" s="54">
        <v>4.29</v>
      </c>
      <c r="U118" s="54">
        <v>4.29</v>
      </c>
      <c r="V118" s="54">
        <v>4.29</v>
      </c>
      <c r="W118" s="54">
        <v>4.29</v>
      </c>
      <c r="X118" s="54">
        <v>4.29</v>
      </c>
      <c r="Y118" s="54">
        <v>4.29</v>
      </c>
      <c r="Z118" s="54">
        <v>4.29</v>
      </c>
      <c r="AA118" s="54">
        <v>4.29</v>
      </c>
      <c r="AB118" s="54">
        <v>4.29</v>
      </c>
      <c r="AC118" s="54">
        <v>4.29</v>
      </c>
      <c r="AD118" s="54">
        <v>4.29</v>
      </c>
      <c r="AE118" s="54">
        <v>4.29</v>
      </c>
      <c r="AF118" s="54">
        <v>4.29</v>
      </c>
      <c r="AG118" s="54">
        <v>4.29</v>
      </c>
      <c r="AH118" s="54">
        <v>4.29</v>
      </c>
      <c r="AI118" s="54">
        <v>4.29</v>
      </c>
      <c r="AJ118" s="54">
        <v>-3204.17</v>
      </c>
      <c r="AK118" s="54">
        <v>-3204.17</v>
      </c>
      <c r="AL118" s="54">
        <v>-3204.17</v>
      </c>
      <c r="AM118" s="54">
        <v>-3204.17</v>
      </c>
      <c r="AN118" s="54">
        <v>-3204.17</v>
      </c>
      <c r="AO118" s="54">
        <v>-3204.17</v>
      </c>
      <c r="AP118" s="54">
        <v>-3204.17</v>
      </c>
      <c r="AQ118" s="54">
        <v>-3204.17</v>
      </c>
      <c r="AR118" s="54">
        <v>-3204.17</v>
      </c>
      <c r="AS118" s="54">
        <v>-3204.17</v>
      </c>
      <c r="AT118" s="54">
        <v>-3204.17</v>
      </c>
      <c r="AU118" s="54">
        <v>-3204.17</v>
      </c>
      <c r="AV118" s="54">
        <v>-3204.17</v>
      </c>
      <c r="AW118" s="54">
        <v>-3204.17</v>
      </c>
      <c r="AX118" s="54">
        <v>-3204.17</v>
      </c>
      <c r="AY118" s="54">
        <v>-3204.17</v>
      </c>
      <c r="AZ118" s="54">
        <v>-3204.17</v>
      </c>
      <c r="BA118" s="54">
        <v>-3204.17</v>
      </c>
      <c r="BB118" s="54">
        <v>-3204.17</v>
      </c>
      <c r="BC118" s="54">
        <v>-3204.17</v>
      </c>
      <c r="BD118" s="54">
        <v>-3204.17</v>
      </c>
      <c r="BE118" s="54">
        <v>-3204.17</v>
      </c>
      <c r="BF118" s="54">
        <v>-3204.17</v>
      </c>
      <c r="BG118" s="54">
        <v>-3204.17</v>
      </c>
      <c r="BH118" s="54">
        <v>-3204.17</v>
      </c>
      <c r="BI118" s="54">
        <v>-3204.17</v>
      </c>
      <c r="BJ118" s="54">
        <v>-3204.17</v>
      </c>
      <c r="BK118" s="54">
        <v>-3204.17</v>
      </c>
      <c r="BL118" s="54">
        <v>-3204.17</v>
      </c>
      <c r="BM118" s="54">
        <v>-3204.17</v>
      </c>
      <c r="BN118" s="54">
        <v>-3204.17</v>
      </c>
      <c r="BO118" s="54">
        <v>-3204.17</v>
      </c>
      <c r="BP118" s="54">
        <v>-3204.17</v>
      </c>
      <c r="BQ118" s="54">
        <v>-3204.17</v>
      </c>
      <c r="BR118" s="54">
        <v>-3204.17</v>
      </c>
      <c r="BS118" s="54">
        <v>-3204.17</v>
      </c>
      <c r="BT118" s="54">
        <v>-3204.17</v>
      </c>
      <c r="BU118" s="54">
        <v>-3204.17</v>
      </c>
      <c r="BV118" s="54">
        <v>-3077.4300000000003</v>
      </c>
      <c r="BW118" s="54">
        <v>-3077.4300000000003</v>
      </c>
      <c r="BX118" s="54">
        <v>-3077.4300000000003</v>
      </c>
      <c r="BY118" s="54">
        <v>-3077.4300000000003</v>
      </c>
      <c r="BZ118" s="54">
        <v>-3077.4300000000003</v>
      </c>
      <c r="CA118" s="54">
        <v>-3077.4300000000003</v>
      </c>
      <c r="CB118" s="54">
        <v>-3077.4300000000003</v>
      </c>
      <c r="CC118" s="54">
        <v>-3077.4300000000003</v>
      </c>
      <c r="CD118" s="54">
        <v>42213.08</v>
      </c>
      <c r="CE118" s="54">
        <v>42213.08</v>
      </c>
      <c r="CF118" s="54">
        <v>42213.08</v>
      </c>
      <c r="CG118" s="54">
        <v>-3204.159999999996</v>
      </c>
      <c r="CH118" s="54">
        <v>3.637978807091713E-12</v>
      </c>
      <c r="CI118" s="54">
        <v>3.637978807091713E-12</v>
      </c>
      <c r="CJ118" s="54">
        <v>3.637978807091713E-12</v>
      </c>
      <c r="CK118" s="54">
        <v>3.637978807091713E-12</v>
      </c>
      <c r="CL118" s="54">
        <v>3.637978807091713E-12</v>
      </c>
      <c r="CM118" s="54">
        <v>3.637978807091713E-12</v>
      </c>
      <c r="CN118" s="54">
        <v>3.637978807091713E-12</v>
      </c>
      <c r="CO118" s="54">
        <v>3.637978807091713E-12</v>
      </c>
      <c r="CP118" s="54">
        <v>3.637978807091713E-12</v>
      </c>
      <c r="CQ118" s="54">
        <v>3.637978807091713E-12</v>
      </c>
      <c r="CR118" s="54">
        <v>3.637978807091713E-12</v>
      </c>
      <c r="CS118" s="54">
        <v>3.637978807091713E-12</v>
      </c>
      <c r="CT118" s="54">
        <v>-126.73999999999636</v>
      </c>
      <c r="CU118" s="54">
        <v>-126.73999999999636</v>
      </c>
      <c r="CV118" s="54">
        <v>-126.73999999999636</v>
      </c>
      <c r="CW118" s="54">
        <v>-126.73999999999636</v>
      </c>
      <c r="CX118" s="54">
        <v>-126.73999999999636</v>
      </c>
      <c r="CY118" s="54">
        <v>-126.73999999999636</v>
      </c>
      <c r="CZ118" s="54">
        <v>-126.73999999999636</v>
      </c>
      <c r="DA118" s="54">
        <v>-126.73999999999636</v>
      </c>
      <c r="DB118" s="54">
        <v>-126.73999999999636</v>
      </c>
      <c r="DC118" s="54">
        <v>-126.73999999999636</v>
      </c>
      <c r="DD118" s="54">
        <v>-126.73999999999636</v>
      </c>
      <c r="DE118" s="54">
        <v>3.637978807091713E-12</v>
      </c>
      <c r="DF118" s="54">
        <v>19.040000000003637</v>
      </c>
      <c r="DG118" s="54">
        <v>19.040000000003637</v>
      </c>
      <c r="DH118" s="54">
        <v>19.040000000003637</v>
      </c>
      <c r="DI118" s="54">
        <v>19.040000000003637</v>
      </c>
      <c r="DJ118" s="54">
        <v>19.040000000003637</v>
      </c>
      <c r="DK118" s="54">
        <v>19.040000000003637</v>
      </c>
      <c r="DL118" s="54">
        <v>626.0400000000036</v>
      </c>
      <c r="DM118" s="54">
        <v>626.0400000000036</v>
      </c>
      <c r="DN118" s="54">
        <v>626.0400000000036</v>
      </c>
      <c r="DO118" s="54">
        <v>626.0400000000036</v>
      </c>
      <c r="DP118" s="54">
        <v>626.0400000000036</v>
      </c>
      <c r="DQ118" s="54">
        <v>3.637978807091713E-12</v>
      </c>
      <c r="DR118" s="54">
        <v>3.637978807091713E-12</v>
      </c>
      <c r="DS118" s="54">
        <v>3.637978807091713E-12</v>
      </c>
      <c r="DT118" s="54">
        <v>3.637978807091713E-12</v>
      </c>
      <c r="DU118" s="54">
        <v>3.637978807091713E-12</v>
      </c>
      <c r="DV118" s="54">
        <v>3.637978807091713E-12</v>
      </c>
      <c r="DW118" s="54">
        <v>3.637978807091713E-12</v>
      </c>
      <c r="DX118" s="54">
        <v>3.637978807091713E-12</v>
      </c>
      <c r="DY118" s="54">
        <v>3.637978807091713E-12</v>
      </c>
      <c r="DZ118" s="54">
        <v>3.637978807091713E-12</v>
      </c>
      <c r="EA118" s="54">
        <v>3.637978807091713E-12</v>
      </c>
      <c r="EB118" s="54">
        <v>3.637978807091713E-12</v>
      </c>
      <c r="EC118" s="54">
        <v>3.637978807091713E-12</v>
      </c>
      <c r="ED118" s="54">
        <v>3.637978807091713E-12</v>
      </c>
      <c r="EE118" s="54">
        <v>3.637978807091713E-12</v>
      </c>
      <c r="EF118" s="54">
        <v>3.637978807091713E-12</v>
      </c>
      <c r="EG118" s="54">
        <v>3.637978807091713E-12</v>
      </c>
      <c r="EH118" s="54">
        <v>3.637978807091713E-12</v>
      </c>
      <c r="EI118" s="54">
        <v>3.637978807091713E-12</v>
      </c>
      <c r="EJ118" s="54">
        <v>3.637978807091713E-12</v>
      </c>
      <c r="EK118" s="54">
        <v>3.637978807091713E-12</v>
      </c>
      <c r="EL118" s="54">
        <v>3.637978807091713E-12</v>
      </c>
      <c r="EM118" s="54">
        <v>3.637978807091713E-12</v>
      </c>
      <c r="EN118" s="54">
        <v>3.637978807091713E-12</v>
      </c>
      <c r="EO118" s="54">
        <v>3.637978807091713E-12</v>
      </c>
      <c r="EP118" s="54">
        <v>3.637978807091713E-12</v>
      </c>
      <c r="EQ118" s="54">
        <v>3.637978807091713E-12</v>
      </c>
      <c r="ER118" s="54">
        <v>3.637978807091713E-12</v>
      </c>
    </row>
    <row r="119" spans="1:148" ht="16">
      <c r="A119" s="41" t="s">
        <v>116</v>
      </c>
      <c r="B119" s="54">
        <v>-275.0</v>
      </c>
      <c r="C119" s="54">
        <v>-1275.0</v>
      </c>
      <c r="D119" s="54">
        <v>-1275.0</v>
      </c>
      <c r="E119" s="54">
        <v>-1275.0</v>
      </c>
      <c r="F119" s="54">
        <v>-1345.0</v>
      </c>
      <c r="G119" s="54">
        <v>-1645.0</v>
      </c>
      <c r="H119" s="54">
        <v>-2425.0</v>
      </c>
      <c r="I119" s="54">
        <v>-2425.0</v>
      </c>
      <c r="J119" s="54">
        <v>-2425.0</v>
      </c>
      <c r="K119" s="54">
        <v>-2403.0</v>
      </c>
      <c r="L119" s="54">
        <v>-2813.0</v>
      </c>
      <c r="M119" s="54">
        <v>-3233.0</v>
      </c>
      <c r="N119" s="54">
        <v>-3638.0</v>
      </c>
      <c r="O119" s="54">
        <v>-4344.0</v>
      </c>
      <c r="P119" s="54">
        <v>-4535.6</v>
      </c>
      <c r="Q119" s="54">
        <v>-4960.6</v>
      </c>
      <c r="R119" s="54">
        <v>-4537.6</v>
      </c>
      <c r="S119" s="54">
        <v>-3935.6000000000004</v>
      </c>
      <c r="T119" s="54">
        <v>-4585.6</v>
      </c>
      <c r="U119" s="54">
        <v>-5684.6</v>
      </c>
      <c r="V119" s="54">
        <v>-6227.950000000001</v>
      </c>
      <c r="W119" s="54">
        <v>-7127.950000000001</v>
      </c>
      <c r="X119" s="54">
        <v>-8433.95</v>
      </c>
      <c r="Y119" s="54">
        <v>-10096.95</v>
      </c>
      <c r="Z119" s="54">
        <v>-11371.95</v>
      </c>
      <c r="AA119" s="54">
        <v>-13271.95</v>
      </c>
      <c r="AB119" s="54">
        <v>-20721.95</v>
      </c>
      <c r="AC119" s="54">
        <v>-22621.95</v>
      </c>
      <c r="AD119" s="54">
        <v>-24617.350000000002</v>
      </c>
      <c r="AE119" s="54">
        <v>-26457.350000000002</v>
      </c>
      <c r="AF119" s="54">
        <v>-28758.340000000004</v>
      </c>
      <c r="AG119" s="54">
        <v>-31159.33</v>
      </c>
      <c r="AH119" s="54">
        <v>-35214.33</v>
      </c>
      <c r="AI119" s="54">
        <v>-36514.33</v>
      </c>
      <c r="AJ119" s="54">
        <v>-38814.33</v>
      </c>
      <c r="AK119" s="54">
        <v>-42467.33</v>
      </c>
      <c r="AL119" s="54">
        <v>-44867.33</v>
      </c>
      <c r="AM119" s="54">
        <v>-47267.33</v>
      </c>
      <c r="AN119" s="54">
        <v>-49737.33</v>
      </c>
      <c r="AO119" s="54">
        <v>-51537.33</v>
      </c>
      <c r="AP119" s="54">
        <v>-52737.33</v>
      </c>
      <c r="AQ119" s="54">
        <v>-56037.33</v>
      </c>
      <c r="AR119" s="54">
        <v>-59087.33</v>
      </c>
      <c r="AS119" s="54">
        <v>-61273.33</v>
      </c>
      <c r="AT119" s="54">
        <v>-63373.33</v>
      </c>
      <c r="AU119" s="54">
        <v>-66793.33</v>
      </c>
      <c r="AV119" s="54">
        <v>-69193.33</v>
      </c>
      <c r="AW119" s="54">
        <v>-72724.28</v>
      </c>
      <c r="AX119" s="54">
        <v>-74357.31</v>
      </c>
      <c r="AY119" s="54">
        <v>-77157.31</v>
      </c>
      <c r="AZ119" s="54">
        <v>-82138.18</v>
      </c>
      <c r="BA119" s="54">
        <v>-83538.18</v>
      </c>
      <c r="BB119" s="54">
        <v>-86338.18</v>
      </c>
      <c r="BC119" s="54">
        <v>-90538.18</v>
      </c>
      <c r="BD119" s="54">
        <v>-92088.18</v>
      </c>
      <c r="BE119" s="54">
        <v>-96588.18</v>
      </c>
      <c r="BF119" s="54">
        <v>-98088.18</v>
      </c>
      <c r="BG119" s="54">
        <v>-101088.18</v>
      </c>
      <c r="BH119" s="54">
        <v>-106388.18</v>
      </c>
      <c r="BI119" s="54">
        <v>-110638.18</v>
      </c>
      <c r="BJ119" s="54">
        <v>-114138.18</v>
      </c>
      <c r="BK119" s="54">
        <v>-115888.18</v>
      </c>
      <c r="BL119" s="54">
        <v>-119388.18</v>
      </c>
      <c r="BM119" s="54">
        <v>-122888.18</v>
      </c>
      <c r="BN119" s="54">
        <v>-128138.18</v>
      </c>
      <c r="BO119" s="54">
        <v>-129888.18</v>
      </c>
      <c r="BP119" s="54">
        <v>-133388.18</v>
      </c>
      <c r="BQ119" s="54">
        <v>-141196.28</v>
      </c>
      <c r="BR119" s="54">
        <v>-145146.28</v>
      </c>
      <c r="BS119" s="54">
        <v>-159147.28</v>
      </c>
      <c r="BT119" s="54">
        <v>-164397.28</v>
      </c>
      <c r="BU119" s="54">
        <v>-163954.95</v>
      </c>
      <c r="BV119" s="54">
        <v>-170038.28</v>
      </c>
      <c r="BW119" s="54">
        <v>-173538.28</v>
      </c>
      <c r="BX119" s="54">
        <v>-177038.28</v>
      </c>
      <c r="BY119" s="54">
        <v>-182279.32</v>
      </c>
      <c r="BZ119" s="54">
        <v>-190069.9</v>
      </c>
      <c r="CA119" s="54">
        <v>-197369.9</v>
      </c>
      <c r="CB119" s="54">
        <v>-204479.9</v>
      </c>
      <c r="CC119" s="54">
        <v>-212597.9</v>
      </c>
      <c r="CD119" s="54">
        <v>-229749.41</v>
      </c>
      <c r="CE119" s="54">
        <v>-229819.30000000002</v>
      </c>
      <c r="CF119" s="54">
        <v>-229819.30000000002</v>
      </c>
      <c r="CG119" s="54">
        <v>-177367.15000000002</v>
      </c>
      <c r="CH119" s="54">
        <v>-2.9103830456733704E-11</v>
      </c>
      <c r="CI119" s="54">
        <v>-96.5200000000291</v>
      </c>
      <c r="CJ119" s="54">
        <v>-96.5200000000291</v>
      </c>
      <c r="CK119" s="54">
        <v>-96.5200000000291</v>
      </c>
      <c r="CL119" s="54">
        <v>-96.5200000000291</v>
      </c>
      <c r="CM119" s="54">
        <v>-96.5200000000291</v>
      </c>
      <c r="CN119" s="54">
        <v>-96.5200000000291</v>
      </c>
      <c r="CO119" s="54">
        <v>-96.5200000000291</v>
      </c>
      <c r="CP119" s="54">
        <v>-96.5200000000291</v>
      </c>
      <c r="CQ119" s="54">
        <v>-96.5200000000291</v>
      </c>
      <c r="CR119" s="54">
        <v>-96.5200000000291</v>
      </c>
      <c r="CS119" s="54">
        <v>-7221.5200000000295</v>
      </c>
      <c r="CT119" s="54">
        <v>-2.9103830456733704E-11</v>
      </c>
      <c r="CU119" s="54">
        <v>-4526.540000000029</v>
      </c>
      <c r="CV119" s="54">
        <v>-7308.420000000029</v>
      </c>
      <c r="CW119" s="54">
        <v>-15287.18000000003</v>
      </c>
      <c r="CX119" s="54">
        <v>-17151.54000000003</v>
      </c>
      <c r="CY119" s="54">
        <v>-19474.66000000003</v>
      </c>
      <c r="CZ119" s="54">
        <v>-19474.66000000003</v>
      </c>
      <c r="DA119" s="54">
        <v>-19494.66000000003</v>
      </c>
      <c r="DB119" s="54">
        <v>-19517.030000000028</v>
      </c>
      <c r="DC119" s="54">
        <v>-22451.32000000003</v>
      </c>
      <c r="DD119" s="54">
        <v>-22451.32000000003</v>
      </c>
      <c r="DE119" s="54">
        <v>-2.9103830456733704E-11</v>
      </c>
      <c r="DF119" s="54">
        <v>-2.9103830456733704E-11</v>
      </c>
      <c r="DG119" s="54">
        <v>-4726.000000000029</v>
      </c>
      <c r="DH119" s="54">
        <v>-12055.240000000029</v>
      </c>
      <c r="DI119" s="54">
        <v>-13909.70000000003</v>
      </c>
      <c r="DJ119" s="54">
        <v>-25409.70000000003</v>
      </c>
      <c r="DK119" s="54">
        <v>-30009.70000000003</v>
      </c>
      <c r="DL119" s="54">
        <v>-25108.86000000003</v>
      </c>
      <c r="DM119" s="54">
        <v>-30100.50000000003</v>
      </c>
      <c r="DN119" s="54">
        <v>-32750.34000000003</v>
      </c>
      <c r="DO119" s="54">
        <v>-32900.340000000026</v>
      </c>
      <c r="DP119" s="54">
        <v>-29640.840000000026</v>
      </c>
      <c r="DQ119" s="54">
        <v>-2.546585164964199E-11</v>
      </c>
      <c r="DR119" s="54">
        <v>-2.546585164964199E-11</v>
      </c>
      <c r="DS119" s="54">
        <v>-2.546585164964199E-11</v>
      </c>
      <c r="DT119" s="54">
        <v>-908.8700000000255</v>
      </c>
      <c r="DU119" s="54">
        <v>-908.8700000000255</v>
      </c>
      <c r="DV119" s="54">
        <v>-1495.4300000000253</v>
      </c>
      <c r="DW119" s="54">
        <v>-1546.3200000000254</v>
      </c>
      <c r="DX119" s="54">
        <v>-1546.3200000000254</v>
      </c>
      <c r="DY119" s="54">
        <v>-1546.3200000000254</v>
      </c>
      <c r="DZ119" s="54">
        <v>-1546.3200000000254</v>
      </c>
      <c r="EA119" s="54">
        <v>-1546.3200000000254</v>
      </c>
      <c r="EB119" s="54">
        <v>-1546.3200000000254</v>
      </c>
      <c r="EC119" s="54">
        <v>-2.546585164964199E-11</v>
      </c>
      <c r="ED119" s="54">
        <v>-330.8000000000255</v>
      </c>
      <c r="EE119" s="54">
        <v>-2830.8000000000256</v>
      </c>
      <c r="EF119" s="54">
        <v>-5330.800000000026</v>
      </c>
      <c r="EG119" s="54">
        <v>-5330.800000000026</v>
      </c>
      <c r="EH119" s="54">
        <v>-5330.800000000026</v>
      </c>
      <c r="EI119" s="54">
        <v>-5330.800000000026</v>
      </c>
      <c r="EJ119" s="54">
        <v>-5330.800000000026</v>
      </c>
      <c r="EK119" s="54">
        <v>-5330.800000000026</v>
      </c>
      <c r="EL119" s="54">
        <v>-5330.800000000026</v>
      </c>
      <c r="EM119" s="54">
        <v>-5330.800000000026</v>
      </c>
      <c r="EN119" s="54">
        <v>-5330.800000000026</v>
      </c>
      <c r="EO119" s="54">
        <v>-5330.800000000026</v>
      </c>
      <c r="EP119" s="54">
        <v>-5330.800000000026</v>
      </c>
      <c r="EQ119" s="54">
        <v>-5330.800000000026</v>
      </c>
      <c r="ER119" s="54">
        <v>-5330.800000000026</v>
      </c>
    </row>
    <row r="120" spans="1:148" ht="16">
      <c r="A120" s="41" t="s">
        <v>117</v>
      </c>
      <c r="B120" s="54">
        <v>-193.33</v>
      </c>
      <c r="C120" s="54">
        <v>-1193.33</v>
      </c>
      <c r="D120" s="54">
        <v>-1696.33</v>
      </c>
      <c r="E120" s="54">
        <v>-1839.33</v>
      </c>
      <c r="F120" s="54">
        <v>-2302.5099999999998</v>
      </c>
      <c r="G120" s="54">
        <v>-2302.5099999999998</v>
      </c>
      <c r="H120" s="54">
        <v>-2623.5099999999998</v>
      </c>
      <c r="I120" s="54">
        <v>-2607.81</v>
      </c>
      <c r="J120" s="54">
        <v>-3790.0699999999997</v>
      </c>
      <c r="K120" s="54">
        <v>-4029.3199999999997</v>
      </c>
      <c r="L120" s="54">
        <v>-5457.19</v>
      </c>
      <c r="M120" s="54">
        <v>-7207.209999999999</v>
      </c>
      <c r="N120" s="54">
        <v>-7869.389999999999</v>
      </c>
      <c r="O120" s="54">
        <v>-8850.56</v>
      </c>
      <c r="P120" s="54">
        <v>-9788.76</v>
      </c>
      <c r="Q120" s="54">
        <v>-10366.5</v>
      </c>
      <c r="R120" s="54">
        <v>-10730.5</v>
      </c>
      <c r="S120" s="54">
        <v>-12380.5</v>
      </c>
      <c r="T120" s="54">
        <v>-14285.5</v>
      </c>
      <c r="U120" s="54">
        <v>-15448.5</v>
      </c>
      <c r="V120" s="54">
        <v>-16576.08</v>
      </c>
      <c r="W120" s="54">
        <v>-17715.08</v>
      </c>
      <c r="X120" s="54">
        <v>-18995.08</v>
      </c>
      <c r="Y120" s="54">
        <v>-20654.18</v>
      </c>
      <c r="Z120" s="54">
        <v>-22204.18</v>
      </c>
      <c r="AA120" s="54">
        <v>-24104.18</v>
      </c>
      <c r="AB120" s="54">
        <v>-25201.98</v>
      </c>
      <c r="AC120" s="54">
        <v>-28151.98</v>
      </c>
      <c r="AD120" s="54">
        <v>-29197.44</v>
      </c>
      <c r="AE120" s="54">
        <v>-35697.44</v>
      </c>
      <c r="AF120" s="54">
        <v>-39197.44</v>
      </c>
      <c r="AG120" s="54">
        <v>-40428.79</v>
      </c>
      <c r="AH120" s="54">
        <v>-42828.79</v>
      </c>
      <c r="AI120" s="54">
        <v>-45195.79</v>
      </c>
      <c r="AJ120" s="54">
        <v>-46195.79</v>
      </c>
      <c r="AK120" s="54">
        <v>-49995.79</v>
      </c>
      <c r="AL120" s="54">
        <v>-49791.23</v>
      </c>
      <c r="AM120" s="54">
        <v>-52141.23</v>
      </c>
      <c r="AN120" s="54">
        <v>-55752.670000000006</v>
      </c>
      <c r="AO120" s="54">
        <v>-56952.670000000006</v>
      </c>
      <c r="AP120" s="54">
        <v>-58877.670000000006</v>
      </c>
      <c r="AQ120" s="54">
        <v>-62477.670000000006</v>
      </c>
      <c r="AR120" s="54">
        <v>-63677.97000000001</v>
      </c>
      <c r="AS120" s="54">
        <v>-67377.97</v>
      </c>
      <c r="AT120" s="54">
        <v>-68477.97</v>
      </c>
      <c r="AU120" s="54">
        <v>-71002.97</v>
      </c>
      <c r="AV120" s="54">
        <v>-74477.97</v>
      </c>
      <c r="AW120" s="54">
        <v>-78077.97</v>
      </c>
      <c r="AX120" s="54">
        <v>-79477.97</v>
      </c>
      <c r="AY120" s="54">
        <v>-83677.97</v>
      </c>
      <c r="AZ120" s="54">
        <v>-86477.97</v>
      </c>
      <c r="BA120" s="54">
        <v>-87877.97</v>
      </c>
      <c r="BB120" s="54">
        <v>-90677.97</v>
      </c>
      <c r="BC120" s="54">
        <v>-94877.97</v>
      </c>
      <c r="BD120" s="54">
        <v>-96377.97</v>
      </c>
      <c r="BE120" s="54">
        <v>-100877.97</v>
      </c>
      <c r="BF120" s="54">
        <v>-102577.97</v>
      </c>
      <c r="BG120" s="54">
        <v>-105377.97</v>
      </c>
      <c r="BH120" s="54">
        <v>-109877.97</v>
      </c>
      <c r="BI120" s="54">
        <v>-114127.97</v>
      </c>
      <c r="BJ120" s="54">
        <v>-117648.44</v>
      </c>
      <c r="BK120" s="54">
        <v>-119398.44</v>
      </c>
      <c r="BL120" s="54">
        <v>-122898.44</v>
      </c>
      <c r="BM120" s="54">
        <v>-126398.44</v>
      </c>
      <c r="BN120" s="54">
        <v>-131648.44</v>
      </c>
      <c r="BO120" s="54">
        <v>-133398.44</v>
      </c>
      <c r="BP120" s="54">
        <v>-136072.89</v>
      </c>
      <c r="BQ120" s="54">
        <v>-141322.89</v>
      </c>
      <c r="BR120" s="54">
        <v>-143072.89</v>
      </c>
      <c r="BS120" s="54">
        <v>-156057.89</v>
      </c>
      <c r="BT120" s="54">
        <v>-161307.89</v>
      </c>
      <c r="BU120" s="54">
        <v>-165733.44</v>
      </c>
      <c r="BV120" s="54">
        <v>-171816.77</v>
      </c>
      <c r="BW120" s="54">
        <v>-175316.77</v>
      </c>
      <c r="BX120" s="54">
        <v>-178816.77</v>
      </c>
      <c r="BY120" s="54">
        <v>-178816.77</v>
      </c>
      <c r="BZ120" s="54">
        <v>-178816.77</v>
      </c>
      <c r="CA120" s="54">
        <v>-178816.77</v>
      </c>
      <c r="CB120" s="54">
        <v>-178966.77</v>
      </c>
      <c r="CC120" s="54">
        <v>-178966.77</v>
      </c>
      <c r="CD120" s="54">
        <v>-193075.77</v>
      </c>
      <c r="CE120" s="54">
        <v>-193075.77</v>
      </c>
      <c r="CF120" s="54">
        <v>-193075.77</v>
      </c>
      <c r="CG120" s="54">
        <v>-177367.15</v>
      </c>
      <c r="CH120" s="54">
        <v>0</v>
      </c>
      <c r="CI120" s="54">
        <v>0</v>
      </c>
      <c r="CJ120" s="54">
        <v>0</v>
      </c>
      <c r="CK120" s="54">
        <v>394.3</v>
      </c>
      <c r="CL120" s="54">
        <v>-129.36999999999995</v>
      </c>
      <c r="CM120" s="54">
        <v>-578.8699999999999</v>
      </c>
      <c r="CN120" s="54">
        <v>-578.8699999999999</v>
      </c>
      <c r="CO120" s="54">
        <v>-578.8699999999999</v>
      </c>
      <c r="CP120" s="54">
        <v>-578.8699999999999</v>
      </c>
      <c r="CQ120" s="54">
        <v>-578.8699999999999</v>
      </c>
      <c r="CR120" s="54">
        <v>-578.8699999999999</v>
      </c>
      <c r="CS120" s="54">
        <v>-7221.5199999999995</v>
      </c>
      <c r="CT120" s="54">
        <v>9.094947017729282E-13</v>
      </c>
      <c r="CU120" s="54">
        <v>-4586.389999999999</v>
      </c>
      <c r="CV120" s="54">
        <v>-6909.509999999999</v>
      </c>
      <c r="CW120" s="54">
        <v>-13878.869999999999</v>
      </c>
      <c r="CX120" s="54">
        <v>-18525.11</v>
      </c>
      <c r="CY120" s="54">
        <v>-18525.11</v>
      </c>
      <c r="CZ120" s="54">
        <v>-18525.11</v>
      </c>
      <c r="DA120" s="54">
        <v>-18525.11</v>
      </c>
      <c r="DB120" s="54">
        <v>-18525.11</v>
      </c>
      <c r="DC120" s="54">
        <v>-19525.11</v>
      </c>
      <c r="DD120" s="54">
        <v>-20798.56</v>
      </c>
      <c r="DE120" s="54">
        <v>0</v>
      </c>
      <c r="DF120" s="54">
        <v>-2126.0</v>
      </c>
      <c r="DG120" s="54">
        <v>-6388.33</v>
      </c>
      <c r="DH120" s="54">
        <v>-10814.33</v>
      </c>
      <c r="DI120" s="54">
        <v>-15328.39</v>
      </c>
      <c r="DJ120" s="54">
        <v>-19942.73</v>
      </c>
      <c r="DK120" s="54">
        <v>-24542.73</v>
      </c>
      <c r="DL120" s="54">
        <v>-2412.0</v>
      </c>
      <c r="DM120" s="54">
        <v>-3424.0</v>
      </c>
      <c r="DN120" s="54">
        <v>-8735.0</v>
      </c>
      <c r="DO120" s="54">
        <v>-8735.0</v>
      </c>
      <c r="DP120" s="54">
        <v>-8834.0</v>
      </c>
      <c r="DQ120" s="54">
        <v>0</v>
      </c>
      <c r="DR120" s="54">
        <v>-99.0</v>
      </c>
      <c r="DS120" s="54">
        <v>-198.0</v>
      </c>
      <c r="DT120" s="54">
        <v>-297.0</v>
      </c>
      <c r="DU120" s="54">
        <v>-297.0</v>
      </c>
      <c r="DV120" s="54">
        <v>-297.0</v>
      </c>
      <c r="DW120" s="54">
        <v>-297.0</v>
      </c>
      <c r="DX120" s="54">
        <v>-297.0</v>
      </c>
      <c r="DY120" s="54">
        <v>-297.0</v>
      </c>
      <c r="DZ120" s="54">
        <v>-297.0</v>
      </c>
      <c r="EA120" s="54">
        <v>-297.0</v>
      </c>
      <c r="EB120" s="54">
        <v>-297.0</v>
      </c>
      <c r="EC120" s="54">
        <v>0</v>
      </c>
      <c r="ED120" s="54">
        <v>0</v>
      </c>
      <c r="EE120" s="54">
        <v>0</v>
      </c>
      <c r="EF120" s="54">
        <v>0</v>
      </c>
      <c r="EG120" s="54">
        <v>0</v>
      </c>
      <c r="EH120" s="54">
        <v>0</v>
      </c>
      <c r="EI120" s="54">
        <v>0</v>
      </c>
      <c r="EJ120" s="54">
        <v>0</v>
      </c>
      <c r="EK120" s="54">
        <v>0</v>
      </c>
      <c r="EL120" s="54">
        <v>0</v>
      </c>
      <c r="EM120" s="54">
        <v>0</v>
      </c>
      <c r="EN120" s="54">
        <v>0</v>
      </c>
      <c r="EO120" s="54">
        <v>0</v>
      </c>
      <c r="EP120" s="54">
        <v>0</v>
      </c>
      <c r="EQ120" s="54">
        <v>0</v>
      </c>
      <c r="ER120" s="54">
        <v>0</v>
      </c>
    </row>
    <row r="121" spans="1:148" ht="16">
      <c r="A121" s="41" t="s">
        <v>118</v>
      </c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  <c r="BS121" s="53"/>
      <c r="BT121" s="53"/>
      <c r="BU121" s="53"/>
      <c r="BV121" s="53"/>
      <c r="BW121" s="53"/>
      <c r="BX121" s="53"/>
      <c r="BY121" s="53"/>
      <c r="BZ121" s="53"/>
      <c r="CA121" s="53"/>
      <c r="CB121" s="53"/>
      <c r="CC121" s="53"/>
      <c r="CD121" s="53"/>
      <c r="CE121" s="53"/>
      <c r="CF121" s="53"/>
      <c r="CG121" s="53"/>
      <c r="CH121" s="53"/>
      <c r="CI121" s="53"/>
      <c r="CJ121" s="53"/>
      <c r="CK121" s="53"/>
      <c r="CL121" s="53"/>
      <c r="CM121" s="53"/>
      <c r="CN121" s="53"/>
      <c r="CO121" s="53"/>
      <c r="CP121" s="53"/>
      <c r="CQ121" s="53"/>
      <c r="CR121" s="53"/>
      <c r="CS121" s="53"/>
      <c r="CT121" s="53"/>
      <c r="CU121" s="53"/>
      <c r="CV121" s="53"/>
      <c r="CW121" s="53"/>
      <c r="CX121" s="53"/>
      <c r="CY121" s="53"/>
      <c r="CZ121" s="53"/>
      <c r="DA121" s="53"/>
      <c r="DB121" s="53"/>
      <c r="DC121" s="53"/>
      <c r="DD121" s="53"/>
      <c r="DE121" s="53"/>
      <c r="DF121" s="53"/>
      <c r="DG121" s="53"/>
      <c r="DH121" s="53"/>
      <c r="DI121" s="53"/>
      <c r="DJ121" s="53"/>
      <c r="DK121" s="53"/>
      <c r="DL121" s="53"/>
      <c r="DM121" s="53"/>
      <c r="DN121" s="53"/>
      <c r="DO121" s="53"/>
      <c r="DP121" s="53"/>
      <c r="DQ121" s="53"/>
      <c r="DR121" s="54">
        <v>29000.0</v>
      </c>
      <c r="DS121" s="54">
        <v>29000.0</v>
      </c>
      <c r="DT121" s="54">
        <v>29000.0</v>
      </c>
      <c r="DU121" s="54">
        <v>29000.0</v>
      </c>
      <c r="DV121" s="54">
        <v>29000.0</v>
      </c>
      <c r="DW121" s="54">
        <v>29000.0</v>
      </c>
      <c r="DX121" s="54">
        <v>29000.0</v>
      </c>
      <c r="DY121" s="54">
        <v>29000.0</v>
      </c>
      <c r="DZ121" s="54">
        <v>29000.0</v>
      </c>
      <c r="EA121" s="54">
        <v>29000.0</v>
      </c>
      <c r="EB121" s="54">
        <v>29000.0</v>
      </c>
      <c r="EC121" s="54">
        <v>39000.0</v>
      </c>
      <c r="ED121" s="54">
        <v>39000.0</v>
      </c>
      <c r="EE121" s="54">
        <v>39000.0</v>
      </c>
      <c r="EF121" s="54">
        <v>39000.0</v>
      </c>
      <c r="EG121" s="54">
        <v>39000.0</v>
      </c>
      <c r="EH121" s="54">
        <v>39000.0</v>
      </c>
      <c r="EI121" s="54">
        <v>39000.0</v>
      </c>
      <c r="EJ121" s="54">
        <v>39000.0</v>
      </c>
      <c r="EK121" s="54">
        <v>39000.0</v>
      </c>
      <c r="EL121" s="54">
        <v>39000.0</v>
      </c>
      <c r="EM121" s="54">
        <v>39000.0</v>
      </c>
      <c r="EN121" s="54">
        <v>39000.0</v>
      </c>
      <c r="EO121" s="54">
        <v>39000.0</v>
      </c>
      <c r="EP121" s="54">
        <v>39000.0</v>
      </c>
      <c r="EQ121" s="54">
        <v>39000.0</v>
      </c>
      <c r="ER121" s="54">
        <v>39000.0</v>
      </c>
    </row>
    <row r="122" spans="1:148" ht="16">
      <c r="A122" s="41" t="s">
        <v>119</v>
      </c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  <c r="BS122" s="53"/>
      <c r="BT122" s="53"/>
      <c r="BU122" s="53"/>
      <c r="BV122" s="53"/>
      <c r="BW122" s="53"/>
      <c r="BX122" s="53"/>
      <c r="BY122" s="53"/>
      <c r="BZ122" s="53"/>
      <c r="CA122" s="53"/>
      <c r="CB122" s="53"/>
      <c r="CC122" s="53"/>
      <c r="CD122" s="53"/>
      <c r="CE122" s="53"/>
      <c r="CF122" s="53"/>
      <c r="CG122" s="53"/>
      <c r="CH122" s="53"/>
      <c r="CI122" s="53"/>
      <c r="CJ122" s="53"/>
      <c r="CK122" s="53"/>
      <c r="CL122" s="53"/>
      <c r="CM122" s="53"/>
      <c r="CN122" s="53"/>
      <c r="CO122" s="53"/>
      <c r="CP122" s="53"/>
      <c r="CQ122" s="53"/>
      <c r="CR122" s="53"/>
      <c r="CS122" s="53"/>
      <c r="CT122" s="53"/>
      <c r="CU122" s="53"/>
      <c r="CV122" s="53"/>
      <c r="CW122" s="53"/>
      <c r="CX122" s="53"/>
      <c r="CY122" s="53"/>
      <c r="CZ122" s="53"/>
      <c r="DA122" s="53"/>
      <c r="DB122" s="53"/>
      <c r="DC122" s="53"/>
      <c r="DD122" s="53"/>
      <c r="DE122" s="53"/>
      <c r="DF122" s="53"/>
      <c r="DG122" s="53"/>
      <c r="DH122" s="53"/>
      <c r="DI122" s="53"/>
      <c r="DJ122" s="53"/>
      <c r="DK122" s="53"/>
      <c r="DL122" s="53"/>
      <c r="DM122" s="53"/>
      <c r="DN122" s="53"/>
      <c r="DO122" s="53"/>
      <c r="DP122" s="53"/>
      <c r="DQ122" s="53"/>
      <c r="DR122" s="53"/>
      <c r="DS122" s="53"/>
      <c r="DT122" s="53"/>
      <c r="DU122" s="53"/>
      <c r="DV122" s="53"/>
      <c r="DW122" s="53"/>
      <c r="DX122" s="54">
        <v>15010.0</v>
      </c>
      <c r="DY122" s="54">
        <v>15010.0</v>
      </c>
      <c r="DZ122" s="54">
        <v>15010.0</v>
      </c>
      <c r="EA122" s="54">
        <v>15010.0</v>
      </c>
      <c r="EB122" s="54">
        <v>15010.0</v>
      </c>
      <c r="EC122" s="54">
        <v>50010.0</v>
      </c>
      <c r="ED122" s="54">
        <v>50010.0</v>
      </c>
      <c r="EE122" s="54">
        <v>50010.0</v>
      </c>
      <c r="EF122" s="54">
        <v>50010.0</v>
      </c>
      <c r="EG122" s="54">
        <v>50010.0</v>
      </c>
      <c r="EH122" s="54">
        <v>50010.0</v>
      </c>
      <c r="EI122" s="54">
        <v>50010.0</v>
      </c>
      <c r="EJ122" s="54">
        <v>50010.0</v>
      </c>
      <c r="EK122" s="54">
        <v>50010.0</v>
      </c>
      <c r="EL122" s="54">
        <v>50010.0</v>
      </c>
      <c r="EM122" s="54">
        <v>50010.0</v>
      </c>
      <c r="EN122" s="54">
        <v>50010.0</v>
      </c>
      <c r="EO122" s="54">
        <v>50010.0</v>
      </c>
      <c r="EP122" s="54">
        <v>50010.0</v>
      </c>
      <c r="EQ122" s="54">
        <v>50010.0</v>
      </c>
      <c r="ER122" s="54">
        <v>50010.0</v>
      </c>
    </row>
    <row r="123" spans="1:148" ht="16">
      <c r="A123" s="41" t="s">
        <v>120</v>
      </c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  <c r="BV123" s="53"/>
      <c r="BW123" s="53"/>
      <c r="BX123" s="53"/>
      <c r="BY123" s="53"/>
      <c r="BZ123" s="53"/>
      <c r="CA123" s="53"/>
      <c r="CB123" s="53"/>
      <c r="CC123" s="53"/>
      <c r="CD123" s="53"/>
      <c r="CE123" s="53"/>
      <c r="CF123" s="53"/>
      <c r="CG123" s="53"/>
      <c r="CH123" s="53"/>
      <c r="CI123" s="53"/>
      <c r="CJ123" s="53"/>
      <c r="CK123" s="53"/>
      <c r="CL123" s="53"/>
      <c r="CM123" s="53"/>
      <c r="CN123" s="53"/>
      <c r="CO123" s="53"/>
      <c r="CP123" s="53"/>
      <c r="CQ123" s="53"/>
      <c r="CR123" s="53"/>
      <c r="CS123" s="53"/>
      <c r="CT123" s="53"/>
      <c r="CU123" s="53"/>
      <c r="CV123" s="53"/>
      <c r="CW123" s="53"/>
      <c r="CX123" s="53"/>
      <c r="CY123" s="53"/>
      <c r="CZ123" s="53"/>
      <c r="DA123" s="53"/>
      <c r="DB123" s="53"/>
      <c r="DC123" s="53"/>
      <c r="DD123" s="53"/>
      <c r="DE123" s="53"/>
      <c r="DF123" s="54">
        <v>99075.79</v>
      </c>
      <c r="DG123" s="54">
        <v>99075.79</v>
      </c>
      <c r="DH123" s="54">
        <v>99075.79</v>
      </c>
      <c r="DI123" s="54">
        <v>99075.79</v>
      </c>
      <c r="DJ123" s="54">
        <v>99075.79</v>
      </c>
      <c r="DK123" s="54">
        <v>99075.79</v>
      </c>
      <c r="DL123" s="54">
        <v>0</v>
      </c>
      <c r="DM123" s="54">
        <v>0</v>
      </c>
      <c r="DN123" s="54">
        <v>0</v>
      </c>
      <c r="DO123" s="54">
        <v>0</v>
      </c>
      <c r="DP123" s="54">
        <v>0</v>
      </c>
      <c r="DQ123" s="54">
        <v>0</v>
      </c>
      <c r="DR123" s="54">
        <v>0</v>
      </c>
      <c r="DS123" s="54">
        <v>0</v>
      </c>
      <c r="DT123" s="54">
        <v>0</v>
      </c>
      <c r="DU123" s="54">
        <v>0</v>
      </c>
      <c r="DV123" s="54">
        <v>0</v>
      </c>
      <c r="DW123" s="54">
        <v>0</v>
      </c>
      <c r="DX123" s="54">
        <v>0</v>
      </c>
      <c r="DY123" s="54">
        <v>0</v>
      </c>
      <c r="DZ123" s="54">
        <v>0</v>
      </c>
      <c r="EA123" s="54">
        <v>0</v>
      </c>
      <c r="EB123" s="54">
        <v>0</v>
      </c>
      <c r="EC123" s="54">
        <v>0</v>
      </c>
      <c r="ED123" s="54">
        <v>0</v>
      </c>
      <c r="EE123" s="54">
        <v>0</v>
      </c>
      <c r="EF123" s="54">
        <v>0</v>
      </c>
      <c r="EG123" s="54">
        <v>0</v>
      </c>
      <c r="EH123" s="54">
        <v>0</v>
      </c>
      <c r="EI123" s="54">
        <v>0</v>
      </c>
      <c r="EJ123" s="54">
        <v>0</v>
      </c>
      <c r="EK123" s="54">
        <v>0</v>
      </c>
      <c r="EL123" s="54">
        <v>0</v>
      </c>
      <c r="EM123" s="54">
        <v>0</v>
      </c>
      <c r="EN123" s="54">
        <v>0</v>
      </c>
      <c r="EO123" s="54">
        <v>0</v>
      </c>
      <c r="EP123" s="54">
        <v>0</v>
      </c>
      <c r="EQ123" s="54">
        <v>0</v>
      </c>
      <c r="ER123" s="54">
        <v>0</v>
      </c>
    </row>
    <row r="124" spans="1:148" ht="16">
      <c r="A124" s="41" t="s">
        <v>121</v>
      </c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53"/>
      <c r="BS124" s="53"/>
      <c r="BT124" s="53"/>
      <c r="BU124" s="53"/>
      <c r="BV124" s="53"/>
      <c r="BW124" s="53"/>
      <c r="BX124" s="53"/>
      <c r="BY124" s="53"/>
      <c r="BZ124" s="53"/>
      <c r="CA124" s="53"/>
      <c r="CB124" s="53"/>
      <c r="CC124" s="53"/>
      <c r="CD124" s="53"/>
      <c r="CE124" s="53"/>
      <c r="CF124" s="53"/>
      <c r="CG124" s="53"/>
      <c r="CH124" s="53"/>
      <c r="CI124" s="53"/>
      <c r="CJ124" s="53"/>
      <c r="CK124" s="53"/>
      <c r="CL124" s="53"/>
      <c r="CM124" s="53"/>
      <c r="CN124" s="53"/>
      <c r="CO124" s="53"/>
      <c r="CP124" s="53"/>
      <c r="CQ124" s="53"/>
      <c r="CR124" s="53"/>
      <c r="CS124" s="53"/>
      <c r="CT124" s="53"/>
      <c r="CU124" s="53"/>
      <c r="CV124" s="53"/>
      <c r="CW124" s="53"/>
      <c r="CX124" s="53"/>
      <c r="CY124" s="53"/>
      <c r="CZ124" s="53"/>
      <c r="DA124" s="53"/>
      <c r="DB124" s="53"/>
      <c r="DC124" s="53"/>
      <c r="DD124" s="53"/>
      <c r="DE124" s="53"/>
      <c r="DF124" s="53"/>
      <c r="DG124" s="53"/>
      <c r="DH124" s="53"/>
      <c r="DI124" s="53"/>
      <c r="DJ124" s="53"/>
      <c r="DK124" s="53"/>
      <c r="DL124" s="53"/>
      <c r="DM124" s="53"/>
      <c r="DN124" s="53"/>
      <c r="DO124" s="53"/>
      <c r="DP124" s="53"/>
      <c r="DQ124" s="53"/>
      <c r="DR124" s="54">
        <v>100000.0</v>
      </c>
      <c r="DS124" s="54">
        <v>100000.0</v>
      </c>
      <c r="DT124" s="54">
        <v>100000.0</v>
      </c>
      <c r="DU124" s="54">
        <v>100000.0</v>
      </c>
      <c r="DV124" s="54">
        <v>100000.0</v>
      </c>
      <c r="DW124" s="54">
        <v>100000.0</v>
      </c>
      <c r="DX124" s="54">
        <v>100000.0</v>
      </c>
      <c r="DY124" s="54">
        <v>100000.0</v>
      </c>
      <c r="DZ124" s="54">
        <v>100000.0</v>
      </c>
      <c r="EA124" s="54">
        <v>100000.0</v>
      </c>
      <c r="EB124" s="54">
        <v>100000.0</v>
      </c>
      <c r="EC124" s="54">
        <v>100000.0</v>
      </c>
      <c r="ED124" s="54">
        <v>100000.0</v>
      </c>
      <c r="EE124" s="54">
        <v>100000.0</v>
      </c>
      <c r="EF124" s="54">
        <v>100000.0</v>
      </c>
      <c r="EG124" s="54">
        <v>100000.0</v>
      </c>
      <c r="EH124" s="54">
        <v>100000.0</v>
      </c>
      <c r="EI124" s="54">
        <v>100000.0</v>
      </c>
      <c r="EJ124" s="54">
        <v>100000.0</v>
      </c>
      <c r="EK124" s="54">
        <v>100000.0</v>
      </c>
      <c r="EL124" s="54">
        <v>100000.0</v>
      </c>
      <c r="EM124" s="54">
        <v>100000.0</v>
      </c>
      <c r="EN124" s="54">
        <v>100000.0</v>
      </c>
      <c r="EO124" s="54">
        <v>100000.0</v>
      </c>
      <c r="EP124" s="54">
        <v>100000.0</v>
      </c>
      <c r="EQ124" s="54">
        <v>100000.0</v>
      </c>
      <c r="ER124" s="54">
        <v>100000.0</v>
      </c>
    </row>
    <row r="125" spans="1:148" ht="16">
      <c r="A125" s="41" t="s">
        <v>122</v>
      </c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  <c r="BS125" s="53"/>
      <c r="BT125" s="53"/>
      <c r="BU125" s="53"/>
      <c r="BV125" s="53"/>
      <c r="BW125" s="53"/>
      <c r="BX125" s="53"/>
      <c r="BY125" s="53"/>
      <c r="BZ125" s="53"/>
      <c r="CA125" s="53"/>
      <c r="CB125" s="53"/>
      <c r="CC125" s="53"/>
      <c r="CD125" s="53"/>
      <c r="CE125" s="53"/>
      <c r="CF125" s="53"/>
      <c r="CG125" s="53"/>
      <c r="CH125" s="53"/>
      <c r="CI125" s="53"/>
      <c r="CJ125" s="53"/>
      <c r="CK125" s="53"/>
      <c r="CL125" s="53"/>
      <c r="CM125" s="53"/>
      <c r="CN125" s="53"/>
      <c r="CO125" s="53"/>
      <c r="CP125" s="53"/>
      <c r="CQ125" s="53"/>
      <c r="CR125" s="53"/>
      <c r="CS125" s="53"/>
      <c r="CT125" s="53"/>
      <c r="CU125" s="53"/>
      <c r="CV125" s="53"/>
      <c r="CW125" s="53"/>
      <c r="CX125" s="53"/>
      <c r="CY125" s="53"/>
      <c r="CZ125" s="53"/>
      <c r="DA125" s="53"/>
      <c r="DB125" s="53"/>
      <c r="DC125" s="53"/>
      <c r="DD125" s="53"/>
      <c r="DE125" s="53"/>
      <c r="DF125" s="54">
        <v>99075.79</v>
      </c>
      <c r="DG125" s="54">
        <v>99075.79</v>
      </c>
      <c r="DH125" s="54">
        <v>99075.79</v>
      </c>
      <c r="DI125" s="54">
        <v>99075.79</v>
      </c>
      <c r="DJ125" s="54">
        <v>99075.79</v>
      </c>
      <c r="DK125" s="54">
        <v>99075.79</v>
      </c>
      <c r="DL125" s="54">
        <v>198179.16999999998</v>
      </c>
      <c r="DM125" s="54">
        <v>198179.16999999998</v>
      </c>
      <c r="DN125" s="54">
        <v>198179.16999999998</v>
      </c>
      <c r="DO125" s="54">
        <v>198179.16999999998</v>
      </c>
      <c r="DP125" s="54">
        <v>198179.16999999998</v>
      </c>
      <c r="DQ125" s="54">
        <v>198179.16999999998</v>
      </c>
      <c r="DR125" s="54">
        <v>198179.16999999998</v>
      </c>
      <c r="DS125" s="54">
        <v>198179.16999999998</v>
      </c>
      <c r="DT125" s="54">
        <v>198179.16999999998</v>
      </c>
      <c r="DU125" s="54">
        <v>198179.16999999998</v>
      </c>
      <c r="DV125" s="54">
        <v>198179.16999999998</v>
      </c>
      <c r="DW125" s="54">
        <v>198179.16999999998</v>
      </c>
      <c r="DX125" s="54">
        <v>198179.16999999998</v>
      </c>
      <c r="DY125" s="54">
        <v>198179.16999999998</v>
      </c>
      <c r="DZ125" s="54">
        <v>198179.16999999998</v>
      </c>
      <c r="EA125" s="54">
        <v>198179.16999999998</v>
      </c>
      <c r="EB125" s="54">
        <v>198179.16999999998</v>
      </c>
      <c r="EC125" s="54">
        <v>198179.16999999998</v>
      </c>
      <c r="ED125" s="54">
        <v>198179.16999999998</v>
      </c>
      <c r="EE125" s="54">
        <v>198179.16999999998</v>
      </c>
      <c r="EF125" s="54">
        <v>198179.16999999998</v>
      </c>
      <c r="EG125" s="54">
        <v>198179.16999999998</v>
      </c>
      <c r="EH125" s="54">
        <v>198179.16999999998</v>
      </c>
      <c r="EI125" s="54">
        <v>198179.16999999998</v>
      </c>
      <c r="EJ125" s="54">
        <v>198179.16999999998</v>
      </c>
      <c r="EK125" s="54">
        <v>198179.16999999998</v>
      </c>
      <c r="EL125" s="54">
        <v>198179.16999999998</v>
      </c>
      <c r="EM125" s="54">
        <v>198179.16999999998</v>
      </c>
      <c r="EN125" s="54">
        <v>198179.16999999998</v>
      </c>
      <c r="EO125" s="54">
        <v>198179.16999999998</v>
      </c>
      <c r="EP125" s="54">
        <v>198179.16999999998</v>
      </c>
      <c r="EQ125" s="54">
        <v>198179.16999999998</v>
      </c>
      <c r="ER125" s="54">
        <v>198179.16999999998</v>
      </c>
    </row>
    <row r="126" spans="1:148" ht="16">
      <c r="A126" s="41" t="s">
        <v>123</v>
      </c>
      <c r="B126" s="54">
        <v>-2559.63</v>
      </c>
      <c r="C126" s="54">
        <v>-2559.63</v>
      </c>
      <c r="D126" s="54">
        <v>-2559.63</v>
      </c>
      <c r="E126" s="54">
        <v>-2559.63</v>
      </c>
      <c r="F126" s="54">
        <v>-2559.63</v>
      </c>
      <c r="G126" s="54">
        <v>-2559.63</v>
      </c>
      <c r="H126" s="54">
        <v>-2559.63</v>
      </c>
      <c r="I126" s="54">
        <v>-2559.63</v>
      </c>
      <c r="J126" s="54">
        <v>-2559.63</v>
      </c>
      <c r="K126" s="54">
        <v>-2559.63</v>
      </c>
      <c r="L126" s="54">
        <v>-2559.63</v>
      </c>
      <c r="M126" s="54">
        <v>-2559.63</v>
      </c>
      <c r="N126" s="54">
        <v>8686.96</v>
      </c>
      <c r="O126" s="54">
        <v>8686.96</v>
      </c>
      <c r="P126" s="54">
        <v>8686.96</v>
      </c>
      <c r="Q126" s="54">
        <v>8686.96</v>
      </c>
      <c r="R126" s="54">
        <v>8686.96</v>
      </c>
      <c r="S126" s="54">
        <v>8686.96</v>
      </c>
      <c r="T126" s="54">
        <v>8686.96</v>
      </c>
      <c r="U126" s="54">
        <v>8686.96</v>
      </c>
      <c r="V126" s="54">
        <v>8686.96</v>
      </c>
      <c r="W126" s="54">
        <v>8686.96</v>
      </c>
      <c r="X126" s="54">
        <v>8686.96</v>
      </c>
      <c r="Y126" s="54">
        <v>8686.96</v>
      </c>
      <c r="Z126" s="54">
        <v>130486.93</v>
      </c>
      <c r="AA126" s="54">
        <v>130486.93</v>
      </c>
      <c r="AB126" s="54">
        <v>130486.93</v>
      </c>
      <c r="AC126" s="54">
        <v>130486.93</v>
      </c>
      <c r="AD126" s="54">
        <v>130486.93</v>
      </c>
      <c r="AE126" s="54">
        <v>130486.93</v>
      </c>
      <c r="AF126" s="54">
        <v>130486.93</v>
      </c>
      <c r="AG126" s="54">
        <v>130486.93</v>
      </c>
      <c r="AH126" s="54">
        <v>130486.93</v>
      </c>
      <c r="AI126" s="54">
        <v>130486.93</v>
      </c>
      <c r="AJ126" s="54">
        <v>130486.93</v>
      </c>
      <c r="AK126" s="54">
        <v>130486.93</v>
      </c>
      <c r="AL126" s="54">
        <v>104781.01999999999</v>
      </c>
      <c r="AM126" s="54">
        <v>104781.01999999999</v>
      </c>
      <c r="AN126" s="54">
        <v>104781.01999999999</v>
      </c>
      <c r="AO126" s="54">
        <v>104781.01999999999</v>
      </c>
      <c r="AP126" s="54">
        <v>104781.01999999999</v>
      </c>
      <c r="AQ126" s="54">
        <v>104781.01999999999</v>
      </c>
      <c r="AR126" s="54">
        <v>104781.01999999999</v>
      </c>
      <c r="AS126" s="54">
        <v>104781.01999999999</v>
      </c>
      <c r="AT126" s="54">
        <v>104781.01999999999</v>
      </c>
      <c r="AU126" s="54">
        <v>104781.01999999999</v>
      </c>
      <c r="AV126" s="54">
        <v>104781.01999999999</v>
      </c>
      <c r="AW126" s="54">
        <v>104781.01999999999</v>
      </c>
      <c r="AX126" s="54">
        <v>183429.95</v>
      </c>
      <c r="AY126" s="54">
        <v>183429.95</v>
      </c>
      <c r="AZ126" s="54">
        <v>183429.95</v>
      </c>
      <c r="BA126" s="54">
        <v>183429.95</v>
      </c>
      <c r="BB126" s="54">
        <v>183429.95</v>
      </c>
      <c r="BC126" s="54">
        <v>183429.95</v>
      </c>
      <c r="BD126" s="54">
        <v>183429.95</v>
      </c>
      <c r="BE126" s="54">
        <v>183429.95</v>
      </c>
      <c r="BF126" s="54">
        <v>183429.95</v>
      </c>
      <c r="BG126" s="54">
        <v>183429.95</v>
      </c>
      <c r="BH126" s="54">
        <v>183429.95</v>
      </c>
      <c r="BI126" s="54">
        <v>183429.95</v>
      </c>
      <c r="BJ126" s="54">
        <v>272643.23</v>
      </c>
      <c r="BK126" s="54">
        <v>272643.23</v>
      </c>
      <c r="BL126" s="54">
        <v>272643.23</v>
      </c>
      <c r="BM126" s="54">
        <v>272643.23</v>
      </c>
      <c r="BN126" s="54">
        <v>272643.23</v>
      </c>
      <c r="BO126" s="54">
        <v>272643.23</v>
      </c>
      <c r="BP126" s="54">
        <v>272643.23</v>
      </c>
      <c r="BQ126" s="54">
        <v>272643.23</v>
      </c>
      <c r="BR126" s="54">
        <v>272643.23</v>
      </c>
      <c r="BS126" s="54">
        <v>272643.23</v>
      </c>
      <c r="BT126" s="54">
        <v>272643.23</v>
      </c>
      <c r="BU126" s="54">
        <v>245937.34999999998</v>
      </c>
      <c r="BV126" s="54">
        <v>407714.22999999986</v>
      </c>
      <c r="BW126" s="54">
        <v>407714.22999999986</v>
      </c>
      <c r="BX126" s="54">
        <v>407714.22999999986</v>
      </c>
      <c r="BY126" s="54">
        <v>407714.22999999986</v>
      </c>
      <c r="BZ126" s="54">
        <v>407714.22999999986</v>
      </c>
      <c r="CA126" s="54">
        <v>407714.22999999986</v>
      </c>
      <c r="CB126" s="54">
        <v>407714.22999999986</v>
      </c>
      <c r="CC126" s="54">
        <v>407714.22999999986</v>
      </c>
      <c r="CD126" s="54">
        <v>407714.22999999986</v>
      </c>
      <c r="CE126" s="54">
        <v>407714.22999999986</v>
      </c>
      <c r="CF126" s="54">
        <v>407714.22999999986</v>
      </c>
      <c r="CG126" s="54">
        <v>407714.22999999986</v>
      </c>
      <c r="CH126" s="54">
        <v>359714.2199999999</v>
      </c>
      <c r="CI126" s="54">
        <v>359714.2199999999</v>
      </c>
      <c r="CJ126" s="54">
        <v>359714.2199999999</v>
      </c>
      <c r="CK126" s="54">
        <v>359714.2199999999</v>
      </c>
      <c r="CL126" s="54">
        <v>359714.2199999999</v>
      </c>
      <c r="CM126" s="54">
        <v>359714.2199999999</v>
      </c>
      <c r="CN126" s="54">
        <v>359714.2199999999</v>
      </c>
      <c r="CO126" s="54">
        <v>359714.2199999999</v>
      </c>
      <c r="CP126" s="54">
        <v>359714.2199999999</v>
      </c>
      <c r="CQ126" s="54">
        <v>359714.2199999999</v>
      </c>
      <c r="CR126" s="54">
        <v>359714.2199999999</v>
      </c>
      <c r="CS126" s="54">
        <v>359714.2199999999</v>
      </c>
      <c r="CT126" s="54">
        <v>229117.49999999974</v>
      </c>
      <c r="CU126" s="54">
        <v>229117.49999999974</v>
      </c>
      <c r="CV126" s="54">
        <v>229117.49999999974</v>
      </c>
      <c r="CW126" s="54">
        <v>229117.49999999974</v>
      </c>
      <c r="CX126" s="54">
        <v>229117.49999999974</v>
      </c>
      <c r="CY126" s="54">
        <v>229117.49999999974</v>
      </c>
      <c r="CZ126" s="54">
        <v>229117.49999999974</v>
      </c>
      <c r="DA126" s="54">
        <v>229117.49999999974</v>
      </c>
      <c r="DB126" s="54">
        <v>229117.49999999974</v>
      </c>
      <c r="DC126" s="54">
        <v>229117.49999999974</v>
      </c>
      <c r="DD126" s="54">
        <v>229117.49999999974</v>
      </c>
      <c r="DE126" s="54">
        <v>229117.49999999974</v>
      </c>
      <c r="DF126" s="54">
        <v>-1.7462298274040222E-10</v>
      </c>
      <c r="DG126" s="54">
        <v>-1.7462298274040222E-10</v>
      </c>
      <c r="DH126" s="54">
        <v>-1.7462298274040222E-10</v>
      </c>
      <c r="DI126" s="54">
        <v>-1.7462298274040222E-10</v>
      </c>
      <c r="DJ126" s="54">
        <v>-1.7462298274040222E-10</v>
      </c>
      <c r="DK126" s="54">
        <v>-1.7462298274040222E-10</v>
      </c>
      <c r="DL126" s="54">
        <v>-1.7462298274040222E-10</v>
      </c>
      <c r="DM126" s="54">
        <v>-1.7462298274040222E-10</v>
      </c>
      <c r="DN126" s="54">
        <v>-1.7462298274040222E-10</v>
      </c>
      <c r="DO126" s="54">
        <v>-1.7462298274040222E-10</v>
      </c>
      <c r="DP126" s="54">
        <v>-1.7462298274040222E-10</v>
      </c>
      <c r="DQ126" s="54">
        <v>-1.7462298274040222E-10</v>
      </c>
      <c r="DR126" s="54">
        <v>-564653.8000000003</v>
      </c>
      <c r="DS126" s="54">
        <v>-564653.8000000003</v>
      </c>
      <c r="DT126" s="54">
        <v>-564653.8000000003</v>
      </c>
      <c r="DU126" s="54">
        <v>-564653.8000000003</v>
      </c>
      <c r="DV126" s="54">
        <v>-564653.8000000003</v>
      </c>
      <c r="DW126" s="54">
        <v>-564653.8000000003</v>
      </c>
      <c r="DX126" s="54">
        <v>-564653.8000000003</v>
      </c>
      <c r="DY126" s="54">
        <v>-564653.8000000003</v>
      </c>
      <c r="DZ126" s="54">
        <v>-564653.8000000003</v>
      </c>
      <c r="EA126" s="54">
        <v>-564653.8000000003</v>
      </c>
      <c r="EB126" s="54">
        <v>-564653.8000000003</v>
      </c>
      <c r="EC126" s="54">
        <v>-564653.8000000003</v>
      </c>
      <c r="ED126" s="54">
        <v>-859316.5600000003</v>
      </c>
      <c r="EE126" s="54">
        <v>-859316.5600000003</v>
      </c>
      <c r="EF126" s="54">
        <v>-859316.5600000003</v>
      </c>
      <c r="EG126" s="54">
        <v>-859316.5600000003</v>
      </c>
      <c r="EH126" s="54">
        <v>-859316.5600000003</v>
      </c>
      <c r="EI126" s="54">
        <v>-859316.5600000003</v>
      </c>
      <c r="EJ126" s="54">
        <v>-859316.5600000003</v>
      </c>
      <c r="EK126" s="54">
        <v>-859316.5600000003</v>
      </c>
      <c r="EL126" s="54">
        <v>-859316.5600000003</v>
      </c>
      <c r="EM126" s="54">
        <v>-859316.5600000003</v>
      </c>
      <c r="EN126" s="54">
        <v>-859316.5600000003</v>
      </c>
      <c r="EO126" s="54">
        <v>-859316.5600000003</v>
      </c>
      <c r="EP126" s="54">
        <v>-974506.6600000003</v>
      </c>
      <c r="EQ126" s="54">
        <v>-974506.6600000003</v>
      </c>
      <c r="ER126" s="54">
        <v>-974506.6600000003</v>
      </c>
    </row>
    <row r="127" spans="1:148" ht="16">
      <c r="A127" s="41" t="s">
        <v>124</v>
      </c>
      <c r="B127" s="54">
        <v>-1736.09</v>
      </c>
      <c r="C127" s="54">
        <v>-186.6999999999996</v>
      </c>
      <c r="D127" s="54">
        <v>-1064.1099999999992</v>
      </c>
      <c r="E127" s="54">
        <v>-3096.3799999999997</v>
      </c>
      <c r="F127" s="54">
        <v>-4064.62</v>
      </c>
      <c r="G127" s="54">
        <v>-5509.549999999999</v>
      </c>
      <c r="H127" s="54">
        <v>-8556.42</v>
      </c>
      <c r="I127" s="54">
        <v>-9836.3</v>
      </c>
      <c r="J127" s="54">
        <v>-14775.24</v>
      </c>
      <c r="K127" s="54">
        <v>-12334.14</v>
      </c>
      <c r="L127" s="54">
        <v>-9906.49</v>
      </c>
      <c r="M127" s="54">
        <v>11246.589999999998</v>
      </c>
      <c r="N127" s="54">
        <v>-4746.900000000001</v>
      </c>
      <c r="O127" s="54">
        <v>7346.760000000005</v>
      </c>
      <c r="P127" s="54">
        <v>5805.770000000004</v>
      </c>
      <c r="Q127" s="54">
        <v>992.4000000000051</v>
      </c>
      <c r="R127" s="54">
        <v>1651.2100000000055</v>
      </c>
      <c r="S127" s="54">
        <v>25762.750000000004</v>
      </c>
      <c r="T127" s="54">
        <v>10147.78</v>
      </c>
      <c r="U127" s="54">
        <v>9206.220000000001</v>
      </c>
      <c r="V127" s="54">
        <v>13701.490000000005</v>
      </c>
      <c r="W127" s="54">
        <v>48692.689999999995</v>
      </c>
      <c r="X127" s="54">
        <v>33153.99999999999</v>
      </c>
      <c r="Y127" s="54">
        <v>121799.97</v>
      </c>
      <c r="Z127" s="54">
        <v>-19024.070000000003</v>
      </c>
      <c r="AA127" s="54">
        <v>-28289.710000000003</v>
      </c>
      <c r="AB127" s="54">
        <v>-15970.190000000013</v>
      </c>
      <c r="AC127" s="54">
        <v>-6408.500000000011</v>
      </c>
      <c r="AD127" s="54">
        <v>-17784.130000000012</v>
      </c>
      <c r="AE127" s="54">
        <v>-18074.46000000001</v>
      </c>
      <c r="AF127" s="54">
        <v>-12007.35000000001</v>
      </c>
      <c r="AG127" s="54">
        <v>-15590.820000000009</v>
      </c>
      <c r="AH127" s="54">
        <v>-28344.51000000001</v>
      </c>
      <c r="AI127" s="54">
        <v>-24781.50000000001</v>
      </c>
      <c r="AJ127" s="54">
        <v>-32623.270000000004</v>
      </c>
      <c r="AK127" s="54">
        <v>-25705.910000000007</v>
      </c>
      <c r="AL127" s="54">
        <v>-2926.09</v>
      </c>
      <c r="AM127" s="54">
        <v>-2052.5999999999995</v>
      </c>
      <c r="AN127" s="54">
        <v>-3160.4099999999944</v>
      </c>
      <c r="AO127" s="54">
        <v>5327.880000000003</v>
      </c>
      <c r="AP127" s="54">
        <v>37177.12999999998</v>
      </c>
      <c r="AQ127" s="54">
        <v>63828.07000000001</v>
      </c>
      <c r="AR127" s="54">
        <v>57432.99000000001</v>
      </c>
      <c r="AS127" s="54">
        <v>54749.77000000002</v>
      </c>
      <c r="AT127" s="54">
        <v>48451.42000000002</v>
      </c>
      <c r="AU127" s="54">
        <v>64912.06000000004</v>
      </c>
      <c r="AV127" s="54">
        <v>68948.20000000004</v>
      </c>
      <c r="AW127" s="54">
        <v>78648.93000000004</v>
      </c>
      <c r="AX127" s="54">
        <v>-4254.839999999993</v>
      </c>
      <c r="AY127" s="54">
        <v>-20776.41</v>
      </c>
      <c r="AZ127" s="54">
        <v>-16759.19</v>
      </c>
      <c r="BA127" s="54">
        <v>-4369.7500000000055</v>
      </c>
      <c r="BB127" s="54">
        <v>-8377.719999999987</v>
      </c>
      <c r="BC127" s="54">
        <v>9156.98</v>
      </c>
      <c r="BD127" s="54">
        <v>13772.399999999994</v>
      </c>
      <c r="BE127" s="54">
        <v>-2130.420000000002</v>
      </c>
      <c r="BF127" s="54">
        <v>28432.569999999992</v>
      </c>
      <c r="BG127" s="54">
        <v>23613.39</v>
      </c>
      <c r="BH127" s="54">
        <v>60180.909999999974</v>
      </c>
      <c r="BI127" s="54">
        <v>89213.27999999997</v>
      </c>
      <c r="BJ127" s="54">
        <v>-14125.54</v>
      </c>
      <c r="BK127" s="54">
        <v>-30047.53</v>
      </c>
      <c r="BL127" s="54">
        <v>690.8399999999856</v>
      </c>
      <c r="BM127" s="54">
        <v>22946.45000000002</v>
      </c>
      <c r="BN127" s="54">
        <v>29042.720000000034</v>
      </c>
      <c r="BO127" s="54">
        <v>45125.41000000005</v>
      </c>
      <c r="BP127" s="54">
        <v>49957.500000000044</v>
      </c>
      <c r="BQ127" s="54">
        <v>70996.73</v>
      </c>
      <c r="BR127" s="54">
        <v>121819.04000000001</v>
      </c>
      <c r="BS127" s="54">
        <v>170786.57999999996</v>
      </c>
      <c r="BT127" s="54">
        <v>167477.9899999999</v>
      </c>
      <c r="BU127" s="54">
        <v>135070.99999999988</v>
      </c>
      <c r="BV127" s="54">
        <v>101567.43000000007</v>
      </c>
      <c r="BW127" s="54">
        <v>109153.45000000007</v>
      </c>
      <c r="BX127" s="54">
        <v>120192.71000000008</v>
      </c>
      <c r="BY127" s="54">
        <v>166821.05000000008</v>
      </c>
      <c r="BZ127" s="54">
        <v>205981.53000000006</v>
      </c>
      <c r="CA127" s="54">
        <v>253517.49000000002</v>
      </c>
      <c r="CB127" s="54">
        <v>266505.86000000004</v>
      </c>
      <c r="CC127" s="54">
        <v>351971.20000000007</v>
      </c>
      <c r="CD127" s="54">
        <v>356831.9600000001</v>
      </c>
      <c r="CE127" s="54">
        <v>414108.87000000005</v>
      </c>
      <c r="CF127" s="54">
        <v>395764.7400000001</v>
      </c>
      <c r="CG127" s="54">
        <v>309938.45000000007</v>
      </c>
      <c r="CH127" s="54">
        <v>839.9599999999651</v>
      </c>
      <c r="CI127" s="54">
        <v>10698.239999999962</v>
      </c>
      <c r="CJ127" s="54">
        <v>62561.0899999999</v>
      </c>
      <c r="CK127" s="54">
        <v>47830.93999999984</v>
      </c>
      <c r="CL127" s="54">
        <v>7292.0599999998885</v>
      </c>
      <c r="CM127" s="54">
        <v>54732.88999999995</v>
      </c>
      <c r="CN127" s="54">
        <v>36832.14999999995</v>
      </c>
      <c r="CO127" s="54">
        <v>41374.189999999966</v>
      </c>
      <c r="CP127" s="54">
        <v>-33343.69000000004</v>
      </c>
      <c r="CQ127" s="54">
        <v>-124270.02000000005</v>
      </c>
      <c r="CR127" s="54">
        <v>-175994.44000000012</v>
      </c>
      <c r="CS127" s="54">
        <v>-116153.6800000002</v>
      </c>
      <c r="CT127" s="54">
        <v>72735.99000000002</v>
      </c>
      <c r="CU127" s="54">
        <v>27053.63000000005</v>
      </c>
      <c r="CV127" s="54">
        <v>19232.20000000004</v>
      </c>
      <c r="CW127" s="54">
        <v>19194.83000000004</v>
      </c>
      <c r="CX127" s="54">
        <v>-36626.769999999946</v>
      </c>
      <c r="CY127" s="54">
        <v>-52432.29999999992</v>
      </c>
      <c r="CZ127" s="54">
        <v>-13038.16999999994</v>
      </c>
      <c r="DA127" s="54">
        <v>-52802.689999999966</v>
      </c>
      <c r="DB127" s="54">
        <v>-11727.689999999944</v>
      </c>
      <c r="DC127" s="54">
        <v>-11685.409999999967</v>
      </c>
      <c r="DD127" s="54">
        <v>41490.210000000065</v>
      </c>
      <c r="DE127" s="54">
        <v>-30965.919999999925</v>
      </c>
      <c r="DF127" s="54">
        <v>-92292.98000000005</v>
      </c>
      <c r="DG127" s="54">
        <v>-236550.12000000005</v>
      </c>
      <c r="DH127" s="54">
        <v>-172616.36000000013</v>
      </c>
      <c r="DI127" s="54">
        <v>-221775.20000000013</v>
      </c>
      <c r="DJ127" s="54">
        <v>-302528.3100000001</v>
      </c>
      <c r="DK127" s="54">
        <v>-330653.23000000016</v>
      </c>
      <c r="DL127" s="54">
        <v>-392037.22000000015</v>
      </c>
      <c r="DM127" s="54">
        <v>-459081.40000000014</v>
      </c>
      <c r="DN127" s="54">
        <v>-515310.7000000001</v>
      </c>
      <c r="DO127" s="54">
        <v>-518419.33000000013</v>
      </c>
      <c r="DP127" s="54">
        <v>-552430.9700000001</v>
      </c>
      <c r="DQ127" s="54">
        <v>-564653.8</v>
      </c>
      <c r="DR127" s="54">
        <v>-36286.70999999999</v>
      </c>
      <c r="DS127" s="54">
        <v>-71846.68</v>
      </c>
      <c r="DT127" s="54">
        <v>-103123.46999999999</v>
      </c>
      <c r="DU127" s="54">
        <v>-156114.72999999998</v>
      </c>
      <c r="DV127" s="54">
        <v>-185741.96</v>
      </c>
      <c r="DW127" s="54">
        <v>-168408.62999999998</v>
      </c>
      <c r="DX127" s="54">
        <v>-180218.66999999998</v>
      </c>
      <c r="DY127" s="54">
        <v>-193063.44</v>
      </c>
      <c r="DZ127" s="54">
        <v>-197714.47999999998</v>
      </c>
      <c r="EA127" s="54">
        <v>-201021.68999999997</v>
      </c>
      <c r="EB127" s="54">
        <v>-237747.06</v>
      </c>
      <c r="EC127" s="54">
        <v>-294662.76</v>
      </c>
      <c r="ED127" s="54">
        <v>-31258.780000000002</v>
      </c>
      <c r="EE127" s="54">
        <v>-30071.49999999999</v>
      </c>
      <c r="EF127" s="54">
        <v>-27335.429999999982</v>
      </c>
      <c r="EG127" s="54">
        <v>-47661.47999999999</v>
      </c>
      <c r="EH127" s="54">
        <v>-27274.829999999987</v>
      </c>
      <c r="EI127" s="54">
        <v>18165.660000000018</v>
      </c>
      <c r="EJ127" s="54">
        <v>-4973.519999999986</v>
      </c>
      <c r="EK127" s="54">
        <v>-25878.28999999999</v>
      </c>
      <c r="EL127" s="54">
        <v>-43685.95999999999</v>
      </c>
      <c r="EM127" s="54">
        <v>-46107.22999999998</v>
      </c>
      <c r="EN127" s="54">
        <v>-54584.47999999998</v>
      </c>
      <c r="EO127" s="54">
        <v>-115190.09999999999</v>
      </c>
      <c r="EP127" s="54">
        <v>-13254.369999999992</v>
      </c>
      <c r="EQ127" s="54">
        <v>-19348.91999999999</v>
      </c>
      <c r="ER127" s="54">
        <v>-30629.54999999999</v>
      </c>
    </row>
    <row r="128" spans="1:148" ht="16">
      <c r="A128" s="48" t="s">
        <v>125</v>
      </c>
      <c r="B128" s="55">
        <f>B117+B118+B119+B120+B121+B122+B123+B124+B125+B126+B127</f>
        <v>-4764.05</v>
      </c>
      <c r="C128" s="55">
        <f>C117+C118+C119+C120+C121+C122+C123+C124+C125+C126+C127</f>
        <v>-5214.66</v>
      </c>
      <c r="D128" s="55">
        <f>D117+D118+D119+D120+D121+D122+D123+D124+D125+D126+D127</f>
        <v>-6595.07</v>
      </c>
      <c r="E128" s="55">
        <f>E117+E118+E119+E120+E121+E122+E123+E124+E125+E126+E127</f>
        <v>-8770.34</v>
      </c>
      <c r="F128" s="55">
        <f>F117+F118+F119+F120+F121+F122+F123+F124+F125+F126+F127</f>
        <v>-10271.759999999998</v>
      </c>
      <c r="G128" s="55">
        <f>G117+G118+G119+G120+G121+G122+G123+G124+G125+G126+G127</f>
        <v>-12016.689999999999</v>
      </c>
      <c r="H128" s="55">
        <f>H117+H118+H119+H120+H121+H122+H123+H124+H125+H126+H127</f>
        <v>-16164.560000000001</v>
      </c>
      <c r="I128" s="55">
        <f>I117+I118+I119+I120+I121+I122+I123+I124+I125+I126+I127</f>
        <v>-17428.739999999998</v>
      </c>
      <c r="J128" s="55">
        <f>J117+J118+J119+J120+J121+J122+J123+J124+J125+J126+J127</f>
        <v>-23549.940000000002</v>
      </c>
      <c r="K128" s="55">
        <f>K117+K118+K119+K120+K121+K122+K123+K124+K125+K126+K127</f>
        <v>-21326.09</v>
      </c>
      <c r="L128" s="55">
        <f>L117+L118+L119+L120+L121+L122+L123+L124+L125+L126+L127</f>
        <v>-20736.309999999998</v>
      </c>
      <c r="M128" s="55">
        <f>M117+M118+M119+M120+M121+M122+M123+M124+M125+M126+M127</f>
        <v>-1753.2500000000018</v>
      </c>
      <c r="N128" s="55">
        <f>N117+N118+N119+N120+N121+N122+N123+N124+N125+N126+N127</f>
        <v>-7567.330000000001</v>
      </c>
      <c r="O128" s="55">
        <f>O117+O118+O119+O120+O121+O122+O123+O124+O125+O126+O127</f>
        <v>2839.1600000000044</v>
      </c>
      <c r="P128" s="55">
        <f>P117+P118+P119+P120+P121+P122+P123+P124+P125+P126+P127</f>
        <v>172.6600000000035</v>
      </c>
      <c r="Q128" s="55">
        <f>Q117+Q118+Q119+Q120+Q121+Q122+Q123+Q124+Q125+Q126+Q127</f>
        <v>-5643.449999999997</v>
      </c>
      <c r="R128" s="55">
        <f>R117+R118+R119+R120+R121+R122+R123+R124+R125+R126+R127</f>
        <v>-4925.639999999997</v>
      </c>
      <c r="S128" s="55">
        <f>S117+S118+S119+S120+S121+S122+S123+S124+S125+S126+S127</f>
        <v>18137.9</v>
      </c>
      <c r="T128" s="55">
        <f>T117+T118+T119+T120+T121+T122+T123+T124+T125+T126+T127</f>
        <v>-32.07000000000153</v>
      </c>
      <c r="U128" s="55">
        <f>U117+U118+U119+U120+U121+U122+U123+U124+U125+U126+U127</f>
        <v>-3235.630000000001</v>
      </c>
      <c r="V128" s="55">
        <f>V117+V118+V119+V120+V121+V122+V123+V124+V125+V126+V127</f>
        <v>-411.28999999999724</v>
      </c>
      <c r="W128" s="55">
        <f>W117+W118+W119+W120+W121+W122+W123+W124+W125+W126+W127</f>
        <v>32540.909999999993</v>
      </c>
      <c r="X128" s="55">
        <f>X117+X118+X119+X120+X121+X122+X123+X124+X125+X126+X127</f>
        <v>14416.21999999999</v>
      </c>
      <c r="Y128" s="55">
        <f>Y117+Y118+Y119+Y120+Y121+Y122+Y123+Y124+Y125+Y126+Y127</f>
        <v>99740.09</v>
      </c>
      <c r="Z128" s="55">
        <f>Z117+Z118+Z119+Z120+Z121+Z122+Z123+Z124+Z125+Z126+Z127</f>
        <v>77891.01999999999</v>
      </c>
      <c r="AA128" s="55">
        <f>AA117+AA118+AA119+AA120+AA121+AA122+AA123+AA124+AA125+AA126+AA127</f>
        <v>64825.37999999999</v>
      </c>
      <c r="AB128" s="55">
        <f>AB117+AB118+AB119+AB120+AB121+AB122+AB123+AB124+AB125+AB126+AB127</f>
        <v>68597.09999999998</v>
      </c>
      <c r="AC128" s="55">
        <f>AC117+AC118+AC119+AC120+AC121+AC122+AC123+AC124+AC125+AC126+AC127</f>
        <v>73308.78999999998</v>
      </c>
      <c r="AD128" s="55">
        <f>AD117+AD118+AD119+AD120+AD121+AD122+AD123+AD124+AD125+AD126+AD127</f>
        <v>58892.29999999998</v>
      </c>
      <c r="AE128" s="55">
        <f>AE117+AE118+AE119+AE120+AE121+AE122+AE123+AE124+AE125+AE126+AE127</f>
        <v>50261.96999999999</v>
      </c>
      <c r="AF128" s="55">
        <f>AF117+AF118+AF119+AF120+AF121+AF122+AF123+AF124+AF125+AF126+AF127</f>
        <v>50528.08999999998</v>
      </c>
      <c r="AG128" s="55">
        <f>AG117+AG118+AG119+AG120+AG121+AG122+AG123+AG124+AG125+AG126+AG127</f>
        <v>43312.279999999984</v>
      </c>
      <c r="AH128" s="55">
        <f>AH117+AH118+AH119+AH120+AH121+AH122+AH123+AH124+AH125+AH126+AH127</f>
        <v>24103.589999999982</v>
      </c>
      <c r="AI128" s="55">
        <f>AI117+AI118+AI119+AI120+AI121+AI122+AI123+AI124+AI125+AI126+AI127</f>
        <v>23999.59999999998</v>
      </c>
      <c r="AJ128" s="55">
        <f>AJ117+AJ118+AJ119+AJ120+AJ121+AJ122+AJ123+AJ124+AJ125+AJ126+AJ127</f>
        <v>9649.36999999998</v>
      </c>
      <c r="AK128" s="55">
        <f>AK117+AK118+AK119+AK120+AK121+AK122+AK123+AK124+AK125+AK126+AK127</f>
        <v>9113.729999999978</v>
      </c>
      <c r="AL128" s="55">
        <f>AL117+AL118+AL119+AL120+AL121+AL122+AL123+AL124+AL125+AL126+AL127</f>
        <v>3992.199999999979</v>
      </c>
      <c r="AM128" s="55">
        <f>AM117+AM118+AM119+AM120+AM121+AM122+AM123+AM124+AM125+AM126+AM127</f>
        <v>115.68999999997959</v>
      </c>
      <c r="AN128" s="55">
        <f>AN117+AN118+AN119+AN120+AN121+AN122+AN123+AN124+AN125+AN126+AN127</f>
        <v>-7073.560000000018</v>
      </c>
      <c r="AO128" s="55">
        <f>AO117+AO118+AO119+AO120+AO121+AO122+AO123+AO124+AO125+AO126+AO127</f>
        <v>-1585.2700000000204</v>
      </c>
      <c r="AP128" s="55">
        <f>AP117+AP118+AP119+AP120+AP121+AP122+AP123+AP124+AP125+AP126+AP127</f>
        <v>27138.97999999996</v>
      </c>
      <c r="AQ128" s="55">
        <f>AQ117+AQ118+AQ119+AQ120+AQ121+AQ122+AQ123+AQ124+AQ125+AQ126+AQ127</f>
        <v>46889.919999999984</v>
      </c>
      <c r="AR128" s="55">
        <f>AR117+AR118+AR119+AR120+AR121+AR122+AR123+AR124+AR125+AR126+AR127</f>
        <v>36244.54</v>
      </c>
      <c r="AS128" s="55">
        <f>AS117+AS118+AS119+AS120+AS121+AS122+AS123+AS124+AS125+AS126+AS127</f>
        <v>27675.320000000007</v>
      </c>
      <c r="AT128" s="55">
        <f>AT117+AT118+AT119+AT120+AT121+AT122+AT123+AT124+AT125+AT126+AT127</f>
        <v>18176.97000000001</v>
      </c>
      <c r="AU128" s="55">
        <f>AU117+AU118+AU119+AU120+AU121+AU122+AU123+AU124+AU125+AU126+AU127</f>
        <v>28692.61000000003</v>
      </c>
      <c r="AV128" s="55">
        <f>AV117+AV118+AV119+AV120+AV121+AV122+AV123+AV124+AV125+AV126+AV127</f>
        <v>26853.75000000003</v>
      </c>
      <c r="AW128" s="55">
        <f>AW117+AW118+AW119+AW120+AW121+AW122+AW123+AW124+AW125+AW126+AW127</f>
        <v>29423.530000000042</v>
      </c>
      <c r="AX128" s="55">
        <f>AX117+AX118+AX119+AX120+AX121+AX122+AX123+AX124+AX125+AX126+AX127</f>
        <v>22135.660000000007</v>
      </c>
      <c r="AY128" s="55">
        <f>AY117+AY118+AY119+AY120+AY121+AY122+AY123+AY124+AY125+AY126+AY127</f>
        <v>-1385.9099999999999</v>
      </c>
      <c r="AZ128" s="55">
        <f>AZ117+AZ118+AZ119+AZ120+AZ121+AZ122+AZ123+AZ124+AZ125+AZ126+AZ127</f>
        <v>-5149.559999999994</v>
      </c>
      <c r="BA128" s="55">
        <f>BA117+BA118+BA119+BA120+BA121+BA122+BA123+BA124+BA125+BA126+BA127</f>
        <v>4439.879999999999</v>
      </c>
      <c r="BB128" s="55">
        <f>BB117+BB118+BB119+BB120+BB121+BB122+BB123+BB124+BB125+BB126+BB127</f>
        <v>-5168.089999999982</v>
      </c>
      <c r="BC128" s="55">
        <f>BC117+BC118+BC119+BC120+BC121+BC122+BC123+BC124+BC125+BC126+BC127</f>
        <v>3966.610000000004</v>
      </c>
      <c r="BD128" s="55">
        <f>BD117+BD118+BD119+BD120+BD121+BD122+BD123+BD124+BD125+BD126+BD127</f>
        <v>5532.029999999999</v>
      </c>
      <c r="BE128" s="55">
        <f>BE117+BE118+BE119+BE120+BE121+BE122+BE123+BE124+BE125+BE126+BE127</f>
        <v>-19370.789999999997</v>
      </c>
      <c r="BF128" s="55">
        <f>BF117+BF118+BF119+BF120+BF121+BF122+BF123+BF124+BF125+BF126+BF127</f>
        <v>7992.199999999997</v>
      </c>
      <c r="BG128" s="55">
        <f>BG117+BG118+BG119+BG120+BG121+BG122+BG123+BG124+BG125+BG126+BG127</f>
        <v>-2626.979999999996</v>
      </c>
      <c r="BH128" s="55">
        <f>BH117+BH118+BH119+BH120+BH121+BH122+BH123+BH124+BH125+BH126+BH127</f>
        <v>24140.53999999998</v>
      </c>
      <c r="BI128" s="55">
        <f>BI117+BI118+BI119+BI120+BI121+BI122+BI123+BI124+BI125+BI126+BI127</f>
        <v>44672.909999999974</v>
      </c>
      <c r="BJ128" s="55">
        <f>BJ117+BJ118+BJ119+BJ120+BJ121+BJ122+BJ123+BJ124+BJ125+BJ126+BJ127</f>
        <v>23526.9</v>
      </c>
      <c r="BK128" s="55">
        <f>BK117+BK118+BK119+BK120+BK121+BK122+BK123+BK124+BK125+BK126+BK127</f>
        <v>4104.9100000000035</v>
      </c>
      <c r="BL128" s="55">
        <f>BL117+BL118+BL119+BL120+BL121+BL122+BL123+BL124+BL125+BL126+BL127</f>
        <v>27843.279999999988</v>
      </c>
      <c r="BM128" s="55">
        <f>BM117+BM118+BM119+BM120+BM121+BM122+BM123+BM124+BM125+BM126+BM127</f>
        <v>43098.89000000002</v>
      </c>
      <c r="BN128" s="55">
        <f>BN117+BN118+BN119+BN120+BN121+BN122+BN123+BN124+BN125+BN126+BN127</f>
        <v>38695.159999999974</v>
      </c>
      <c r="BO128" s="55">
        <f>BO117+BO118+BO119+BO120+BO121+BO122+BO123+BO124+BO125+BO126+BO127</f>
        <v>51277.84999999999</v>
      </c>
      <c r="BP128" s="55">
        <f>BP117+BP118+BP119+BP120+BP121+BP122+BP123+BP124+BP125+BP126+BP127</f>
        <v>49935.490000000034</v>
      </c>
      <c r="BQ128" s="55">
        <f>BQ117+BQ118+BQ119+BQ120+BQ121+BQ122+BQ123+BQ124+BQ125+BQ126+BQ127</f>
        <v>57916.61999999995</v>
      </c>
      <c r="BR128" s="55">
        <f>BR117+BR118+BR119+BR120+BR121+BR122+BR123+BR124+BR125+BR126+BR127</f>
        <v>103038.92999999996</v>
      </c>
      <c r="BS128" s="55">
        <f>BS117+BS118+BS119+BS120+BS121+BS122+BS123+BS124+BS125+BS126+BS127</f>
        <v>125020.46999999991</v>
      </c>
      <c r="BT128" s="55">
        <f>BT117+BT118+BT119+BT120+BT121+BT122+BT123+BT124+BT125+BT126+BT127</f>
        <v>111211.87999999986</v>
      </c>
      <c r="BU128" s="55">
        <f>BU117+BU118+BU119+BU120+BU121+BU122+BU123+BU124+BU125+BU126+BU127</f>
        <v>48115.789999999804</v>
      </c>
      <c r="BV128" s="55">
        <f>BV117+BV118+BV119+BV120+BV121+BV122+BV123+BV124+BV125+BV126+BV127</f>
        <v>164349.17999999993</v>
      </c>
      <c r="BW128" s="55">
        <f>BW117+BW118+BW119+BW120+BW121+BW122+BW123+BW124+BW125+BW126+BW127</f>
        <v>164935.19999999995</v>
      </c>
      <c r="BX128" s="55">
        <f>BX117+BX118+BX119+BX120+BX121+BX122+BX123+BX124+BX125+BX126+BX127</f>
        <v>168974.45999999996</v>
      </c>
      <c r="BY128" s="55">
        <f>BY117+BY118+BY119+BY120+BY121+BY122+BY123+BY124+BY125+BY126+BY127</f>
        <v>210361.75999999992</v>
      </c>
      <c r="BZ128" s="55">
        <f>BZ117+BZ118+BZ119+BZ120+BZ121+BZ122+BZ123+BZ124+BZ125+BZ126+BZ127</f>
        <v>241731.65999999995</v>
      </c>
      <c r="CA128" s="55">
        <f>CA117+CA118+CA119+CA120+CA121+CA122+CA123+CA124+CA125+CA126+CA127</f>
        <v>281967.6199999999</v>
      </c>
      <c r="CB128" s="55">
        <f>CB117+CB118+CB119+CB120+CB121+CB122+CB123+CB124+CB125+CB126+CB127</f>
        <v>287695.98999999993</v>
      </c>
      <c r="CC128" s="55">
        <f>CC117+CC118+CC119+CC120+CC121+CC122+CC123+CC124+CC125+CC126+CC127</f>
        <v>365043.32999999996</v>
      </c>
      <c r="CD128" s="55">
        <f>CD117+CD118+CD119+CD120+CD121+CD122+CD123+CD124+CD125+CD126+CD127</f>
        <v>383934.08999999997</v>
      </c>
      <c r="CE128" s="55">
        <f>CE117+CE118+CE119+CE120+CE121+CE122+CE123+CE124+CE125+CE126+CE127</f>
        <v>441141.1099999999</v>
      </c>
      <c r="CF128" s="55">
        <f>CF117+CF118+CF119+CF120+CF121+CF122+CF123+CF124+CF125+CF126+CF127</f>
        <v>422796.98</v>
      </c>
      <c r="CG128" s="55">
        <f>CG117+CG118+CG119+CG120+CG121+CG122+CG123+CG124+CG125+CG126+CG127</f>
        <v>359714.2199999999</v>
      </c>
      <c r="CH128" s="55">
        <f>CH117+CH118+CH119+CH120+CH121+CH122+CH123+CH124+CH125+CH126+CH127</f>
        <v>360554.1799999999</v>
      </c>
      <c r="CI128" s="55">
        <f>CI117+CI118+CI119+CI120+CI121+CI122+CI123+CI124+CI125+CI126+CI127</f>
        <v>370315.9399999998</v>
      </c>
      <c r="CJ128" s="55">
        <f>CJ117+CJ118+CJ119+CJ120+CJ121+CJ122+CJ123+CJ124+CJ125+CJ126+CJ127</f>
        <v>422178.7899999998</v>
      </c>
      <c r="CK128" s="55">
        <f>CK117+CK118+CK119+CK120+CK121+CK122+CK123+CK124+CK125+CK126+CK127</f>
        <v>407842.9399999997</v>
      </c>
      <c r="CL128" s="55">
        <f>CL117+CL118+CL119+CL120+CL121+CL122+CL123+CL124+CL125+CL126+CL127</f>
        <v>366780.3899999998</v>
      </c>
      <c r="CM128" s="55">
        <f>CM117+CM118+CM119+CM120+CM121+CM122+CM123+CM124+CM125+CM126+CM127</f>
        <v>413771.71999999986</v>
      </c>
      <c r="CN128" s="55">
        <f>CN117+CN118+CN119+CN120+CN121+CN122+CN123+CN124+CN125+CN126+CN127</f>
        <v>395870.97999999986</v>
      </c>
      <c r="CO128" s="55">
        <f>CO117+CO118+CO119+CO120+CO121+CO122+CO123+CO124+CO125+CO126+CO127</f>
        <v>400413.01999999984</v>
      </c>
      <c r="CP128" s="55">
        <f>CP117+CP118+CP119+CP120+CP121+CP122+CP123+CP124+CP125+CP126+CP127</f>
        <v>325695.13999999984</v>
      </c>
      <c r="CQ128" s="55">
        <f>CQ117+CQ118+CQ119+CQ120+CQ121+CQ122+CQ123+CQ124+CQ125+CQ126+CQ127</f>
        <v>234768.80999999985</v>
      </c>
      <c r="CR128" s="55">
        <f>CR117+CR118+CR119+CR120+CR121+CR122+CR123+CR124+CR125+CR126+CR127</f>
        <v>183044.38999999978</v>
      </c>
      <c r="CS128" s="55">
        <f>CS117+CS118+CS119+CS120+CS121+CS122+CS123+CS124+CS125+CS126+CS127</f>
        <v>229117.49999999968</v>
      </c>
      <c r="CT128" s="55">
        <f>CT117+CT118+CT119+CT120+CT121+CT122+CT123+CT124+CT125+CT126+CT127</f>
        <v>301726.74999999977</v>
      </c>
      <c r="CU128" s="55">
        <f>CU117+CU118+CU119+CU120+CU121+CU122+CU123+CU124+CU125+CU126+CU127</f>
        <v>246931.4599999998</v>
      </c>
      <c r="CV128" s="55">
        <f>CV117+CV118+CV119+CV120+CV121+CV122+CV123+CV124+CV125+CV126+CV127</f>
        <v>234005.02999999977</v>
      </c>
      <c r="CW128" s="55">
        <f>CW117+CW118+CW119+CW120+CW121+CW122+CW123+CW124+CW125+CW126+CW127</f>
        <v>219019.53999999978</v>
      </c>
      <c r="CX128" s="55">
        <f>CX117+CX118+CX119+CX120+CX121+CX122+CX123+CX124+CX125+CX126+CX127</f>
        <v>156687.33999999973</v>
      </c>
      <c r="CY128" s="55">
        <f>CY117+CY118+CY119+CY120+CY121+CY122+CY123+CY124+CY125+CY126+CY127</f>
        <v>138558.68999999977</v>
      </c>
      <c r="CZ128" s="55">
        <f>CZ117+CZ118+CZ119+CZ120+CZ121+CZ122+CZ123+CZ124+CZ125+CZ126+CZ127</f>
        <v>177952.81999999977</v>
      </c>
      <c r="DA128" s="55">
        <f>DA117+DA118+DA119+DA120+DA121+DA122+DA123+DA124+DA125+DA126+DA127</f>
        <v>138168.29999999973</v>
      </c>
      <c r="DB128" s="55">
        <f>DB117+DB118+DB119+DB120+DB121+DB122+DB123+DB124+DB125+DB126+DB127</f>
        <v>179220.92999999976</v>
      </c>
      <c r="DC128" s="55">
        <f>DC117+DC118+DC119+DC120+DC121+DC122+DC123+DC124+DC125+DC126+DC127</f>
        <v>175328.91999999975</v>
      </c>
      <c r="DD128" s="55">
        <f>DD117+DD118+DD119+DD120+DD121+DD122+DD123+DD124+DD125+DD126+DD127</f>
        <v>227231.0899999998</v>
      </c>
      <c r="DE128" s="55">
        <f>DE117+DE118+DE119+DE120+DE121+DE122+DE123+DE124+DE125+DE126+DE127</f>
        <v>198151.57999999978</v>
      </c>
      <c r="DF128" s="55">
        <f>DF117+DF118+DF119+DF120+DF121+DF122+DF123+DF124+DF125+DF126+DF127</f>
        <v>103751.63999999974</v>
      </c>
      <c r="DG128" s="55">
        <f>DG117+DG118+DG119+DG120+DG121+DG122+DG123+DG124+DG125+DG126+DG127</f>
        <v>-49493.83000000025</v>
      </c>
      <c r="DH128" s="55">
        <f>DH117+DH118+DH119+DH120+DH121+DH122+DH123+DH124+DH125+DH126+DH127</f>
        <v>2684.689999999653</v>
      </c>
      <c r="DI128" s="55">
        <f>DI117+DI118+DI119+DI120+DI121+DI122+DI123+DI124+DI125+DI126+DI127</f>
        <v>-52842.67000000033</v>
      </c>
      <c r="DJ128" s="55">
        <f>DJ117+DJ118+DJ119+DJ120+DJ121+DJ122+DJ123+DJ124+DJ125+DJ126+DJ127</f>
        <v>-149710.12000000034</v>
      </c>
      <c r="DK128" s="55">
        <f>DK117+DK118+DK119+DK120+DK121+DK122+DK123+DK124+DK125+DK126+DK127</f>
        <v>-187035.0400000004</v>
      </c>
      <c r="DL128" s="55">
        <f>DL117+DL118+DL119+DL120+DL121+DL122+DL123+DL124+DL125+DL126+DL127</f>
        <v>-220752.87000000037</v>
      </c>
      <c r="DM128" s="55">
        <f>DM117+DM118+DM119+DM120+DM121+DM122+DM123+DM124+DM125+DM126+DM127</f>
        <v>-293800.69000000035</v>
      </c>
      <c r="DN128" s="55">
        <f>DN117+DN118+DN119+DN120+DN121+DN122+DN123+DN124+DN125+DN126+DN127</f>
        <v>-357990.8300000003</v>
      </c>
      <c r="DO128" s="55">
        <f>DO117+DO118+DO119+DO120+DO121+DO122+DO123+DO124+DO125+DO126+DO127</f>
        <v>-361249.4600000003</v>
      </c>
      <c r="DP128" s="55">
        <f>DP117+DP118+DP119+DP120+DP121+DP122+DP123+DP124+DP125+DP126+DP127</f>
        <v>-392100.6000000003</v>
      </c>
      <c r="DQ128" s="55">
        <f>DQ117+DQ118+DQ119+DQ120+DQ121+DQ122+DQ123+DQ124+DQ125+DQ126+DQ127</f>
        <v>-366474.63000000024</v>
      </c>
      <c r="DR128" s="55">
        <f>DR117+DR118+DR119+DR120+DR121+DR122+DR123+DR124+DR125+DR126+DR127</f>
        <v>-273860.3400000003</v>
      </c>
      <c r="DS128" s="55">
        <f>DS117+DS118+DS119+DS120+DS121+DS122+DS123+DS124+DS125+DS126+DS127</f>
        <v>-309519.31000000035</v>
      </c>
      <c r="DT128" s="55">
        <f>DT117+DT118+DT119+DT120+DT121+DT122+DT123+DT124+DT125+DT126+DT127</f>
        <v>-341803.9700000003</v>
      </c>
      <c r="DU128" s="55">
        <f>DU117+DU118+DU119+DU120+DU121+DU122+DU123+DU124+DU125+DU126+DU127</f>
        <v>-394795.23000000033</v>
      </c>
      <c r="DV128" s="55">
        <f>DV117+DV118+DV119+DV120+DV121+DV122+DV123+DV124+DV125+DV126+DV127</f>
        <v>-425009.02000000025</v>
      </c>
      <c r="DW128" s="55">
        <f>DW117+DW118+DW119+DW120+DW121+DW122+DW123+DW124+DW125+DW126+DW127</f>
        <v>-407726.5800000003</v>
      </c>
      <c r="DX128" s="55">
        <f>DX117+DX118+DX119+DX120+DX121+DX122+DX123+DX124+DX125+DX126+DX127</f>
        <v>-404526.6200000003</v>
      </c>
      <c r="DY128" s="55">
        <f>DY117+DY118+DY119+DY120+DY121+DY122+DY123+DY124+DY125+DY126+DY127</f>
        <v>-417371.3900000003</v>
      </c>
      <c r="DZ128" s="55">
        <f>DZ117+DZ118+DZ119+DZ120+DZ121+DZ122+DZ123+DZ124+DZ125+DZ126+DZ127</f>
        <v>-422022.4300000003</v>
      </c>
      <c r="EA128" s="55">
        <f>EA117+EA118+EA119+EA120+EA121+EA122+EA123+EA124+EA125+EA126+EA127</f>
        <v>-425329.64000000025</v>
      </c>
      <c r="EB128" s="55">
        <f>EB117+EB118+EB119+EB120+EB121+EB122+EB123+EB124+EB125+EB126+EB127</f>
        <v>-462055.0100000003</v>
      </c>
      <c r="EC128" s="55">
        <f>EC117+EC118+EC119+EC120+EC121+EC122+EC123+EC124+EC125+EC126+EC127</f>
        <v>-472127.39000000036</v>
      </c>
      <c r="ED128" s="55">
        <f>ED117+ED118+ED119+ED120+ED121+ED122+ED123+ED124+ED125+ED126+ED127</f>
        <v>-503716.9700000003</v>
      </c>
      <c r="EE128" s="55">
        <f>EE117+EE118+EE119+EE120+EE121+EE122+EE123+EE124+EE125+EE126+EE127</f>
        <v>-505029.6900000003</v>
      </c>
      <c r="EF128" s="55">
        <f>EF117+EF118+EF119+EF120+EF121+EF122+EF123+EF124+EF125+EF126+EF127</f>
        <v>-504793.6200000003</v>
      </c>
      <c r="EG128" s="55">
        <f>EG117+EG118+EG119+EG120+EG121+EG122+EG123+EG124+EG125+EG126+EG127</f>
        <v>-525119.6700000003</v>
      </c>
      <c r="EH128" s="55">
        <f>EH117+EH118+EH119+EH120+EH121+EH122+EH123+EH124+EH125+EH126+EH127</f>
        <v>-504733.02000000025</v>
      </c>
      <c r="EI128" s="55">
        <f>EI117+EI118+EI119+EI120+EI121+EI122+EI123+EI124+EI125+EI126+EI127</f>
        <v>-459292.53000000026</v>
      </c>
      <c r="EJ128" s="55">
        <f>EJ117+EJ118+EJ119+EJ120+EJ121+EJ122+EJ123+EJ124+EJ125+EJ126+EJ127</f>
        <v>-482431.71000000025</v>
      </c>
      <c r="EK128" s="55">
        <f>EK117+EK118+EK119+EK120+EK121+EK122+EK123+EK124+EK125+EK126+EK127</f>
        <v>-503336.4800000003</v>
      </c>
      <c r="EL128" s="55">
        <f>EL117+EL118+EL119+EL120+EL121+EL122+EL123+EL124+EL125+EL126+EL127</f>
        <v>-521144.15000000026</v>
      </c>
      <c r="EM128" s="55">
        <f>EM117+EM118+EM119+EM120+EM121+EM122+EM123+EM124+EM125+EM126+EM127</f>
        <v>-523565.4200000003</v>
      </c>
      <c r="EN128" s="55">
        <f>EN117+EN118+EN119+EN120+EN121+EN122+EN123+EN124+EN125+EN126+EN127</f>
        <v>-532042.6700000003</v>
      </c>
      <c r="EO128" s="55">
        <f>EO117+EO118+EO119+EO120+EO121+EO122+EO123+EO124+EO125+EO126+EO127</f>
        <v>-592648.2900000003</v>
      </c>
      <c r="EP128" s="55">
        <f>EP117+EP118+EP119+EP120+EP121+EP122+EP123+EP124+EP125+EP126+EP127</f>
        <v>-605902.6600000003</v>
      </c>
      <c r="EQ128" s="55">
        <f>EQ117+EQ118+EQ119+EQ120+EQ121+EQ122+EQ123+EQ124+EQ125+EQ126+EQ127</f>
        <v>-611997.2100000003</v>
      </c>
      <c r="ER128" s="55">
        <f>ER117+ER118+ER119+ER120+ER121+ER122+ER123+ER124+ER125+ER126+ER127</f>
        <v>-623277.8400000003</v>
      </c>
    </row>
    <row r="129" spans="1:148" ht="16">
      <c r="A129" s="49" t="s">
        <v>126</v>
      </c>
      <c r="B129" s="55">
        <f>B57+B116+B128</f>
        <v>3709.62</v>
      </c>
      <c r="C129" s="55">
        <f>C57+C116+C128</f>
        <v>2393.710000000001</v>
      </c>
      <c r="D129" s="55">
        <f>D57+D116+D128</f>
        <v>-1799.3099999999995</v>
      </c>
      <c r="E129" s="55">
        <f>E57+E116+E128</f>
        <v>-4158.78</v>
      </c>
      <c r="F129" s="55">
        <f>F57+F116+F128</f>
        <v>-3040.069999999998</v>
      </c>
      <c r="G129" s="55">
        <f>G57+G116+G128</f>
        <v>-3426.149999999998</v>
      </c>
      <c r="H129" s="55">
        <f>H57+H116+H128</f>
        <v>-5504.790000000001</v>
      </c>
      <c r="I129" s="55">
        <f>I57+I116+I128</f>
        <v>-8700.009999999998</v>
      </c>
      <c r="J129" s="55">
        <f>J57+J116+J128</f>
        <v>-13547.070000000002</v>
      </c>
      <c r="K129" s="55">
        <f>K57+K116+K128</f>
        <v>-11657.91</v>
      </c>
      <c r="L129" s="55">
        <f>L57+L116+L128</f>
        <v>-11086.029999999997</v>
      </c>
      <c r="M129" s="55">
        <f>M57+M116+M128</f>
        <v>7358.569999999998</v>
      </c>
      <c r="N129" s="55">
        <f>N57+N116+N128</f>
        <v>2643.7</v>
      </c>
      <c r="O129" s="55">
        <f>O57+O116+O128</f>
        <v>8196.970000000005</v>
      </c>
      <c r="P129" s="55">
        <f>P57+P116+P128</f>
        <v>9468.500000000004</v>
      </c>
      <c r="Q129" s="55">
        <f>Q57+Q116+Q128</f>
        <v>3697.090000000004</v>
      </c>
      <c r="R129" s="55">
        <f>R57+R116+R128</f>
        <v>4520.670000000005</v>
      </c>
      <c r="S129" s="55">
        <f>S57+S116+S128</f>
        <v>27317.82</v>
      </c>
      <c r="T129" s="55">
        <f>T57+T116+T128</f>
        <v>8984.13</v>
      </c>
      <c r="U129" s="55">
        <f>U57+U116+U128</f>
        <v>5610.709999999999</v>
      </c>
      <c r="V129" s="55">
        <f>V57+V116+V128</f>
        <v>8259.210000000003</v>
      </c>
      <c r="W129" s="55">
        <f>W57+W116+W128</f>
        <v>41957.759999999995</v>
      </c>
      <c r="X129" s="55">
        <f>X57+X116+X128</f>
        <v>22724.749999999993</v>
      </c>
      <c r="Y129" s="55">
        <f>Y57+Y116+Y128</f>
        <v>107861.86</v>
      </c>
      <c r="Z129" s="55">
        <f>Z57+Z116+Z128</f>
        <v>88799.09</v>
      </c>
      <c r="AA129" s="55">
        <f>AA57+AA116+AA128</f>
        <v>71809.04999999999</v>
      </c>
      <c r="AB129" s="55">
        <f>AB57+AB116+AB128</f>
        <v>79757.18999999997</v>
      </c>
      <c r="AC129" s="55">
        <f>AC57+AC116+AC128</f>
        <v>78634.75999999998</v>
      </c>
      <c r="AD129" s="55">
        <f>AD57+AD116+AD128</f>
        <v>60256.54999999998</v>
      </c>
      <c r="AE129" s="55">
        <f>AE57+AE116+AE128</f>
        <v>52113.54999999999</v>
      </c>
      <c r="AF129" s="55">
        <f>AF57+AF116+AF128</f>
        <v>54178.71999999998</v>
      </c>
      <c r="AG129" s="55">
        <f>AG57+AG116+AG128</f>
        <v>47565.12999999998</v>
      </c>
      <c r="AH129" s="55">
        <f>AH57+AH116+AH128</f>
        <v>30816.40999999998</v>
      </c>
      <c r="AI129" s="55">
        <f>AI57+AI116+AI128</f>
        <v>33734.86999999998</v>
      </c>
      <c r="AJ129" s="55">
        <f>AJ57+AJ116+AJ128</f>
        <v>31626.859999999982</v>
      </c>
      <c r="AK129" s="55">
        <f>AK57+AK116+AK128</f>
        <v>22631.57999999998</v>
      </c>
      <c r="AL129" s="55">
        <f>AL57+AL116+AL128</f>
        <v>16112.639999999981</v>
      </c>
      <c r="AM129" s="55">
        <f>AM57+AM116+AM128</f>
        <v>16103.769999999982</v>
      </c>
      <c r="AN129" s="55">
        <f>AN57+AN116+AN128</f>
        <v>19896.359999999986</v>
      </c>
      <c r="AO129" s="55">
        <f>AO57+AO116+AO128</f>
        <v>25433.699999999983</v>
      </c>
      <c r="AP129" s="55">
        <f>AP57+AP116+AP128</f>
        <v>62844.49999999996</v>
      </c>
      <c r="AQ129" s="55">
        <f>AQ57+AQ116+AQ128</f>
        <v>80540.22999999998</v>
      </c>
      <c r="AR129" s="55">
        <f>AR57+AR116+AR128</f>
        <v>55934.14</v>
      </c>
      <c r="AS129" s="55">
        <f>AS57+AS116+AS128</f>
        <v>45132.07000000001</v>
      </c>
      <c r="AT129" s="55">
        <f>AT57+AT116+AT128</f>
        <v>28705.37000000001</v>
      </c>
      <c r="AU129" s="55">
        <f>AU57+AU116+AU128</f>
        <v>61320.66000000003</v>
      </c>
      <c r="AV129" s="55">
        <f>AV57+AV116+AV128</f>
        <v>59817.46000000003</v>
      </c>
      <c r="AW129" s="55">
        <f>AW57+AW116+AW128</f>
        <v>47313.37000000004</v>
      </c>
      <c r="AX129" s="55">
        <f>AX57+AX116+AX128</f>
        <v>52545.50000000001</v>
      </c>
      <c r="AY129" s="55">
        <f>AY57+AY116+AY128</f>
        <v>25976.31</v>
      </c>
      <c r="AZ129" s="55">
        <f>AZ57+AZ116+AZ128</f>
        <v>21903.88000000001</v>
      </c>
      <c r="BA129" s="55">
        <f>BA57+BA116+BA128</f>
        <v>47997.28999999999</v>
      </c>
      <c r="BB129" s="55">
        <f>BB57+BB116+BB128</f>
        <v>48156.83000000002</v>
      </c>
      <c r="BC129" s="55">
        <f>BC57+BC116+BC128</f>
        <v>46495.83</v>
      </c>
      <c r="BD129" s="55">
        <f>BD57+BD116+BD128</f>
        <v>39022.95</v>
      </c>
      <c r="BE129" s="55">
        <f>BE57+BE116+BE128</f>
        <v>31150.639999999996</v>
      </c>
      <c r="BF129" s="55">
        <f>BF57+BF116+BF128</f>
        <v>63744.19</v>
      </c>
      <c r="BG129" s="55">
        <f>BG57+BG116+BG128</f>
        <v>45894.79000000001</v>
      </c>
      <c r="BH129" s="55">
        <f>BH57+BH116+BH128</f>
        <v>61093.28999999998</v>
      </c>
      <c r="BI129" s="55">
        <f>BI57+BI116+BI128</f>
        <v>64730.909999999974</v>
      </c>
      <c r="BJ129" s="55">
        <f>BJ57+BJ116+BJ128</f>
        <v>66353.84</v>
      </c>
      <c r="BK129" s="55">
        <f>BK57+BK116+BK128</f>
        <v>64105.3</v>
      </c>
      <c r="BL129" s="55">
        <f>BL57+BL116+BL128</f>
        <v>99111.89</v>
      </c>
      <c r="BM129" s="55">
        <f>BM57+BM116+BM128</f>
        <v>120709.50000000003</v>
      </c>
      <c r="BN129" s="55">
        <f>BN57+BN116+BN128</f>
        <v>95571.94999999998</v>
      </c>
      <c r="BO129" s="55">
        <f>BO57+BO116+BO128</f>
        <v>89503.45</v>
      </c>
      <c r="BP129" s="55">
        <f>BP57+BP116+BP128</f>
        <v>98272.53000000004</v>
      </c>
      <c r="BQ129" s="55">
        <f>BQ57+BQ116+BQ128</f>
        <v>132885.80999999994</v>
      </c>
      <c r="BR129" s="55">
        <f>BR57+BR116+BR128</f>
        <v>175087.96999999997</v>
      </c>
      <c r="BS129" s="55">
        <f>BS57+BS116+BS128</f>
        <v>169795.93999999992</v>
      </c>
      <c r="BT129" s="55">
        <f>BT57+BT116+BT128</f>
        <v>143858.32999999987</v>
      </c>
      <c r="BU129" s="55">
        <f>BU57+BU116+BU128</f>
        <v>63472.2999999998</v>
      </c>
      <c r="BV129" s="55">
        <f>BV57+BV116+BV128</f>
        <v>177338.99999999994</v>
      </c>
      <c r="BW129" s="55">
        <f>BW57+BW116+BW128</f>
        <v>224130.65999999997</v>
      </c>
      <c r="BX129" s="55">
        <f>BX57+BX116+BX128</f>
        <v>234955.48999999996</v>
      </c>
      <c r="BY129" s="55">
        <f>BY57+BY116+BY128</f>
        <v>242804.5899999999</v>
      </c>
      <c r="BZ129" s="55">
        <f>BZ57+BZ116+BZ128</f>
        <v>294535.57999999996</v>
      </c>
      <c r="CA129" s="55">
        <f>CA57+CA116+CA128</f>
        <v>342289.34999999986</v>
      </c>
      <c r="CB129" s="55">
        <f>CB57+CB116+CB128</f>
        <v>347981.48999999993</v>
      </c>
      <c r="CC129" s="55">
        <f>CC57+CC116+CC128</f>
        <v>399578.17999999993</v>
      </c>
      <c r="CD129" s="55">
        <f>CD57+CD116+CD128</f>
        <v>423038.95999999996</v>
      </c>
      <c r="CE129" s="55">
        <f>CE57+CE116+CE128</f>
        <v>500814.3999999999</v>
      </c>
      <c r="CF129" s="55">
        <f>CF57+CF116+CF128</f>
        <v>469151.8</v>
      </c>
      <c r="CG129" s="55">
        <f>CG57+CG116+CG128</f>
        <v>405441.93999999994</v>
      </c>
      <c r="CH129" s="55">
        <f>CH57+CH116+CH128</f>
        <v>418857.0899999999</v>
      </c>
      <c r="CI129" s="55">
        <f>CI57+CI116+CI128</f>
        <v>433404.7399999998</v>
      </c>
      <c r="CJ129" s="55">
        <f>CJ57+CJ116+CJ128</f>
        <v>502129.5999999998</v>
      </c>
      <c r="CK129" s="55">
        <f>CK57+CK116+CK128</f>
        <v>502569.5599999997</v>
      </c>
      <c r="CL129" s="55">
        <f>CL57+CL116+CL128</f>
        <v>456727.0199999998</v>
      </c>
      <c r="CM129" s="55">
        <f>CM57+CM116+CM128</f>
        <v>491354.57999999984</v>
      </c>
      <c r="CN129" s="55">
        <f>CN57+CN116+CN128</f>
        <v>567405.6899999998</v>
      </c>
      <c r="CO129" s="55">
        <f>CO57+CO116+CO128</f>
        <v>582530.1999999998</v>
      </c>
      <c r="CP129" s="55">
        <f>CP57+CP116+CP128</f>
        <v>543350.5899999999</v>
      </c>
      <c r="CQ129" s="55">
        <f>CQ57+CQ116+CQ128</f>
        <v>464923.1399999999</v>
      </c>
      <c r="CR129" s="55">
        <f>CR57+CR116+CR128</f>
        <v>569759.6499999998</v>
      </c>
      <c r="CS129" s="55">
        <f>CS57+CS116+CS128</f>
        <v>607159.0499999997</v>
      </c>
      <c r="CT129" s="55">
        <f>CT57+CT116+CT128</f>
        <v>635237.6899999998</v>
      </c>
      <c r="CU129" s="55">
        <f>CU57+CU116+CU128</f>
        <v>648202.8699999999</v>
      </c>
      <c r="CV129" s="55">
        <f>CV57+CV116+CV128</f>
        <v>536183.1499999998</v>
      </c>
      <c r="CW129" s="55">
        <f>CW57+CW116+CW128</f>
        <v>501875.7599999998</v>
      </c>
      <c r="CX129" s="55">
        <f>CX57+CX116+CX128</f>
        <v>436661.1299999998</v>
      </c>
      <c r="CY129" s="55">
        <f>CY57+CY116+CY128</f>
        <v>439521.13999999984</v>
      </c>
      <c r="CZ129" s="55">
        <f>CZ57+CZ116+CZ128</f>
        <v>464227.2999999998</v>
      </c>
      <c r="DA129" s="55">
        <f>DA57+DA116+DA128</f>
        <v>392180.1299999997</v>
      </c>
      <c r="DB129" s="55">
        <f>DB57+DB116+DB128</f>
        <v>574440.7299999997</v>
      </c>
      <c r="DC129" s="55">
        <f>DC57+DC116+DC128</f>
        <v>710280.4099999997</v>
      </c>
      <c r="DD129" s="55">
        <f>DD57+DD116+DD128</f>
        <v>778379.7899999998</v>
      </c>
      <c r="DE129" s="55">
        <f>DE57+DE116+DE128</f>
        <v>700412.7299999997</v>
      </c>
      <c r="DF129" s="55">
        <f>DF57+DF116+DF128</f>
        <v>609959.9299999997</v>
      </c>
      <c r="DG129" s="55">
        <f>DG57+DG116+DG128</f>
        <v>489668.0199999997</v>
      </c>
      <c r="DH129" s="55">
        <f>DH57+DH116+DH128</f>
        <v>634075.9399999997</v>
      </c>
      <c r="DI129" s="55">
        <f>DI57+DI116+DI128</f>
        <v>587859.7999999996</v>
      </c>
      <c r="DJ129" s="55">
        <f>DJ57+DJ116+DJ128</f>
        <v>405173.5299999997</v>
      </c>
      <c r="DK129" s="55">
        <f>DK57+DK116+DK128</f>
        <v>460661.37999999954</v>
      </c>
      <c r="DL129" s="55">
        <f>DL57+DL116+DL128</f>
        <v>499951.23999999964</v>
      </c>
      <c r="DM129" s="55">
        <f>DM57+DM116+DM128</f>
        <v>426456.78999999963</v>
      </c>
      <c r="DN129" s="55">
        <f>DN57+DN116+DN128</f>
        <v>319653.0199999998</v>
      </c>
      <c r="DO129" s="55">
        <f>DO57+DO116+DO128</f>
        <v>346645.7599999998</v>
      </c>
      <c r="DP129" s="55">
        <f>DP57+DP116+DP128</f>
        <v>328244.8099999997</v>
      </c>
      <c r="DQ129" s="55">
        <f>DQ57+DQ116+DQ128</f>
        <v>502888.73999999976</v>
      </c>
      <c r="DR129" s="55">
        <f>DR57+DR116+DR128</f>
        <v>365858.0599999997</v>
      </c>
      <c r="DS129" s="55">
        <f>DS57+DS116+DS128</f>
        <v>322615.8899999996</v>
      </c>
      <c r="DT129" s="55">
        <f>DT57+DT116+DT128</f>
        <v>298276.7099999996</v>
      </c>
      <c r="DU129" s="55">
        <f>DU57+DU116+DU128</f>
        <v>263182.33999999973</v>
      </c>
      <c r="DV129" s="55">
        <f>DV57+DV116+DV128</f>
        <v>230591.02999999968</v>
      </c>
      <c r="DW129" s="55">
        <f>DW57+DW116+DW128</f>
        <v>244430.84999999963</v>
      </c>
      <c r="DX129" s="55">
        <f>DX57+DX116+DX128</f>
        <v>256270.79999999964</v>
      </c>
      <c r="DY129" s="55">
        <f>DY57+DY116+DY128</f>
        <v>233242.25999999972</v>
      </c>
      <c r="DZ129" s="55">
        <f>DZ57+DZ116+DZ128</f>
        <v>251337.75999999978</v>
      </c>
      <c r="EA129" s="55">
        <f>EA57+EA116+EA128</f>
        <v>301305.22999999963</v>
      </c>
      <c r="EB129" s="55">
        <f>EB57+EB116+EB128</f>
        <v>218760.7299999997</v>
      </c>
      <c r="EC129" s="55">
        <f>EC57+EC116+EC128</f>
        <v>226997.4499999996</v>
      </c>
      <c r="ED129" s="55">
        <f>ED57+ED116+ED128</f>
        <v>300855.6299999998</v>
      </c>
      <c r="EE129" s="55">
        <f>EE57+EE116+EE128</f>
        <v>278456.1899999997</v>
      </c>
      <c r="EF129" s="55">
        <f>EF57+EF116+EF128</f>
        <v>255829.4799999998</v>
      </c>
      <c r="EG129" s="55">
        <f>EG57+EG116+EG128</f>
        <v>230044.3099999997</v>
      </c>
      <c r="EH129" s="55">
        <f>EH57+EH116+EH128</f>
        <v>229983.61999999988</v>
      </c>
      <c r="EI129" s="55">
        <f>EI57+EI116+EI128</f>
        <v>238184.9199999997</v>
      </c>
      <c r="EJ129" s="55">
        <f>EJ57+EJ116+EJ128</f>
        <v>263333.77999999974</v>
      </c>
      <c r="EK129" s="55">
        <f>EK57+EK116+EK128</f>
        <v>240353.1099999998</v>
      </c>
      <c r="EL129" s="55">
        <f>EL57+EL116+EL128</f>
        <v>220542.30999999982</v>
      </c>
      <c r="EM129" s="55">
        <f>EM57+EM116+EM128</f>
        <v>219767.75999999978</v>
      </c>
      <c r="EN129" s="55">
        <f>EN57+EN116+EN128</f>
        <v>210818.33999999973</v>
      </c>
      <c r="EO129" s="55">
        <f>EO57+EO116+EO128</f>
        <v>212863.2799999998</v>
      </c>
      <c r="EP129" s="55">
        <f>EP57+EP116+EP128</f>
        <v>188932.19999999984</v>
      </c>
      <c r="EQ129" s="55">
        <f>EQ57+EQ116+EQ128</f>
        <v>182837.6499999998</v>
      </c>
      <c r="ER129" s="55">
        <f>ER57+ER116+ER128</f>
        <v>171557.0199999998</v>
      </c>
    </row>
    <row r="133" spans="1:1" ht="16">
      <c r="A133" s="57" t="s">
        <v>275</v>
      </c>
    </row>
  </sheetData>
  <mergeCells count="4">
    <mergeCell ref="A1:ER1"/>
    <mergeCell ref="A2:ER2"/>
    <mergeCell ref="A3:ER3"/>
    <mergeCell ref="A133:ER13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