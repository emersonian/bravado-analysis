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3" i="1" l="1"/>
</calcChain>
</file>

<file path=xl/sharedStrings.xml><?xml version="1.0" encoding="utf-8"?>
<sst xmlns="http://schemas.openxmlformats.org/spreadsheetml/2006/main" count="136" uniqueCount="135">
  <si>
    <t>BRAVADO SPICE LLC</t>
  </si>
  <si>
    <t>Profit and Loss by Month</t>
  </si>
  <si>
    <t>January 1-December 31, 2023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</si>
  <si>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</si>
  <si>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</si>
  <si>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</si>
  <si>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</si>
  <si>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</si>
  <si>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61216 Arbol Chili &amp; Garlic Hot Sauce</t>
  </si>
  <si>
    <t>61217 Manuka Honey Passion Fruit Hot Sauce</t>
  </si>
  <si>
    <t>61220 Jalapeno &amp; Green Apple Hot Sauce</t>
  </si>
  <si>
    <t>61225 Ancho Masala Ghost-Reaper Hot Sauce</t>
  </si>
  <si>
    <t>61230 Ghost Pepper &amp; Blueberry Hot Sauce</t>
  </si>
  <si>
    <t>61240 Crimson Hot Sauce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</si>
  <si>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</si>
  <si>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</si>
  <si>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</si>
  <si>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</si>
  <si>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</si>
  <si>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</si>
  <si>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</si>
  <si>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</si>
  <si>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</si>
  <si>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</si>
  <si>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</si>
  <si>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61420 Ruby Red Grapefruit Margarita Mix</t>
  </si>
  <si>
    <t>61430 Lime &amp; Yuzu Margarita Mix</t>
  </si>
  <si>
    <t>Total for 61400 Mixers</t>
  </si>
  <si>
    <t>61500 Sets</t>
  </si>
  <si>
    <t>61600 Faire Sales</t>
  </si>
  <si>
    <t>63000 Events/Shows Sales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</si>
  <si>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</si>
  <si>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</si>
  <si>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</si>
  <si>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</si>
  <si>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</si>
  <si>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</si>
  <si>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Discounts given</t>
  </si>
  <si>
    <t>Sales of Product Income</t>
  </si>
  <si>
    <t>Shipping Income</t>
  </si>
  <si>
    <t>Uncollectible Sales</t>
  </si>
  <si>
    <t>Total for Income</t>
  </si>
  <si>
    <t>Cost of Goods Sold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</si>
  <si>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</si>
  <si>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</si>
  <si>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</si>
  <si>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</si>
  <si>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</si>
  <si>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</si>
  <si>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71600 Placement/Freefill - COS</t>
  </si>
  <si>
    <t>Inventory Shrinkage</t>
  </si>
  <si>
    <t>Marketing Allowance</t>
  </si>
  <si>
    <t>On-Invoice Discounts</t>
  </si>
  <si>
    <t>Pass Thru Deduction</t>
  </si>
  <si>
    <t>QuickBooks Payments Fees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</si>
  <si>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</si>
  <si>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</si>
  <si>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</si>
  <si>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</si>
  <si>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</si>
  <si>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</si>
  <si>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</si>
  <si>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</si>
  <si>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</si>
  <si>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</si>
  <si>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</si>
  <si>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Gas</t>
  </si>
  <si>
    <t>Total for 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</si>
  <si>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</si>
  <si>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</si>
  <si>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</si>
  <si>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</si>
  <si>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</si>
  <si>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Slotting Fees</t>
  </si>
  <si>
    <t>Total for 72000 Marketing/Advertising</t>
  </si>
  <si>
    <t>73000 Overhead Expenses (G&amp;A)</t>
  </si>
  <si>
    <t>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</si>
  <si>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</si>
  <si>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</si>
  <si>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</si>
  <si>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</si>
  <si>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</si>
  <si>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Electricity</t>
  </si>
  <si>
    <t>Total for 73300 Utilities</t>
  </si>
  <si>
    <t>73400 Financial Fees</t>
  </si>
  <si>
    <t>73410 Bank Fees</t>
  </si>
  <si>
    <t>73420 Credit Card Fees</t>
  </si>
  <si>
    <t>73430 PayPal Fees</t>
  </si>
  <si>
    <t>73450 Interest Expense</t>
  </si>
  <si>
    <t>Total for 73400 Financial Fees</t>
  </si>
  <si>
    <t>73500 Dues &amp; Subscriptions</t>
  </si>
  <si>
    <t>73600 Insurance</t>
  </si>
  <si>
    <t>73620 Insurance - Liability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</si>
  <si>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</si>
  <si>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</si>
  <si>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</si>
  <si>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</si>
  <si>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</si>
  <si>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</si>
  <si>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</si>
  <si>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</si>
  <si>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</si>
  <si>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</si>
  <si>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74000 Bad Debts</t>
  </si>
  <si>
    <t>75000 Travel</t>
  </si>
  <si>
    <t>75500 Reimbursements</t>
  </si>
  <si>
    <t>76000 Repair &amp; Maintenance</t>
  </si>
  <si>
    <t>Melio Credit card fee</t>
  </si>
  <si>
    <t>Remittance Discrepancy</t>
  </si>
  <si>
    <t>Total for Expenses</t>
  </si>
  <si>
    <t>Net Operating Income</t>
  </si>
  <si>
    <t>Other Income</t>
  </si>
  <si>
    <t>80000 Interest Earned</t>
  </si>
  <si>
    <t>Total for Other Income</t>
  </si>
  <si>
    <t>Other Expenses</t>
  </si>
  <si>
    <t>Gains/Loss on Asset Sale/Disposal</t>
  </si>
  <si>
    <t>Reconciliation Discrepancies</t>
  </si>
  <si>
    <t>Total for Other Expenses</t>
  </si>
  <si>
    <t>Net Other Income</t>
  </si>
  <si>
    <t>Net Income</t>
  </si>
  <si>
    <t/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</si>
  <si>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</si>
  <si>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</si>
  <si>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</si>
  <si>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</si>
  <si>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</si>
  <si>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</si>
  <si>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</si>
  <si>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</si>
  <si>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</si>
  <si>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</si>
  <si>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</si>
  <si>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</si>
  <si>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Total</t>
  </si>
  <si>
    <t>Accrual Basis Tuesday, August 25, 2026 03:26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</si>
</sst>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27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6.125" style="43" customWidth="1"/>
    <col min="3" max="3" width="17" style="43" customWidth="1"/>
    <col min="4" max="6" width="16.125" style="43" customWidth="1"/>
    <col min="7" max="8" width="17" style="43" customWidth="1"/>
    <col min="9" max="11" width="16.125" style="43" customWidth="1"/>
    <col min="12" max="13" width="17" style="43" customWidth="1"/>
    <col min="14" max="1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120</v>
      </c>
      <c r="B5" s="50" t="s">
        <v>121</v>
      </c>
      <c r="C5" s="50" t="s">
        <v>122</v>
      </c>
      <c r="D5" s="50" t="s">
        <v>123</v>
      </c>
      <c r="E5" s="50" t="s">
        <v>124</v>
      </c>
      <c r="F5" s="50" t="s">
        <v>125</v>
      </c>
      <c r="G5" s="50" t="s">
        <v>126</v>
      </c>
      <c r="H5" s="50" t="s">
        <v>127</v>
      </c>
      <c r="I5" s="50" t="s">
        <v>128</v>
      </c>
      <c r="J5" s="50" t="s">
        <v>129</v>
      </c>
      <c r="K5" s="50" t="s">
        <v>130</v>
      </c>
      <c r="L5" s="50" t="s">
        <v>131</v>
      </c>
      <c r="M5" s="50" t="s">
        <v>132</v>
      </c>
      <c r="N5" s="50" t="s">
        <v>133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6"/>
      <c r="D7" s="46"/>
      <c r="E7" s="46"/>
      <c r="F7" s="46"/>
      <c r="G7" s="46"/>
      <c r="H7" s="47">
        <v>-222.0</v>
      </c>
      <c r="I7" s="46"/>
      <c r="J7" s="46"/>
      <c r="K7" s="47">
        <v>0</v>
      </c>
      <c r="L7" s="47">
        <v>0</v>
      </c>
      <c r="M7" s="46"/>
      <c r="N7" s="47">
        <f>B7+C7+D7+E7+F7+G7+H7+I7+J7+K7+L7+M7</f>
        <v>-222.0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7">
        <v>16289.64</v>
      </c>
      <c r="C9" s="47">
        <v>11525.76</v>
      </c>
      <c r="D9" s="47">
        <v>25386.24</v>
      </c>
      <c r="E9" s="47">
        <v>20909.88</v>
      </c>
      <c r="F9" s="47">
        <v>10321.98</v>
      </c>
      <c r="G9" s="47">
        <v>10869.5</v>
      </c>
      <c r="H9" s="47">
        <v>25378.74</v>
      </c>
      <c r="I9" s="47">
        <v>29199.72</v>
      </c>
      <c r="J9" s="47">
        <v>2521.02</v>
      </c>
      <c r="K9" s="47">
        <v>11480.64</v>
      </c>
      <c r="L9" s="47">
        <v>6954.0</v>
      </c>
      <c r="M9" s="47">
        <v>4919.64</v>
      </c>
      <c r="N9" s="47">
        <f>B9+C9+D9+E9+F9+G9+H9+I9+J9+K9+L9+M9</f>
        <v>175756.76</v>
      </c>
    </row>
    <row r="10" spans="1:14" ht="16">
      <c r="A10" s="39" t="s">
        <v>7</v>
      </c>
      <c r="B10" s="47">
        <v>628.2</v>
      </c>
      <c r="C10" s="47">
        <v>10753.32</v>
      </c>
      <c r="D10" s="47">
        <v>8685.56</v>
      </c>
      <c r="E10" s="47">
        <v>4563.22</v>
      </c>
      <c r="F10" s="47">
        <v>1572.8</v>
      </c>
      <c r="G10" s="47">
        <v>4789.26</v>
      </c>
      <c r="H10" s="47">
        <v>919.14</v>
      </c>
      <c r="I10" s="47">
        <v>1593.92</v>
      </c>
      <c r="J10" s="47">
        <v>1497.64</v>
      </c>
      <c r="K10" s="47">
        <v>8106.52</v>
      </c>
      <c r="L10" s="47">
        <v>21130.48</v>
      </c>
      <c r="M10" s="47">
        <v>16139.28</v>
      </c>
      <c r="N10" s="47">
        <f>B10+C10+D10+E10+F10+G10+H10+I10+J10+K10+L10+M10</f>
        <v>80379.34</v>
      </c>
    </row>
    <row r="11" spans="1:14" ht="16">
      <c r="A11" s="39" t="s">
        <v>8</v>
      </c>
      <c r="B11" s="47">
        <v>7315.98</v>
      </c>
      <c r="C11" s="47">
        <v>9215.28</v>
      </c>
      <c r="D11" s="47">
        <v>13922.16</v>
      </c>
      <c r="E11" s="47">
        <v>11883.84</v>
      </c>
      <c r="F11" s="47">
        <v>9152.1</v>
      </c>
      <c r="G11" s="47">
        <v>3887.76</v>
      </c>
      <c r="H11" s="47">
        <v>6648.24</v>
      </c>
      <c r="I11" s="47">
        <v>15350.16</v>
      </c>
      <c r="J11" s="47">
        <v>550.02</v>
      </c>
      <c r="K11" s="47">
        <v>15904.38</v>
      </c>
      <c r="L11" s="47">
        <v>13390.14</v>
      </c>
      <c r="M11" s="47">
        <v>14820.66</v>
      </c>
      <c r="N11" s="47">
        <f>B11+C11+D11+E11+F11+G11+H11+I11+J11+K11+L11+M11</f>
        <v>122040.72000000002</v>
      </c>
    </row>
    <row r="12" spans="1:14" ht="16">
      <c r="A12" s="39" t="s">
        <v>9</v>
      </c>
      <c r="B12" s="47">
        <v>276.0</v>
      </c>
      <c r="C12" s="47">
        <v>432.0</v>
      </c>
      <c r="D12" s="47">
        <v>132.0</v>
      </c>
      <c r="E12" s="47">
        <v>57.6</v>
      </c>
      <c r="F12" s="47">
        <v>115.2</v>
      </c>
      <c r="G12" s="47">
        <v>1094.4</v>
      </c>
      <c r="H12" s="47">
        <v>4915.2</v>
      </c>
      <c r="I12" s="47">
        <v>238.8</v>
      </c>
      <c r="J12" s="47">
        <v>313.2</v>
      </c>
      <c r="K12" s="47">
        <v>132.0</v>
      </c>
      <c r="L12" s="47">
        <v>345.6</v>
      </c>
      <c r="M12" s="47">
        <v>428.4</v>
      </c>
      <c r="N12" s="47">
        <f>B12+C12+D12+E12+F12+G12+H12+I12+J12+K12+L12+M12</f>
        <v>8480.4</v>
      </c>
    </row>
    <row r="13" spans="1:14" ht="16">
      <c r="A13" s="39" t="s">
        <v>10</v>
      </c>
      <c r="B13" s="46"/>
      <c r="C13" s="46"/>
      <c r="D13" s="47">
        <v>1380.0</v>
      </c>
      <c r="E13" s="47">
        <v>339.6</v>
      </c>
      <c r="F13" s="46"/>
      <c r="G13" s="47">
        <v>219.6</v>
      </c>
      <c r="H13" s="46"/>
      <c r="I13" s="46"/>
      <c r="J13" s="47">
        <v>15.0</v>
      </c>
      <c r="K13" s="47">
        <v>154.8</v>
      </c>
      <c r="L13" s="46"/>
      <c r="M13" s="47">
        <v>84.0</v>
      </c>
      <c r="N13" s="47">
        <f>B13+C13+D13+E13+F13+G13+H13+I13+J13+K13+L13+M13</f>
        <v>2193.0</v>
      </c>
    </row>
    <row r="14" spans="1:14" ht="16">
      <c r="A14" s="39" t="s">
        <v>11</v>
      </c>
      <c r="B14" s="47">
        <v>356.32</v>
      </c>
      <c r="C14" s="47">
        <v>15909.04</v>
      </c>
      <c r="D14" s="47">
        <v>11844.64</v>
      </c>
      <c r="E14" s="47">
        <v>550.96</v>
      </c>
      <c r="F14" s="47">
        <v>723.16</v>
      </c>
      <c r="G14" s="47">
        <v>1362.84</v>
      </c>
      <c r="H14" s="47">
        <v>2862.0</v>
      </c>
      <c r="I14" s="47">
        <v>198.6</v>
      </c>
      <c r="J14" s="47">
        <v>3554.08</v>
      </c>
      <c r="K14" s="47">
        <v>1861.6</v>
      </c>
      <c r="L14" s="47">
        <v>2162.84</v>
      </c>
      <c r="M14" s="47">
        <v>1254.28</v>
      </c>
      <c r="N14" s="47">
        <f>B14+C14+D14+E14+F14+G14+H14+I14+J14+K14+L14+M14</f>
        <v>42640.36</v>
      </c>
    </row>
    <row r="15" spans="1:14" ht="16">
      <c r="A15" s="39" t="s">
        <v>12</v>
      </c>
      <c r="B15" s="47">
        <v>15209.46</v>
      </c>
      <c r="C15" s="47">
        <v>8847.9</v>
      </c>
      <c r="D15" s="47">
        <v>18345.36</v>
      </c>
      <c r="E15" s="47">
        <v>13250.38</v>
      </c>
      <c r="F15" s="47">
        <v>9263.52</v>
      </c>
      <c r="G15" s="47">
        <v>6183.72</v>
      </c>
      <c r="H15" s="47">
        <v>6839.46</v>
      </c>
      <c r="I15" s="47">
        <v>9360.96</v>
      </c>
      <c r="J15" s="47">
        <v>3381.96</v>
      </c>
      <c r="K15" s="47">
        <v>6899.04</v>
      </c>
      <c r="L15" s="47">
        <v>6817.86</v>
      </c>
      <c r="M15" s="47">
        <v>4514.7</v>
      </c>
      <c r="N15" s="47">
        <f>B15+C15+D15+E15+F15+G15+H15+I15+J15+K15+L15+M15</f>
        <v>108914.32</v>
      </c>
    </row>
    <row r="16" spans="1:14" ht="16">
      <c r="A16" s="39" t="s">
        <v>13</v>
      </c>
      <c r="B16" s="47">
        <v>188.4</v>
      </c>
      <c r="C16" s="47">
        <v>47.4</v>
      </c>
      <c r="D16" s="47">
        <v>304.0</v>
      </c>
      <c r="E16" s="46"/>
      <c r="F16" s="47">
        <v>4468.8</v>
      </c>
      <c r="G16" s="47">
        <v>6361.2</v>
      </c>
      <c r="H16" s="47">
        <v>192.0</v>
      </c>
      <c r="I16" s="47">
        <v>138.0</v>
      </c>
      <c r="J16" s="46"/>
      <c r="K16" s="47">
        <v>326.4</v>
      </c>
      <c r="L16" s="47">
        <v>48.0</v>
      </c>
      <c r="M16" s="47">
        <v>240.0</v>
      </c>
      <c r="N16" s="47">
        <f>B16+C16+D16+E16+F16+G16+H16+I16+J16+K16+L16+M16</f>
        <v>12314.199999999999</v>
      </c>
    </row>
    <row r="17" spans="1:14" ht="16">
      <c r="A17" s="39" t="s">
        <v>14</v>
      </c>
      <c r="B17" s="47">
        <v>2141.22</v>
      </c>
      <c r="C17" s="47">
        <v>4748.22</v>
      </c>
      <c r="D17" s="47">
        <v>16201.0</v>
      </c>
      <c r="E17" s="47">
        <v>4957.1</v>
      </c>
      <c r="F17" s="47">
        <v>3210.66</v>
      </c>
      <c r="G17" s="47">
        <v>4338.28</v>
      </c>
      <c r="H17" s="47">
        <v>5868.14</v>
      </c>
      <c r="I17" s="47">
        <v>3588.48</v>
      </c>
      <c r="J17" s="47">
        <v>1083.72</v>
      </c>
      <c r="K17" s="47">
        <v>2160.06</v>
      </c>
      <c r="L17" s="47">
        <v>2202.74</v>
      </c>
      <c r="M17" s="47">
        <v>3614.52</v>
      </c>
      <c r="N17" s="47">
        <f>B17+C17+D17+E17+F17+G17+H17+I17+J17+K17+L17+M17</f>
        <v>54114.14</v>
      </c>
    </row>
    <row r="18" spans="1:14" ht="16">
      <c r="A18" s="39" t="s">
        <v>15</v>
      </c>
      <c r="B18" s="47">
        <v>7770.24</v>
      </c>
      <c r="C18" s="47">
        <v>17007.68</v>
      </c>
      <c r="D18" s="47">
        <v>21710.9</v>
      </c>
      <c r="E18" s="47">
        <v>13844.72</v>
      </c>
      <c r="F18" s="47">
        <v>15728.72</v>
      </c>
      <c r="G18" s="47">
        <v>9296.2</v>
      </c>
      <c r="H18" s="47">
        <v>15407.18</v>
      </c>
      <c r="I18" s="47">
        <v>21881.52</v>
      </c>
      <c r="J18" s="47">
        <v>4523.68</v>
      </c>
      <c r="K18" s="47">
        <v>15982.44</v>
      </c>
      <c r="L18" s="47">
        <v>22173.16</v>
      </c>
      <c r="M18" s="47">
        <v>23823.4</v>
      </c>
      <c r="N18" s="47">
        <f>B18+C18+D18+E18+F18+G18+H18+I18+J18+K18+L18+M18</f>
        <v>189149.84</v>
      </c>
    </row>
    <row r="19" spans="1:14" ht="16">
      <c r="A19" s="39" t="s">
        <v>16</v>
      </c>
      <c r="B19" s="47">
        <v>3142.08</v>
      </c>
      <c r="C19" s="47">
        <v>1249.44</v>
      </c>
      <c r="D19" s="47">
        <v>15298.8</v>
      </c>
      <c r="E19" s="47">
        <v>4872.36</v>
      </c>
      <c r="F19" s="47">
        <v>5149.32</v>
      </c>
      <c r="G19" s="47">
        <v>1259.28</v>
      </c>
      <c r="H19" s="47">
        <v>5023.98</v>
      </c>
      <c r="I19" s="47">
        <v>10928.04</v>
      </c>
      <c r="J19" s="47">
        <v>1866.6</v>
      </c>
      <c r="K19" s="47">
        <v>3504.24</v>
      </c>
      <c r="L19" s="47">
        <v>142.68</v>
      </c>
      <c r="M19" s="47">
        <v>2005.86</v>
      </c>
      <c r="N19" s="47">
        <f>B19+C19+D19+E19+F19+G19+H19+I19+J19+K19+L19+M19</f>
        <v>54442.67999999999</v>
      </c>
    </row>
    <row r="20" spans="1:14" ht="16">
      <c r="A20" s="39" t="s">
        <v>17</v>
      </c>
      <c r="B20" s="47">
        <v>3727.92</v>
      </c>
      <c r="C20" s="47">
        <v>17170.28</v>
      </c>
      <c r="D20" s="47">
        <v>15078.4</v>
      </c>
      <c r="E20" s="47">
        <v>3268.16</v>
      </c>
      <c r="F20" s="47">
        <v>2754.22</v>
      </c>
      <c r="G20" s="47">
        <v>2782.36</v>
      </c>
      <c r="H20" s="47">
        <v>4005.6</v>
      </c>
      <c r="I20" s="47">
        <v>10757.92</v>
      </c>
      <c r="J20" s="47">
        <v>3903.4</v>
      </c>
      <c r="K20" s="47">
        <v>7116.24</v>
      </c>
      <c r="L20" s="47">
        <v>6937.52</v>
      </c>
      <c r="M20" s="47">
        <v>2120.44</v>
      </c>
      <c r="N20" s="47">
        <f>B20+C20+D20+E20+F20+G20+H20+I20+J20+K20+L20+M20</f>
        <v>79622.46</v>
      </c>
    </row>
    <row r="21" spans="1:14" ht="16">
      <c r="A21" s="40" t="s">
        <v>18</v>
      </c>
      <c r="B21" s="48">
        <f>B8+B9+B10+B11+B12+B13+B14+B15+B16+B17+B18+B19+B20</f>
        <v>57045.46</v>
      </c>
      <c r="C21" s="48">
        <f>C8+C9+C10+C11+C12+C13+C14+C15+C16+C17+C18+C19+C20</f>
        <v>96906.32</v>
      </c>
      <c r="D21" s="48">
        <f>D8+D9+D10+D11+D12+D13+D14+D15+D16+D17+D18+D19+D20</f>
        <v>148289.06</v>
      </c>
      <c r="E21" s="48">
        <f>E8+E9+E10+E11+E12+E13+E14+E15+E16+E17+E18+E19+E20</f>
        <v>78497.81999999999</v>
      </c>
      <c r="F21" s="48">
        <f>F8+F9+F10+F11+F12+F13+F14+F15+F16+F17+F18+F19+F20</f>
        <v>62460.48</v>
      </c>
      <c r="G21" s="48">
        <f>G8+G9+G10+G11+G12+G13+G14+G15+G16+G17+G18+G19+G20</f>
        <v>52444.399999999994</v>
      </c>
      <c r="H21" s="48">
        <f>H8+H9+H10+H11+H12+H13+H14+H15+H16+H17+H18+H19+H20</f>
        <v>78059.68000000001</v>
      </c>
      <c r="I21" s="48">
        <f>I8+I9+I10+I11+I12+I13+I14+I15+I16+I17+I18+I19+I20</f>
        <v>103236.12000000001</v>
      </c>
      <c r="J21" s="48">
        <f>J8+J9+J10+J11+J12+J13+J14+J15+J16+J17+J18+J19+J20</f>
        <v>23210.32</v>
      </c>
      <c r="K21" s="48">
        <f>K8+K9+K10+K11+K12+K13+K14+K15+K16+K17+K18+K19+K20</f>
        <v>73628.36000000002</v>
      </c>
      <c r="L21" s="48">
        <f>L8+L9+L10+L11+L12+L13+L14+L15+L16+L17+L18+L19+L20</f>
        <v>82305.01999999999</v>
      </c>
      <c r="M21" s="48">
        <f>M8+M9+M10+M11+M12+M13+M14+M15+M16+M17+M18+M19+M20</f>
        <v>73965.18000000001</v>
      </c>
      <c r="N21" s="49">
        <f>B21+C21+D21+E21+F21+G21+H21+I21+J21+K21+L21+M21</f>
        <v>930048.22</v>
      </c>
    </row>
    <row r="22" spans="1:14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16">
      <c r="A23" s="39" t="s">
        <v>20</v>
      </c>
      <c r="B23" s="47">
        <v>125.28</v>
      </c>
      <c r="C23" s="47">
        <v>172.68</v>
      </c>
      <c r="D23" s="47">
        <v>400.0</v>
      </c>
      <c r="E23" s="47">
        <v>2600.0</v>
      </c>
      <c r="F23" s="46"/>
      <c r="G23" s="47">
        <v>373.44</v>
      </c>
      <c r="H23" s="47">
        <v>340.0</v>
      </c>
      <c r="I23" s="47">
        <v>470.88</v>
      </c>
      <c r="J23" s="46"/>
      <c r="K23" s="47">
        <v>1098.6</v>
      </c>
      <c r="L23" s="47">
        <v>48.0</v>
      </c>
      <c r="M23" s="47">
        <v>350.64</v>
      </c>
      <c r="N23" s="47">
        <f>B23+C23+D23+E23+F23+G23+H23+I23+J23+K23+L23+M23</f>
        <v>5979.5199999999995</v>
      </c>
    </row>
    <row r="24" spans="1:14" ht="16">
      <c r="A24" s="39" t="s">
        <v>21</v>
      </c>
      <c r="B24" s="46"/>
      <c r="C24" s="46"/>
      <c r="D24" s="46"/>
      <c r="E24" s="46"/>
      <c r="F24" s="47">
        <v>62.64</v>
      </c>
      <c r="G24" s="46"/>
      <c r="H24" s="46"/>
      <c r="I24" s="46"/>
      <c r="J24" s="46"/>
      <c r="K24" s="46"/>
      <c r="L24" s="46"/>
      <c r="M24" s="46"/>
      <c r="N24" s="47">
        <f>B24+C24+D24+E24+F24+G24+H24+I24+J24+K24+L24+M24</f>
        <v>62.64</v>
      </c>
    </row>
    <row r="25" spans="1:14" ht="16">
      <c r="A25" s="40" t="s">
        <v>22</v>
      </c>
      <c r="B25" s="48">
        <f>B22+B23+B24</f>
        <v>125.28</v>
      </c>
      <c r="C25" s="48">
        <f>C22+C23+C24</f>
        <v>172.68</v>
      </c>
      <c r="D25" s="48">
        <f>D22+D23+D24</f>
        <v>400.0</v>
      </c>
      <c r="E25" s="48">
        <f>E22+E23+E24</f>
        <v>2600.0</v>
      </c>
      <c r="F25" s="48">
        <f>F22+F23+F24</f>
        <v>62.64</v>
      </c>
      <c r="G25" s="48">
        <f>G22+G23+G24</f>
        <v>373.44</v>
      </c>
      <c r="H25" s="48">
        <f>H22+H23+H24</f>
        <v>340.0</v>
      </c>
      <c r="I25" s="48">
        <f>I22+I23+I24</f>
        <v>470.88</v>
      </c>
      <c r="J25" s="49">
        <f>J22+J23+J24</f>
        <v>0.0</v>
      </c>
      <c r="K25" s="48">
        <f>K22+K23+K24</f>
        <v>1098.6</v>
      </c>
      <c r="L25" s="48">
        <f>L22+L23+L24</f>
        <v>48.0</v>
      </c>
      <c r="M25" s="48">
        <f>M22+M23+M24</f>
        <v>350.64</v>
      </c>
      <c r="N25" s="49">
        <f>B25+C25+D25+E25+F25+G25+H25+I25+J25+K25+L25+M25</f>
        <v>6042.160000000001</v>
      </c>
    </row>
    <row r="26" spans="1:14" ht="16">
      <c r="A26" s="38" t="s">
        <v>23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ht="16">
      <c r="A27" s="39" t="s">
        <v>24</v>
      </c>
      <c r="B27" s="47">
        <v>18228.54</v>
      </c>
      <c r="C27" s="47">
        <v>12199.38</v>
      </c>
      <c r="D27" s="47">
        <v>1374.0</v>
      </c>
      <c r="E27" s="47">
        <v>3920.58</v>
      </c>
      <c r="F27" s="47">
        <v>5993.64</v>
      </c>
      <c r="G27" s="47">
        <v>5886.0</v>
      </c>
      <c r="H27" s="47">
        <v>2916.0</v>
      </c>
      <c r="I27" s="47">
        <v>10601.94</v>
      </c>
      <c r="J27" s="47">
        <v>1512.0</v>
      </c>
      <c r="K27" s="47">
        <v>3945.54</v>
      </c>
      <c r="L27" s="47">
        <v>1350.0</v>
      </c>
      <c r="M27" s="47">
        <v>1731.54</v>
      </c>
      <c r="N27" s="47">
        <f>B27+C27+D27+E27+F27+G27+H27+I27+J27+K27+L27+M27</f>
        <v>69659.15999999999</v>
      </c>
    </row>
    <row r="28" spans="1:14" ht="16">
      <c r="A28" s="39" t="s">
        <v>25</v>
      </c>
      <c r="B28" s="47">
        <v>1614.6</v>
      </c>
      <c r="C28" s="47">
        <v>864.0</v>
      </c>
      <c r="D28" s="47">
        <v>540.0</v>
      </c>
      <c r="E28" s="47">
        <v>3041.1</v>
      </c>
      <c r="F28" s="47">
        <v>3168.0</v>
      </c>
      <c r="G28" s="47">
        <v>1188.0</v>
      </c>
      <c r="H28" s="47">
        <v>694.0</v>
      </c>
      <c r="I28" s="47">
        <v>1872.0</v>
      </c>
      <c r="J28" s="46"/>
      <c r="K28" s="47">
        <v>396.0</v>
      </c>
      <c r="L28" s="47">
        <v>936.0</v>
      </c>
      <c r="M28" s="47">
        <v>774.0</v>
      </c>
      <c r="N28" s="47">
        <f>B28+C28+D28+E28+F28+G28+H28+I28+J28+K28+L28+M28</f>
        <v>15087.7</v>
      </c>
    </row>
    <row r="29" spans="1:14" ht="16">
      <c r="A29" s="39" t="s">
        <v>26</v>
      </c>
      <c r="B29" s="47">
        <v>1633.5</v>
      </c>
      <c r="C29" s="47">
        <v>1944.0</v>
      </c>
      <c r="D29" s="47">
        <v>540.0</v>
      </c>
      <c r="E29" s="47">
        <v>3547.74</v>
      </c>
      <c r="F29" s="47">
        <v>3348.0</v>
      </c>
      <c r="G29" s="47">
        <v>1080.0</v>
      </c>
      <c r="H29" s="47">
        <v>54.0</v>
      </c>
      <c r="I29" s="47">
        <v>2322.0</v>
      </c>
      <c r="J29" s="47">
        <v>324.0</v>
      </c>
      <c r="K29" s="47">
        <v>324.0</v>
      </c>
      <c r="L29" s="47">
        <v>1620.0</v>
      </c>
      <c r="M29" s="47">
        <v>1407.54</v>
      </c>
      <c r="N29" s="47">
        <f>B29+C29+D29+E29+F29+G29+H29+I29+J29+K29+L29+M29</f>
        <v>18144.78</v>
      </c>
    </row>
    <row r="30" spans="1:14" ht="16">
      <c r="A30" s="40" t="s">
        <v>27</v>
      </c>
      <c r="B30" s="48">
        <f>B26+B27+B28+B29</f>
        <v>21476.64</v>
      </c>
      <c r="C30" s="48">
        <f>C26+C27+C28+C29</f>
        <v>15007.38</v>
      </c>
      <c r="D30" s="48">
        <f>D26+D27+D28+D29</f>
        <v>2454.0</v>
      </c>
      <c r="E30" s="48">
        <f>E26+E27+E28+E29</f>
        <v>10509.42</v>
      </c>
      <c r="F30" s="48">
        <f>F26+F27+F28+F29</f>
        <v>12509.64</v>
      </c>
      <c r="G30" s="48">
        <f>G26+G27+G28+G29</f>
        <v>8154.0</v>
      </c>
      <c r="H30" s="48">
        <f>H26+H27+H28+H29</f>
        <v>3664.0</v>
      </c>
      <c r="I30" s="48">
        <f>I26+I27+I28+I29</f>
        <v>14795.94</v>
      </c>
      <c r="J30" s="48">
        <f>J26+J27+J28+J29</f>
        <v>1836.0</v>
      </c>
      <c r="K30" s="48">
        <f>K26+K27+K28+K29</f>
        <v>4665.54</v>
      </c>
      <c r="L30" s="48">
        <f>L26+L27+L28+L29</f>
        <v>3906.0</v>
      </c>
      <c r="M30" s="48">
        <f>M26+M27+M28+M29</f>
        <v>3913.08</v>
      </c>
      <c r="N30" s="49">
        <f>B30+C30+D30+E30+F30+G30+H30+I30+J30+K30+L30+M30</f>
        <v>102891.63999999998</v>
      </c>
    </row>
    <row r="31" spans="1:14" ht="16">
      <c r="A31" s="38" t="s">
        <v>28</v>
      </c>
      <c r="B31" s="47">
        <v>50380.02</v>
      </c>
      <c r="C31" s="47">
        <v>30899.04</v>
      </c>
      <c r="D31" s="47">
        <v>36388.8</v>
      </c>
      <c r="E31" s="47">
        <v>2503.5</v>
      </c>
      <c r="F31" s="47">
        <v>21268.8</v>
      </c>
      <c r="G31" s="47">
        <v>48939.72</v>
      </c>
      <c r="H31" s="47">
        <v>444.0</v>
      </c>
      <c r="I31" s="47">
        <v>27028.8</v>
      </c>
      <c r="J31" s="47">
        <v>920.0</v>
      </c>
      <c r="K31" s="47">
        <v>47854.8</v>
      </c>
      <c r="L31" s="47">
        <v>21268.8</v>
      </c>
      <c r="M31" s="47">
        <v>4837.24</v>
      </c>
      <c r="N31" s="47">
        <f>B31+C31+D31+E31+F31+G31+H31+I31+J31+K31+L31+M31</f>
        <v>292733.51999999996</v>
      </c>
    </row>
    <row r="32" spans="1:14" ht="16">
      <c r="A32" s="38" t="s">
        <v>29</v>
      </c>
      <c r="B32" s="46"/>
      <c r="C32" s="47">
        <v>4950.0</v>
      </c>
      <c r="D32" s="47">
        <v>8487.0</v>
      </c>
      <c r="E32" s="47">
        <v>11401.0</v>
      </c>
      <c r="F32" s="47">
        <v>4857.0</v>
      </c>
      <c r="G32" s="47">
        <v>10922.0</v>
      </c>
      <c r="H32" s="47">
        <v>11834.0</v>
      </c>
      <c r="I32" s="47">
        <v>5110.0</v>
      </c>
      <c r="J32" s="47">
        <v>6260.0</v>
      </c>
      <c r="K32" s="47">
        <v>9958.0</v>
      </c>
      <c r="L32" s="47">
        <v>15259.0</v>
      </c>
      <c r="M32" s="47">
        <v>7331.0</v>
      </c>
      <c r="N32" s="47">
        <f>B32+C32+D32+E32+F32+G32+H32+I32+J32+K32+L32+M32</f>
        <v>96369.0</v>
      </c>
    </row>
    <row r="33" spans="1:14" ht="16">
      <c r="A33" s="38" t="s">
        <v>30</v>
      </c>
      <c r="B33" s="46"/>
      <c r="C33" s="47">
        <v>250.0</v>
      </c>
      <c r="D33" s="47">
        <v>1516.0</v>
      </c>
      <c r="E33" s="46"/>
      <c r="F33" s="46"/>
      <c r="G33" s="46"/>
      <c r="H33" s="47">
        <v>805.0</v>
      </c>
      <c r="I33" s="47">
        <v>878.0</v>
      </c>
      <c r="J33" s="46"/>
      <c r="K33" s="47">
        <v>569.0</v>
      </c>
      <c r="L33" s="46"/>
      <c r="M33" s="46"/>
      <c r="N33" s="47">
        <f>B33+C33+D33+E33+F33+G33+H33+I33+J33+K33+L33+M33</f>
        <v>4018.0</v>
      </c>
    </row>
    <row r="34" spans="1:14" ht="16">
      <c r="A34" s="38" t="s">
        <v>31</v>
      </c>
      <c r="B34" s="47">
        <v>15641.39</v>
      </c>
      <c r="C34" s="47">
        <v>20834.65</v>
      </c>
      <c r="D34" s="47">
        <v>15329.73</v>
      </c>
      <c r="E34" s="47">
        <v>12819.6</v>
      </c>
      <c r="F34" s="47">
        <v>17301.69</v>
      </c>
      <c r="G34" s="47">
        <v>8089.25</v>
      </c>
      <c r="H34" s="47">
        <v>6541.68</v>
      </c>
      <c r="I34" s="47">
        <v>11921.64</v>
      </c>
      <c r="J34" s="47">
        <v>9066.22</v>
      </c>
      <c r="K34" s="47">
        <v>4983.33</v>
      </c>
      <c r="L34" s="47">
        <v>18738.75</v>
      </c>
      <c r="M34" s="47">
        <v>11935.75</v>
      </c>
      <c r="N34" s="47">
        <f>B34+C34+D34+E34+F34+G34+H34+I34+J34+K34+L34+M34</f>
        <v>153203.68</v>
      </c>
    </row>
    <row r="35" spans="1:14" ht="16">
      <c r="A35" s="38" t="s">
        <v>32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 ht="16">
      <c r="A36" s="39" t="s">
        <v>33</v>
      </c>
      <c r="B36" s="47">
        <v>13076.3</v>
      </c>
      <c r="C36" s="47">
        <v>7317.75</v>
      </c>
      <c r="D36" s="47">
        <v>17637.5</v>
      </c>
      <c r="E36" s="47">
        <v>9108.83</v>
      </c>
      <c r="F36" s="47">
        <v>18345.87</v>
      </c>
      <c r="G36" s="47">
        <v>12337.51</v>
      </c>
      <c r="H36" s="47">
        <v>12075.14</v>
      </c>
      <c r="I36" s="47">
        <v>20033.07</v>
      </c>
      <c r="J36" s="47">
        <v>8265.5</v>
      </c>
      <c r="K36" s="47">
        <v>12904.78</v>
      </c>
      <c r="L36" s="47">
        <v>5857.6</v>
      </c>
      <c r="M36" s="47">
        <v>10525.03</v>
      </c>
      <c r="N36" s="47">
        <f>B36+C36+D36+E36+F36+G36+H36+I36+J36+K36+L36+M36</f>
        <v>147484.88</v>
      </c>
    </row>
    <row r="37" spans="1:14" ht="16">
      <c r="A37" s="40" t="s">
        <v>34</v>
      </c>
      <c r="B37" s="48">
        <f>B35+B36</f>
        <v>13076.3</v>
      </c>
      <c r="C37" s="48">
        <f>C35+C36</f>
        <v>7317.75</v>
      </c>
      <c r="D37" s="48">
        <f>D35+D36</f>
        <v>17637.5</v>
      </c>
      <c r="E37" s="48">
        <f>E35+E36</f>
        <v>9108.83</v>
      </c>
      <c r="F37" s="48">
        <f>F35+F36</f>
        <v>18345.87</v>
      </c>
      <c r="G37" s="48">
        <f>G35+G36</f>
        <v>12337.51</v>
      </c>
      <c r="H37" s="48">
        <f>H35+H36</f>
        <v>12075.14</v>
      </c>
      <c r="I37" s="48">
        <f>I35+I36</f>
        <v>20033.07</v>
      </c>
      <c r="J37" s="48">
        <f>J35+J36</f>
        <v>8265.5</v>
      </c>
      <c r="K37" s="48">
        <f>K35+K36</f>
        <v>12904.78</v>
      </c>
      <c r="L37" s="48">
        <f>L35+L36</f>
        <v>5857.6</v>
      </c>
      <c r="M37" s="48">
        <f>M35+M36</f>
        <v>10525.03</v>
      </c>
      <c r="N37" s="49">
        <f>B37+C37+D37+E37+F37+G37+H37+I37+J37+K37+L37+M37</f>
        <v>147484.88</v>
      </c>
    </row>
    <row r="38" spans="1:14" ht="16">
      <c r="A38" s="41" t="s">
        <v>35</v>
      </c>
      <c r="B38" s="48">
        <f>B7+B21+B25+B30+B31+B32+B33+B34+B37</f>
        <v>157745.08999999997</v>
      </c>
      <c r="C38" s="48">
        <f>C7+C21+C25+C30+C31+C32+C33+C34+C37</f>
        <v>176337.82</v>
      </c>
      <c r="D38" s="48">
        <f>D7+D21+D25+D30+D31+D32+D33+D34+D37</f>
        <v>230502.09</v>
      </c>
      <c r="E38" s="48">
        <f>E7+E21+E25+E30+E31+E32+E33+E34+E37</f>
        <v>127440.17</v>
      </c>
      <c r="F38" s="48">
        <f>F7+F21+F25+F30+F31+F32+F33+F34+F37</f>
        <v>136806.12000000002</v>
      </c>
      <c r="G38" s="48">
        <f>G7+G21+G25+G30+G31+G32+G33+G34+G37</f>
        <v>141260.32</v>
      </c>
      <c r="H38" s="48">
        <f>H7+H21+H25+H30+H31+H32+H33+H34+H37</f>
        <v>113541.50000000001</v>
      </c>
      <c r="I38" s="48">
        <f>I7+I21+I25+I30+I31+I32+I33+I34+I37</f>
        <v>183474.45</v>
      </c>
      <c r="J38" s="48">
        <f>J7+J21+J25+J30+J31+J32+J33+J34+J37</f>
        <v>49558.04</v>
      </c>
      <c r="K38" s="48">
        <f>K7+K21+K25+K30+K31+K32+K33+K34+K37</f>
        <v>155662.41</v>
      </c>
      <c r="L38" s="48">
        <f>L7+L21+L25+L30+L31+L32+L33+L34+L37</f>
        <v>147383.17</v>
      </c>
      <c r="M38" s="48">
        <f>M7+M21+M25+M30+M31+M32+M33+M34+M37</f>
        <v>112857.92000000001</v>
      </c>
      <c r="N38" s="49">
        <f>B38+C38+D38+E38+F38+G38+H38+I38+J38+K38+L38+M38</f>
        <v>1732569.0999999999</v>
      </c>
    </row>
    <row r="39" spans="1:14" ht="16">
      <c r="A39" s="37" t="s">
        <v>36</v>
      </c>
      <c r="B39" s="46"/>
      <c r="C39" s="46"/>
      <c r="D39" s="47">
        <v>5456.02</v>
      </c>
      <c r="E39" s="47">
        <v>-333.0</v>
      </c>
      <c r="F39" s="46"/>
      <c r="G39" s="46"/>
      <c r="H39" s="47">
        <v>334.26</v>
      </c>
      <c r="I39" s="46"/>
      <c r="J39" s="47">
        <v>234.89</v>
      </c>
      <c r="K39" s="46"/>
      <c r="L39" s="46"/>
      <c r="M39" s="46"/>
      <c r="N39" s="47">
        <f>B39+C39+D39+E39+F39+G39+H39+I39+J39+K39+L39+M39</f>
        <v>5692.170000000001</v>
      </c>
    </row>
    <row r="40" spans="1:14" ht="16">
      <c r="A40" s="37" t="s">
        <v>37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51">
        <v>0</v>
      </c>
      <c r="N40" s="51">
        <f>B40+C40+D40+E40+F40+G40+H40+I40+J40+K40+L40+M40</f>
        <v>0.0</v>
      </c>
    </row>
    <row r="41" spans="1:14" ht="16">
      <c r="A41" s="37" t="s">
        <v>38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7">
        <v>-201.37</v>
      </c>
      <c r="N41" s="47">
        <f>B41+C41+D41+E41+F41+G41+H41+I41+J41+K41+L41+M41</f>
        <v>-201.37</v>
      </c>
    </row>
    <row r="42" spans="1:14" ht="16">
      <c r="A42" s="37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7">
        <v>250.0</v>
      </c>
      <c r="L42" s="46"/>
      <c r="M42" s="46"/>
      <c r="N42" s="47">
        <f>B42+C42+D42+E42+F42+G42+H42+I42+J42+K42+L42+M42</f>
        <v>250.0</v>
      </c>
    </row>
    <row r="43" spans="1:14" ht="16">
      <c r="A43" s="37" t="s">
        <v>40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7">
        <v>16409.0</v>
      </c>
      <c r="N43" s="47">
        <f>B43+C43+D43+E43+F43+G43+H43+I43+J43+K43+L43+M43</f>
        <v>16409.0</v>
      </c>
    </row>
    <row r="44" spans="1:14" ht="16">
      <c r="A44" s="42" t="s">
        <v>41</v>
      </c>
      <c r="B44" s="48">
        <f>B6+B38+B39+B40+B41+B42+B43</f>
        <v>157745.08999999997</v>
      </c>
      <c r="C44" s="48">
        <f>C6+C38+C39+C40+C41+C42+C43</f>
        <v>176337.82</v>
      </c>
      <c r="D44" s="48">
        <f>D6+D38+D39+D40+D41+D42+D43</f>
        <v>235958.11</v>
      </c>
      <c r="E44" s="48">
        <f>E6+E38+E39+E40+E41+E42+E43</f>
        <v>127107.17</v>
      </c>
      <c r="F44" s="48">
        <f>F6+F38+F39+F40+F41+F42+F43</f>
        <v>136806.12000000002</v>
      </c>
      <c r="G44" s="48">
        <f>G6+G38+G39+G40+G41+G42+G43</f>
        <v>141260.32</v>
      </c>
      <c r="H44" s="48">
        <f>H6+H38+H39+H40+H41+H42+H43</f>
        <v>113875.76000000001</v>
      </c>
      <c r="I44" s="48">
        <f>I6+I38+I39+I40+I41+I42+I43</f>
        <v>183474.45</v>
      </c>
      <c r="J44" s="48">
        <f>J6+J38+J39+J40+J41+J42+J43</f>
        <v>49792.93</v>
      </c>
      <c r="K44" s="48">
        <f>K6+K38+K39+K40+K41+K42+K43</f>
        <v>155912.41</v>
      </c>
      <c r="L44" s="48">
        <f>L6+L38+L39+L40+L41+L42+L43</f>
        <v>147383.17</v>
      </c>
      <c r="M44" s="48">
        <f>M6+M38+M39+M40+M41+M42+M43</f>
        <v>129065.55000000002</v>
      </c>
      <c r="N44" s="49">
        <f>B44+C44+D44+E44+F44+G44+H44+I44+J44+K44+L44+M44</f>
        <v>1754718.9</v>
      </c>
    </row>
    <row r="45" spans="1:13" ht="16">
      <c r="A45" s="36" t="s">
        <v>42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4" ht="16">
      <c r="A46" s="37" t="s">
        <v>43</v>
      </c>
      <c r="B46" s="47">
        <v>-10677.09</v>
      </c>
      <c r="C46" s="47">
        <v>78744.81</v>
      </c>
      <c r="D46" s="47">
        <v>-44324.88</v>
      </c>
      <c r="E46" s="47">
        <v>-5462.69</v>
      </c>
      <c r="F46" s="47">
        <v>28170.46</v>
      </c>
      <c r="G46" s="47">
        <v>8657.48</v>
      </c>
      <c r="H46" s="47">
        <v>-2621.53</v>
      </c>
      <c r="I46" s="47">
        <v>12337.31</v>
      </c>
      <c r="J46" s="47">
        <v>16159.16</v>
      </c>
      <c r="K46" s="47">
        <v>9277.54</v>
      </c>
      <c r="L46" s="47">
        <v>5344.21</v>
      </c>
      <c r="M46" s="47">
        <v>7845.93</v>
      </c>
      <c r="N46" s="47">
        <f>B46+C46+D46+E46+F46+G46+H46+I46+J46+K46+L46+M46</f>
        <v>103450.71000000002</v>
      </c>
    </row>
    <row r="47" spans="1:14" ht="16">
      <c r="A47" s="38" t="s">
        <v>44</v>
      </c>
      <c r="B47" s="47">
        <v>21892.13</v>
      </c>
      <c r="C47" s="47">
        <v>13713.33</v>
      </c>
      <c r="D47" s="47">
        <v>11356.88</v>
      </c>
      <c r="E47" s="47">
        <v>11284.75</v>
      </c>
      <c r="F47" s="47">
        <v>9354.34</v>
      </c>
      <c r="G47" s="47">
        <v>11767.45</v>
      </c>
      <c r="H47" s="47">
        <v>11878.58</v>
      </c>
      <c r="I47" s="47">
        <v>9197.67</v>
      </c>
      <c r="J47" s="47">
        <v>6899.32</v>
      </c>
      <c r="K47" s="47">
        <v>8572.85</v>
      </c>
      <c r="L47" s="47">
        <v>10445.54</v>
      </c>
      <c r="M47" s="47">
        <v>8139.89</v>
      </c>
      <c r="N47" s="47">
        <f>B47+C47+D47+E47+F47+G47+H47+I47+J47+K47+L47+M47</f>
        <v>134502.73</v>
      </c>
    </row>
    <row r="48" spans="1:14" ht="16">
      <c r="A48" s="38" t="s">
        <v>45</v>
      </c>
      <c r="B48" s="46"/>
      <c r="C48" s="46"/>
      <c r="D48" s="46"/>
      <c r="E48" s="46"/>
      <c r="F48" s="47">
        <v>194.6</v>
      </c>
      <c r="G48" s="47">
        <v>426.74</v>
      </c>
      <c r="H48" s="47">
        <v>1153.71</v>
      </c>
      <c r="I48" s="47">
        <v>1909.82</v>
      </c>
      <c r="J48" s="47">
        <v>377.18</v>
      </c>
      <c r="K48" s="47">
        <v>888.79</v>
      </c>
      <c r="L48" s="47">
        <v>1097.51</v>
      </c>
      <c r="M48" s="47">
        <v>1273.27</v>
      </c>
      <c r="N48" s="47">
        <f>B48+C48+D48+E48+F48+G48+H48+I48+J48+K48+L48+M48</f>
        <v>7321.620000000001</v>
      </c>
    </row>
    <row r="49" spans="1:14" ht="16">
      <c r="A49" s="38" t="s">
        <v>46</v>
      </c>
      <c r="B49" s="47">
        <v>18.17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>
        <f>B49+C49+D49+E49+F49+G49+H49+I49+J49+K49+L49+M49</f>
        <v>18.17</v>
      </c>
    </row>
    <row r="50" spans="1:14" ht="16">
      <c r="A50" s="38" t="s">
        <v>47</v>
      </c>
      <c r="B50" s="47">
        <v>113586.38</v>
      </c>
      <c r="C50" s="47">
        <v>106759.47</v>
      </c>
      <c r="D50" s="47">
        <v>98215.76</v>
      </c>
      <c r="E50" s="47">
        <v>75717.72</v>
      </c>
      <c r="F50" s="47">
        <v>52913.25</v>
      </c>
      <c r="G50" s="47">
        <v>53991.54</v>
      </c>
      <c r="H50" s="47">
        <v>58096.35</v>
      </c>
      <c r="I50" s="47">
        <v>114915.66</v>
      </c>
      <c r="J50" s="47">
        <v>26535.09</v>
      </c>
      <c r="K50" s="47">
        <v>51033.5</v>
      </c>
      <c r="L50" s="47">
        <v>56556.01</v>
      </c>
      <c r="M50" s="47">
        <v>54070.27</v>
      </c>
      <c r="N50" s="47">
        <f>B50+C50+D50+E50+F50+G50+H50+I50+J50+K50+L50+M50</f>
        <v>862391.0</v>
      </c>
    </row>
    <row r="51" spans="1:14" ht="16">
      <c r="A51" s="38" t="s">
        <v>48</v>
      </c>
      <c r="B51" s="46"/>
      <c r="C51" s="46"/>
      <c r="D51" s="46"/>
      <c r="E51" s="46"/>
      <c r="F51" s="46"/>
      <c r="G51" s="46"/>
      <c r="H51" s="46"/>
      <c r="I51" s="46"/>
      <c r="J51" s="46"/>
      <c r="K51" s="47">
        <v>319.53</v>
      </c>
      <c r="L51" s="46"/>
      <c r="M51" s="46"/>
      <c r="N51" s="47">
        <f>B51+C51+D51+E51+F51+G51+H51+I51+J51+K51+L51+M51</f>
        <v>319.53</v>
      </c>
    </row>
    <row r="52" spans="1:14" ht="16">
      <c r="A52" s="38" t="s">
        <v>49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7">
        <v>133.78</v>
      </c>
      <c r="M52" s="46"/>
      <c r="N52" s="47">
        <f>B52+C52+D52+E52+F52+G52+H52+I52+J52+K52+L52+M52</f>
        <v>133.78</v>
      </c>
    </row>
    <row r="53" spans="1:14" ht="16">
      <c r="A53" s="38" t="s">
        <v>50</v>
      </c>
      <c r="B53" s="46"/>
      <c r="C53" s="46"/>
      <c r="D53" s="46"/>
      <c r="E53" s="46"/>
      <c r="F53" s="46"/>
      <c r="G53" s="46"/>
      <c r="H53" s="51">
        <v>0</v>
      </c>
      <c r="I53" s="46"/>
      <c r="J53" s="46"/>
      <c r="K53" s="46"/>
      <c r="L53" s="46"/>
      <c r="M53" s="46"/>
      <c r="N53" s="51">
        <f>B53+C53+D53+E53+F53+G53+H53+I53+J53+K53+L53+M53</f>
        <v>0.0</v>
      </c>
    </row>
    <row r="54" spans="1:14" ht="16">
      <c r="A54" s="38" t="s">
        <v>51</v>
      </c>
      <c r="B54" s="47">
        <v>109.37</v>
      </c>
      <c r="C54" s="47">
        <v>5107.11</v>
      </c>
      <c r="D54" s="47">
        <v>1610.25</v>
      </c>
      <c r="E54" s="46"/>
      <c r="F54" s="47">
        <v>995.94</v>
      </c>
      <c r="G54" s="47">
        <v>102.82</v>
      </c>
      <c r="H54" s="47">
        <v>2096.44</v>
      </c>
      <c r="I54" s="47">
        <v>113.0</v>
      </c>
      <c r="J54" s="47">
        <v>2081.26</v>
      </c>
      <c r="K54" s="47">
        <v>580.26</v>
      </c>
      <c r="L54" s="46"/>
      <c r="M54" s="46"/>
      <c r="N54" s="47">
        <f>B54+C54+D54+E54+F54+G54+H54+I54+J54+K54+L54+M54</f>
        <v>12796.45</v>
      </c>
    </row>
    <row r="55" spans="1:14" ht="16">
      <c r="A55" s="38" t="s">
        <v>52</v>
      </c>
      <c r="B55" s="47">
        <v>2123.84</v>
      </c>
      <c r="C55" s="47">
        <v>2905.63</v>
      </c>
      <c r="D55" s="47">
        <v>861.91</v>
      </c>
      <c r="E55" s="47">
        <v>4814.94</v>
      </c>
      <c r="F55" s="47">
        <v>588.28</v>
      </c>
      <c r="G55" s="47">
        <v>377.44</v>
      </c>
      <c r="H55" s="47">
        <v>778.84</v>
      </c>
      <c r="I55" s="47">
        <v>9220.73</v>
      </c>
      <c r="J55" s="47">
        <v>187.52</v>
      </c>
      <c r="K55" s="47">
        <v>409.27</v>
      </c>
      <c r="L55" s="47">
        <v>115.36</v>
      </c>
      <c r="M55" s="47">
        <v>643.62</v>
      </c>
      <c r="N55" s="47">
        <f>B55+C55+D55+E55+F55+G55+H55+I55+J55+K55+L55+M55</f>
        <v>23027.38</v>
      </c>
    </row>
    <row r="56" spans="1:14" ht="16">
      <c r="A56" s="38" t="s">
        <v>53</v>
      </c>
      <c r="B56" s="47">
        <v>265.8</v>
      </c>
      <c r="C56" s="47">
        <v>126.96</v>
      </c>
      <c r="D56" s="47">
        <v>122.67</v>
      </c>
      <c r="E56" s="47">
        <v>285.46</v>
      </c>
      <c r="F56" s="47">
        <v>99.93</v>
      </c>
      <c r="G56" s="46"/>
      <c r="H56" s="47">
        <v>697.87</v>
      </c>
      <c r="I56" s="47">
        <v>112.7</v>
      </c>
      <c r="J56" s="47">
        <v>11.0</v>
      </c>
      <c r="K56" s="47">
        <v>195.97</v>
      </c>
      <c r="L56" s="47">
        <v>355.29</v>
      </c>
      <c r="M56" s="47">
        <v>158.41</v>
      </c>
      <c r="N56" s="47">
        <f>B56+C56+D56+E56+F56+G56+H56+I56+J56+K56+L56+M56</f>
        <v>2432.06</v>
      </c>
    </row>
    <row r="57" spans="1:14" ht="16">
      <c r="A57" s="38" t="s">
        <v>54</v>
      </c>
      <c r="B57" s="47">
        <v>82.58</v>
      </c>
      <c r="C57" s="47">
        <v>248.12</v>
      </c>
      <c r="D57" s="47">
        <v>442.23</v>
      </c>
      <c r="E57" s="47">
        <v>175.05</v>
      </c>
      <c r="F57" s="47">
        <v>47.25</v>
      </c>
      <c r="G57" s="47">
        <v>82.13</v>
      </c>
      <c r="H57" s="47">
        <v>761.14</v>
      </c>
      <c r="I57" s="47">
        <v>237.51</v>
      </c>
      <c r="J57" s="47">
        <v>94.4</v>
      </c>
      <c r="K57" s="47">
        <v>65.66</v>
      </c>
      <c r="L57" s="47">
        <v>1693.95</v>
      </c>
      <c r="M57" s="47">
        <v>59.18</v>
      </c>
      <c r="N57" s="47">
        <f>B57+C57+D57+E57+F57+G57+H57+I57+J57+K57+L57+M57</f>
        <v>3989.2000000000003</v>
      </c>
    </row>
    <row r="58" spans="1:14" ht="16">
      <c r="A58" s="38" t="s">
        <v>55</v>
      </c>
      <c r="B58" s="47">
        <v>51.14</v>
      </c>
      <c r="C58" s="47">
        <v>214.78</v>
      </c>
      <c r="D58" s="47">
        <v>629.25</v>
      </c>
      <c r="E58" s="47">
        <v>129.38</v>
      </c>
      <c r="F58" s="47">
        <v>270.85</v>
      </c>
      <c r="G58" s="47">
        <v>1.63</v>
      </c>
      <c r="H58" s="47">
        <v>764.92</v>
      </c>
      <c r="I58" s="47">
        <v>383.55</v>
      </c>
      <c r="J58" s="47">
        <v>290.22</v>
      </c>
      <c r="K58" s="47">
        <v>233.62</v>
      </c>
      <c r="L58" s="47">
        <v>206.29</v>
      </c>
      <c r="M58" s="47">
        <v>149.96</v>
      </c>
      <c r="N58" s="47">
        <f>B58+C58+D58+E58+F58+G58+H58+I58+J58+K58+L58+M58</f>
        <v>3325.59</v>
      </c>
    </row>
    <row r="59" spans="1:14" ht="16">
      <c r="A59" s="38" t="s">
        <v>56</v>
      </c>
      <c r="B59" s="47">
        <v>935.45</v>
      </c>
      <c r="C59" s="47">
        <v>7009.48</v>
      </c>
      <c r="D59" s="47">
        <v>3500.29</v>
      </c>
      <c r="E59" s="47">
        <v>1749.32</v>
      </c>
      <c r="F59" s="47">
        <v>7481.21</v>
      </c>
      <c r="G59" s="47">
        <v>209.43</v>
      </c>
      <c r="H59" s="47">
        <v>22741.25</v>
      </c>
      <c r="I59" s="47">
        <v>8050.84</v>
      </c>
      <c r="J59" s="47">
        <v>3781.94</v>
      </c>
      <c r="K59" s="47">
        <v>18969.4</v>
      </c>
      <c r="L59" s="47">
        <v>10616.38</v>
      </c>
      <c r="M59" s="47">
        <v>1482.75</v>
      </c>
      <c r="N59" s="47">
        <f>B59+C59+D59+E59+F59+G59+H59+I59+J59+K59+L59+M59</f>
        <v>86527.74000000002</v>
      </c>
    </row>
    <row r="60" spans="1:14" ht="16">
      <c r="A60" s="41" t="s">
        <v>57</v>
      </c>
      <c r="B60" s="48">
        <f>B46+B47+B48+B49+B50+B51+B52+B53+B54+B55+B56+B57+B58+B59</f>
        <v>128387.77</v>
      </c>
      <c r="C60" s="48">
        <f>C46+C47+C48+C49+C50+C51+C52+C53+C54+C55+C56+C57+C58+C59</f>
        <v>214829.68999999997</v>
      </c>
      <c r="D60" s="48">
        <f>D46+D47+D48+D49+D50+D51+D52+D53+D54+D55+D56+D57+D58+D59</f>
        <v>72414.35999999999</v>
      </c>
      <c r="E60" s="48">
        <f>E46+E47+E48+E49+E50+E51+E52+E53+E54+E55+E56+E57+E58+E59</f>
        <v>88693.93000000002</v>
      </c>
      <c r="F60" s="48">
        <f>F46+F47+F48+F49+F50+F51+F52+F53+F54+F55+F56+F57+F58+F59</f>
        <v>100116.11</v>
      </c>
      <c r="G60" s="48">
        <f>G46+G47+G48+G49+G50+G51+G52+G53+G54+G55+G56+G57+G58+G59</f>
        <v>75616.66000000002</v>
      </c>
      <c r="H60" s="48">
        <f>H46+H47+H48+H49+H50+H51+H52+H53+H54+H55+H56+H57+H58+H59</f>
        <v>96347.56999999999</v>
      </c>
      <c r="I60" s="48">
        <f>I46+I47+I48+I49+I50+I51+I52+I53+I54+I55+I56+I57+I58+I59</f>
        <v>156478.79</v>
      </c>
      <c r="J60" s="48">
        <f>J46+J47+J48+J49+J50+J51+J52+J53+J54+J55+J56+J57+J58+J59</f>
        <v>56417.090000000004</v>
      </c>
      <c r="K60" s="48">
        <f>K46+K47+K48+K49+K50+K51+K52+K53+K54+K55+K56+K57+K58+K59</f>
        <v>90546.38999999998</v>
      </c>
      <c r="L60" s="48">
        <f>L46+L47+L48+L49+L50+L51+L52+L53+L54+L55+L56+L57+L58+L59</f>
        <v>86564.31999999999</v>
      </c>
      <c r="M60" s="48">
        <f>M46+M47+M48+M49+M50+M51+M52+M53+M54+M55+M56+M57+M58+M59</f>
        <v>73823.28</v>
      </c>
      <c r="N60" s="49">
        <f>B60+C60+D60+E60+F60+G60+H60+I60+J60+K60+L60+M60</f>
        <v>1240235.96</v>
      </c>
    </row>
    <row r="61" spans="1:14" ht="16">
      <c r="A61" s="37" t="s">
        <v>42</v>
      </c>
      <c r="B61" s="47">
        <v>-26.25</v>
      </c>
      <c r="C61" s="51">
        <v>0</v>
      </c>
      <c r="D61" s="51">
        <v>0</v>
      </c>
      <c r="E61" s="47">
        <v>-105.6</v>
      </c>
      <c r="F61" s="47">
        <v>-683.28</v>
      </c>
      <c r="G61" s="51">
        <v>0</v>
      </c>
      <c r="H61" s="51">
        <v>0</v>
      </c>
      <c r="I61" s="47">
        <v>4.09</v>
      </c>
      <c r="J61" s="51">
        <v>0</v>
      </c>
      <c r="K61" s="51">
        <v>0</v>
      </c>
      <c r="L61" s="51">
        <v>0</v>
      </c>
      <c r="M61" s="47">
        <v>-626.04</v>
      </c>
      <c r="N61" s="47">
        <f>B61+C61+D61+E61+F61+G61+H61+I61+J61+K61+L61+M61</f>
        <v>-1437.08</v>
      </c>
    </row>
    <row r="62" spans="1:14" ht="16">
      <c r="A62" s="42" t="s">
        <v>58</v>
      </c>
      <c r="B62" s="48">
        <f>B45+B60+B61</f>
        <v>128361.52</v>
      </c>
      <c r="C62" s="48">
        <f>C45+C60+C61</f>
        <v>214829.68999999997</v>
      </c>
      <c r="D62" s="48">
        <f>D45+D60+D61</f>
        <v>72414.35999999999</v>
      </c>
      <c r="E62" s="48">
        <f>E45+E60+E61</f>
        <v>88588.33000000002</v>
      </c>
      <c r="F62" s="48">
        <f>F45+F60+F61</f>
        <v>99432.83</v>
      </c>
      <c r="G62" s="48">
        <f>G45+G60+G61</f>
        <v>75616.66000000002</v>
      </c>
      <c r="H62" s="48">
        <f>H45+H60+H61</f>
        <v>96347.56999999999</v>
      </c>
      <c r="I62" s="48">
        <f>I45+I60+I61</f>
        <v>156482.88</v>
      </c>
      <c r="J62" s="48">
        <f>J45+J60+J61</f>
        <v>56417.090000000004</v>
      </c>
      <c r="K62" s="48">
        <f>K45+K60+K61</f>
        <v>90546.38999999998</v>
      </c>
      <c r="L62" s="48">
        <f>L45+L60+L61</f>
        <v>86564.31999999999</v>
      </c>
      <c r="M62" s="48">
        <f>M45+M60+M61</f>
        <v>73197.24</v>
      </c>
      <c r="N62" s="49">
        <f>B62+C62+D62+E62+F62+G62+H62+I62+J62+K62+L62+M62</f>
        <v>1238798.88</v>
      </c>
    </row>
    <row r="63" spans="1:14" ht="16">
      <c r="A63" s="42" t="s">
        <v>59</v>
      </c>
      <c r="B63" s="48">
        <f>B44-B62</f>
        <v>29383.569999999963</v>
      </c>
      <c r="C63" s="48">
        <f>C44-C62</f>
        <v>-38491.869999999966</v>
      </c>
      <c r="D63" s="48">
        <f>D44-D62</f>
        <v>163543.75</v>
      </c>
      <c r="E63" s="48">
        <f>E44-E62</f>
        <v>38518.83999999998</v>
      </c>
      <c r="F63" s="48">
        <f>F44-F62</f>
        <v>37373.29000000002</v>
      </c>
      <c r="G63" s="48">
        <f>G44-G62</f>
        <v>65643.65999999999</v>
      </c>
      <c r="H63" s="48">
        <f>H44-H62</f>
        <v>17528.190000000017</v>
      </c>
      <c r="I63" s="48">
        <f>I44-I62</f>
        <v>26991.570000000007</v>
      </c>
      <c r="J63" s="48">
        <f>J44-J62</f>
        <v>-6624.1600000000035</v>
      </c>
      <c r="K63" s="48">
        <f>K44-K62</f>
        <v>65366.02000000002</v>
      </c>
      <c r="L63" s="48">
        <f>L44-L62</f>
        <v>60818.85000000002</v>
      </c>
      <c r="M63" s="48">
        <f>M44-M62</f>
        <v>55868.31000000001</v>
      </c>
      <c r="N63" s="49">
        <f>B63+C63+D63+E63+F63+G63+H63+I63+J63+K63+L63+M63</f>
        <v>515920.02</v>
      </c>
    </row>
    <row r="64" spans="1:13" ht="16">
      <c r="A64" s="36" t="s">
        <v>60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4" ht="16">
      <c r="A65" s="37" t="s">
        <v>61</v>
      </c>
      <c r="B65" s="47">
        <v>740.66</v>
      </c>
      <c r="C65" s="47">
        <v>1598.35</v>
      </c>
      <c r="D65" s="47">
        <v>822.26</v>
      </c>
      <c r="E65" s="47">
        <v>883.66</v>
      </c>
      <c r="F65" s="47">
        <v>7498.15</v>
      </c>
      <c r="G65" s="47">
        <v>1962.65</v>
      </c>
      <c r="H65" s="47">
        <v>3487.11</v>
      </c>
      <c r="I65" s="47">
        <v>7404.34</v>
      </c>
      <c r="J65" s="47">
        <v>-7182.09</v>
      </c>
      <c r="K65" s="47">
        <v>350.0</v>
      </c>
      <c r="L65" s="47">
        <v>392.75</v>
      </c>
      <c r="M65" s="46"/>
      <c r="N65" s="47">
        <f>B65+C65+D65+E65+F65+G65+H65+I65+J65+K65+L65+M65</f>
        <v>17957.839999999997</v>
      </c>
    </row>
    <row r="66" spans="1:14" ht="16">
      <c r="A66" s="38" t="s">
        <v>62</v>
      </c>
      <c r="B66" s="47">
        <v>91.98</v>
      </c>
      <c r="C66" s="47">
        <v>439.23</v>
      </c>
      <c r="D66" s="46"/>
      <c r="E66" s="47">
        <v>897.95</v>
      </c>
      <c r="F66" s="47">
        <v>474.4</v>
      </c>
      <c r="G66" s="47">
        <v>469.33</v>
      </c>
      <c r="H66" s="46"/>
      <c r="I66" s="46"/>
      <c r="J66" s="46"/>
      <c r="K66" s="46"/>
      <c r="L66" s="46"/>
      <c r="M66" s="46"/>
      <c r="N66" s="47">
        <f>B66+C66+D66+E66+F66+G66+H66+I66+J66+K66+L66+M66</f>
        <v>2372.89</v>
      </c>
    </row>
    <row r="67" spans="1:14" ht="16">
      <c r="A67" s="38" t="s">
        <v>63</v>
      </c>
      <c r="B67" s="47">
        <v>331.01</v>
      </c>
      <c r="C67" s="47">
        <v>2.49</v>
      </c>
      <c r="D67" s="47">
        <v>70.38</v>
      </c>
      <c r="E67" s="47">
        <v>17.85</v>
      </c>
      <c r="F67" s="47">
        <v>114.63</v>
      </c>
      <c r="G67" s="46"/>
      <c r="H67" s="46"/>
      <c r="I67" s="47">
        <v>10.38</v>
      </c>
      <c r="J67" s="46"/>
      <c r="K67" s="46"/>
      <c r="L67" s="46"/>
      <c r="M67" s="46"/>
      <c r="N67" s="47">
        <f>B67+C67+D67+E67+F67+G67+H67+I67+J67+K67+L67+M67</f>
        <v>546.74</v>
      </c>
    </row>
    <row r="68" spans="1:14" ht="16">
      <c r="A68" s="38" t="s">
        <v>64</v>
      </c>
      <c r="B68" s="47">
        <v>1331.51</v>
      </c>
      <c r="C68" s="47">
        <v>4480.7</v>
      </c>
      <c r="D68" s="47">
        <v>3443.47</v>
      </c>
      <c r="E68" s="47">
        <v>2408.51</v>
      </c>
      <c r="F68" s="47">
        <v>10924.59</v>
      </c>
      <c r="G68" s="47">
        <v>1159.98</v>
      </c>
      <c r="H68" s="47">
        <v>394.42</v>
      </c>
      <c r="I68" s="47">
        <v>1494.93</v>
      </c>
      <c r="J68" s="47">
        <v>8029.58</v>
      </c>
      <c r="K68" s="47">
        <v>853.68</v>
      </c>
      <c r="L68" s="47">
        <v>1587.39</v>
      </c>
      <c r="M68" s="47">
        <v>197.53</v>
      </c>
      <c r="N68" s="47">
        <f>B68+C68+D68+E68+F68+G68+H68+I68+J68+K68+L68+M68</f>
        <v>36306.28999999999</v>
      </c>
    </row>
    <row r="69" spans="1:14" ht="16">
      <c r="A69" s="38" t="s">
        <v>65</v>
      </c>
      <c r="B69" s="47">
        <v>7.57</v>
      </c>
      <c r="C69" s="46"/>
      <c r="D69" s="47">
        <v>60.0</v>
      </c>
      <c r="E69" s="47">
        <v>124.07</v>
      </c>
      <c r="F69" s="46"/>
      <c r="G69" s="46"/>
      <c r="H69" s="46"/>
      <c r="I69" s="46"/>
      <c r="J69" s="46"/>
      <c r="K69" s="46"/>
      <c r="L69" s="51">
        <v>0</v>
      </c>
      <c r="M69" s="46"/>
      <c r="N69" s="47">
        <f>B69+C69+D69+E69+F69+G69+H69+I69+J69+K69+L69+M69</f>
        <v>191.64</v>
      </c>
    </row>
    <row r="70" spans="1:14" ht="16">
      <c r="A70" s="39" t="s">
        <v>66</v>
      </c>
      <c r="B70" s="46"/>
      <c r="C70" s="46"/>
      <c r="D70" s="47">
        <v>217.65</v>
      </c>
      <c r="E70" s="47">
        <v>135.13</v>
      </c>
      <c r="F70" s="46"/>
      <c r="G70" s="46"/>
      <c r="H70" s="46"/>
      <c r="I70" s="47">
        <v>25.07</v>
      </c>
      <c r="J70" s="46"/>
      <c r="K70" s="46"/>
      <c r="L70" s="46"/>
      <c r="M70" s="46"/>
      <c r="N70" s="47">
        <f>B70+C70+D70+E70+F70+G70+H70+I70+J70+K70+L70+M70</f>
        <v>377.84999999999997</v>
      </c>
    </row>
    <row r="71" spans="1:14" ht="16">
      <c r="A71" s="40" t="s">
        <v>67</v>
      </c>
      <c r="B71" s="48">
        <f>B69+B70</f>
        <v>7.57</v>
      </c>
      <c r="C71" s="49">
        <f>C69+C70</f>
        <v>0.0</v>
      </c>
      <c r="D71" s="48">
        <f>D69+D70</f>
        <v>277.65</v>
      </c>
      <c r="E71" s="48">
        <f>E69+E70</f>
        <v>259.2</v>
      </c>
      <c r="F71" s="49">
        <f>F69+F70</f>
        <v>0.0</v>
      </c>
      <c r="G71" s="49">
        <f>G69+G70</f>
        <v>0.0</v>
      </c>
      <c r="H71" s="49">
        <f>H69+H70</f>
        <v>0.0</v>
      </c>
      <c r="I71" s="48">
        <f>I69+I70</f>
        <v>25.07</v>
      </c>
      <c r="J71" s="49">
        <f>J69+J70</f>
        <v>0.0</v>
      </c>
      <c r="K71" s="49">
        <f>K69+K70</f>
        <v>0.0</v>
      </c>
      <c r="L71" s="49">
        <f>L69+L70</f>
        <v>0.0</v>
      </c>
      <c r="M71" s="49">
        <f>M69+M70</f>
        <v>0.0</v>
      </c>
      <c r="N71" s="49">
        <f>B71+C71+D71+E71+F71+G71+H71+I71+J71+K71+L71+M71</f>
        <v>569.49</v>
      </c>
    </row>
    <row r="72" spans="1:14" ht="16">
      <c r="A72" s="38" t="s">
        <v>68</v>
      </c>
      <c r="B72" s="47">
        <v>10676.41</v>
      </c>
      <c r="C72" s="47">
        <v>10471.82</v>
      </c>
      <c r="D72" s="47">
        <v>9803.25</v>
      </c>
      <c r="E72" s="47">
        <v>1821.63</v>
      </c>
      <c r="F72" s="47">
        <v>6759.37</v>
      </c>
      <c r="G72" s="47">
        <v>3297.02</v>
      </c>
      <c r="H72" s="47">
        <v>3182.16</v>
      </c>
      <c r="I72" s="47">
        <v>8108.61</v>
      </c>
      <c r="J72" s="47">
        <v>3411.89</v>
      </c>
      <c r="K72" s="47">
        <v>-1495.12</v>
      </c>
      <c r="L72" s="47">
        <v>5091.47</v>
      </c>
      <c r="M72" s="46"/>
      <c r="N72" s="47">
        <f>B72+C72+D72+E72+F72+G72+H72+I72+J72+K72+L72+M72</f>
        <v>61128.51</v>
      </c>
    </row>
    <row r="73" spans="1:14" ht="16">
      <c r="A73" s="38" t="s">
        <v>69</v>
      </c>
      <c r="B73" s="47">
        <v>460.58</v>
      </c>
      <c r="C73" s="47">
        <v>2802.66</v>
      </c>
      <c r="D73" s="47">
        <v>19.53</v>
      </c>
      <c r="E73" s="47">
        <v>382.72</v>
      </c>
      <c r="F73" s="47">
        <v>3234.31</v>
      </c>
      <c r="G73" s="47">
        <v>434.95</v>
      </c>
      <c r="H73" s="47">
        <v>329.26</v>
      </c>
      <c r="I73" s="46"/>
      <c r="J73" s="51">
        <v>0</v>
      </c>
      <c r="K73" s="47">
        <v>14.54</v>
      </c>
      <c r="L73" s="46"/>
      <c r="M73" s="47">
        <v>6372.0</v>
      </c>
      <c r="N73" s="47">
        <f>B73+C73+D73+E73+F73+G73+H73+I73+J73+K73+L73+M73</f>
        <v>14050.55</v>
      </c>
    </row>
    <row r="74" spans="1:14" ht="16">
      <c r="A74" s="39" t="s">
        <v>70</v>
      </c>
      <c r="B74" s="46"/>
      <c r="C74" s="47">
        <v>72.29</v>
      </c>
      <c r="D74" s="47">
        <v>45.64</v>
      </c>
      <c r="E74" s="47">
        <v>25.98</v>
      </c>
      <c r="F74" s="47">
        <v>30.37</v>
      </c>
      <c r="G74" s="47">
        <v>4.19</v>
      </c>
      <c r="H74" s="46"/>
      <c r="I74" s="46"/>
      <c r="J74" s="46"/>
      <c r="K74" s="46"/>
      <c r="L74" s="46"/>
      <c r="M74" s="47">
        <v>3.89</v>
      </c>
      <c r="N74" s="47">
        <f>B74+C74+D74+E74+F74+G74+H74+I74+J74+K74+L74+M74</f>
        <v>182.35999999999999</v>
      </c>
    </row>
    <row r="75" spans="1:14" ht="16">
      <c r="A75" s="40" t="s">
        <v>71</v>
      </c>
      <c r="B75" s="48">
        <f>B73+B74</f>
        <v>460.58</v>
      </c>
      <c r="C75" s="48">
        <f>C73+C74</f>
        <v>2874.95</v>
      </c>
      <c r="D75" s="48">
        <f>D73+D74</f>
        <v>65.17</v>
      </c>
      <c r="E75" s="48">
        <f>E73+E74</f>
        <v>408.70000000000005</v>
      </c>
      <c r="F75" s="48">
        <f>F73+F74</f>
        <v>3264.68</v>
      </c>
      <c r="G75" s="48">
        <f>G73+G74</f>
        <v>439.14</v>
      </c>
      <c r="H75" s="48">
        <f>H73+H74</f>
        <v>329.26</v>
      </c>
      <c r="I75" s="49">
        <f>I73+I74</f>
        <v>0.0</v>
      </c>
      <c r="J75" s="49">
        <f>J73+J74</f>
        <v>0.0</v>
      </c>
      <c r="K75" s="48">
        <f>K73+K74</f>
        <v>14.54</v>
      </c>
      <c r="L75" s="49">
        <f>L73+L74</f>
        <v>0.0</v>
      </c>
      <c r="M75" s="48">
        <f>M73+M74</f>
        <v>6375.89</v>
      </c>
      <c r="N75" s="49">
        <f>B75+C75+D75+E75+F75+G75+H75+I75+J75+K75+L75+M75</f>
        <v>14232.91</v>
      </c>
    </row>
    <row r="76" spans="1:14" ht="16">
      <c r="A76" s="38" t="s">
        <v>72</v>
      </c>
      <c r="B76" s="47">
        <v>22.93</v>
      </c>
      <c r="C76" s="47">
        <v>20.8</v>
      </c>
      <c r="D76" s="47">
        <v>9.99</v>
      </c>
      <c r="E76" s="47">
        <v>81.87</v>
      </c>
      <c r="F76" s="47">
        <v>9.99</v>
      </c>
      <c r="G76" s="47">
        <v>9.99</v>
      </c>
      <c r="H76" s="46"/>
      <c r="I76" s="47">
        <v>4000.0</v>
      </c>
      <c r="J76" s="46"/>
      <c r="K76" s="46"/>
      <c r="L76" s="46"/>
      <c r="M76" s="46"/>
      <c r="N76" s="47">
        <f>B76+C76+D76+E76+F76+G76+H76+I76+J76+K76+L76+M76</f>
        <v>4155.57</v>
      </c>
    </row>
    <row r="77" spans="1:14" ht="16">
      <c r="A77" s="38" t="s">
        <v>73</v>
      </c>
      <c r="B77" s="46"/>
      <c r="C77" s="46"/>
      <c r="D77" s="46"/>
      <c r="E77" s="46"/>
      <c r="F77" s="46"/>
      <c r="G77" s="46"/>
      <c r="H77" s="46"/>
      <c r="I77" s="47">
        <v>2700.0</v>
      </c>
      <c r="J77" s="46"/>
      <c r="K77" s="46"/>
      <c r="L77" s="47">
        <v>30280.0</v>
      </c>
      <c r="M77" s="47">
        <v>5130.0</v>
      </c>
      <c r="N77" s="47">
        <f>B77+C77+D77+E77+F77+G77+H77+I77+J77+K77+L77+M77</f>
        <v>38110.0</v>
      </c>
    </row>
    <row r="78" spans="1:14" ht="16">
      <c r="A78" s="41" t="s">
        <v>74</v>
      </c>
      <c r="B78" s="48">
        <f>B65+B66+B67+B68+B71+B72+B75+B76+B77</f>
        <v>13662.65</v>
      </c>
      <c r="C78" s="48">
        <f>C65+C66+C67+C68+C71+C72+C75+C76+C77</f>
        <v>19888.34</v>
      </c>
      <c r="D78" s="48">
        <f>D65+D66+D67+D68+D71+D72+D75+D76+D77</f>
        <v>14492.169999999998</v>
      </c>
      <c r="E78" s="48">
        <f>E65+E66+E67+E68+E71+E72+E75+E76+E77</f>
        <v>6779.37</v>
      </c>
      <c r="F78" s="48">
        <f>F65+F66+F67+F68+F71+F72+F75+F76+F77</f>
        <v>29045.81</v>
      </c>
      <c r="G78" s="48">
        <f>G65+G66+G67+G68+G71+G72+G75+G76+G77</f>
        <v>7338.11</v>
      </c>
      <c r="H78" s="48">
        <f>H65+H66+H67+H68+H71+H72+H75+H76+H77</f>
        <v>7392.950000000001</v>
      </c>
      <c r="I78" s="48">
        <f>I65+I66+I67+I68+I71+I72+I75+I76+I77</f>
        <v>23743.329999999998</v>
      </c>
      <c r="J78" s="48">
        <f>J65+J66+J67+J68+J71+J72+J75+J76+J77</f>
        <v>4259.379999999999</v>
      </c>
      <c r="K78" s="48">
        <f>K65+K66+K67+K68+K71+K72+K75+K76+K77</f>
        <v>-276.90000000000003</v>
      </c>
      <c r="L78" s="48">
        <f>L65+L66+L67+L68+L71+L72+L75+L76+L77</f>
        <v>37351.61</v>
      </c>
      <c r="M78" s="48">
        <f>M65+M66+M67+M68+M71+M72+M75+M76+M77</f>
        <v>11703.42</v>
      </c>
      <c r="N78" s="49">
        <f>B78+C78+D78+E78+F78+G78+H78+I78+J78+K78+L78+M78</f>
        <v>175380.24000000002</v>
      </c>
    </row>
    <row r="79" spans="1:14" ht="16">
      <c r="A79" s="37" t="s">
        <v>75</v>
      </c>
      <c r="B79" s="46"/>
      <c r="C79" s="46"/>
      <c r="D79" s="46"/>
      <c r="E79" s="46"/>
      <c r="F79" s="46"/>
      <c r="G79" s="46"/>
      <c r="H79" s="47">
        <v>1039.59</v>
      </c>
      <c r="I79" s="46"/>
      <c r="J79" s="46"/>
      <c r="K79" s="46"/>
      <c r="L79" s="47">
        <v>-68.08</v>
      </c>
      <c r="M79" s="46"/>
      <c r="N79" s="47">
        <f>B79+C79+D79+E79+F79+G79+H79+I79+J79+K79+L79+M79</f>
        <v>971.5099999999999</v>
      </c>
    </row>
    <row r="80" spans="1:14" ht="16">
      <c r="A80" s="38" t="s">
        <v>76</v>
      </c>
      <c r="B80" s="47">
        <v>18777.52</v>
      </c>
      <c r="C80" s="47">
        <v>9269.48</v>
      </c>
      <c r="D80" s="47">
        <v>9269.48</v>
      </c>
      <c r="E80" s="47">
        <v>9269.48</v>
      </c>
      <c r="F80" s="47">
        <v>9554.0</v>
      </c>
      <c r="G80" s="47">
        <v>9440.2</v>
      </c>
      <c r="H80" s="47">
        <v>9440.2</v>
      </c>
      <c r="I80" s="47">
        <v>9440.2</v>
      </c>
      <c r="J80" s="47">
        <v>9440.2</v>
      </c>
      <c r="K80" s="47">
        <v>9440.2</v>
      </c>
      <c r="L80" s="47">
        <v>9440.2</v>
      </c>
      <c r="M80" s="47">
        <v>10026.32</v>
      </c>
      <c r="N80" s="47">
        <f>B80+C80+D80+E80+F80+G80+H80+I80+J80+K80+L80+M80</f>
        <v>122807.47999999998</v>
      </c>
    </row>
    <row r="81" spans="1:14" ht="16">
      <c r="A81" s="38" t="s">
        <v>77</v>
      </c>
      <c r="B81" s="47">
        <v>6557.23</v>
      </c>
      <c r="C81" s="47">
        <v>619.59</v>
      </c>
      <c r="D81" s="47">
        <v>1128.61</v>
      </c>
      <c r="E81" s="47">
        <v>594.18</v>
      </c>
      <c r="F81" s="47">
        <v>1189.04</v>
      </c>
      <c r="G81" s="47">
        <v>609.35</v>
      </c>
      <c r="H81" s="47">
        <v>119.53</v>
      </c>
      <c r="I81" s="47">
        <v>441.8</v>
      </c>
      <c r="J81" s="47">
        <v>224.68</v>
      </c>
      <c r="K81" s="47">
        <v>1532.96</v>
      </c>
      <c r="L81" s="47">
        <v>980.18</v>
      </c>
      <c r="M81" s="47">
        <v>564.82</v>
      </c>
      <c r="N81" s="47">
        <f>B81+C81+D81+E81+F81+G81+H81+I81+J81+K81+L81+M81</f>
        <v>14561.970000000001</v>
      </c>
    </row>
    <row r="82" spans="1:14" ht="16">
      <c r="A82" s="39" t="s">
        <v>78</v>
      </c>
      <c r="B82" s="46"/>
      <c r="C82" s="46"/>
      <c r="D82" s="46"/>
      <c r="E82" s="46"/>
      <c r="F82" s="47">
        <v>103.92</v>
      </c>
      <c r="G82" s="47">
        <v>45.31</v>
      </c>
      <c r="H82" s="46"/>
      <c r="I82" s="47">
        <v>460.61</v>
      </c>
      <c r="J82" s="47">
        <v>50.48</v>
      </c>
      <c r="K82" s="46"/>
      <c r="L82" s="46"/>
      <c r="M82" s="47">
        <v>-30.29</v>
      </c>
      <c r="N82" s="47">
        <f>B82+C82+D82+E82+F82+G82+H82+I82+J82+K82+L82+M82</f>
        <v>630.0300000000001</v>
      </c>
    </row>
    <row r="83" spans="1:14" ht="16">
      <c r="A83" s="39" t="s">
        <v>79</v>
      </c>
      <c r="B83" s="47">
        <v>758.31</v>
      </c>
      <c r="C83" s="47">
        <v>818.18</v>
      </c>
      <c r="D83" s="47">
        <v>1664.25</v>
      </c>
      <c r="E83" s="47">
        <v>1449.14</v>
      </c>
      <c r="F83" s="47">
        <v>1123.68</v>
      </c>
      <c r="G83" s="47">
        <v>1454.86</v>
      </c>
      <c r="H83" s="47">
        <v>114.73</v>
      </c>
      <c r="I83" s="47">
        <v>21.0</v>
      </c>
      <c r="J83" s="47">
        <v>211.9</v>
      </c>
      <c r="K83" s="47">
        <v>265.44</v>
      </c>
      <c r="L83" s="47">
        <v>51.42</v>
      </c>
      <c r="M83" s="47">
        <v>29.1</v>
      </c>
      <c r="N83" s="47">
        <f>B83+C83+D83+E83+F83+G83+H83+I83+J83+K83+L83+M83</f>
        <v>7962.009999999999</v>
      </c>
    </row>
    <row r="84" spans="1:14" ht="16">
      <c r="A84" s="40" t="s">
        <v>80</v>
      </c>
      <c r="B84" s="48">
        <f>B81+B82+B83</f>
        <v>7315.539999999999</v>
      </c>
      <c r="C84" s="48">
        <f>C81+C82+C83</f>
        <v>1437.77</v>
      </c>
      <c r="D84" s="48">
        <f>D81+D82+D83</f>
        <v>2792.8599999999997</v>
      </c>
      <c r="E84" s="48">
        <f>E81+E82+E83</f>
        <v>2043.3200000000002</v>
      </c>
      <c r="F84" s="48">
        <f>F81+F82+F83</f>
        <v>2416.6400000000003</v>
      </c>
      <c r="G84" s="48">
        <f>G81+G82+G83</f>
        <v>2109.52</v>
      </c>
      <c r="H84" s="48">
        <f>H81+H82+H83</f>
        <v>234.26</v>
      </c>
      <c r="I84" s="48">
        <f>I81+I82+I83</f>
        <v>923.4100000000001</v>
      </c>
      <c r="J84" s="48">
        <f>J81+J82+J83</f>
        <v>487.06000000000006</v>
      </c>
      <c r="K84" s="48">
        <f>K81+K82+K83</f>
        <v>1798.4</v>
      </c>
      <c r="L84" s="48">
        <f>L81+L82+L83</f>
        <v>1031.6</v>
      </c>
      <c r="M84" s="48">
        <f>M81+M82+M83</f>
        <v>563.6300000000001</v>
      </c>
      <c r="N84" s="49">
        <f>B84+C84+D84+E84+F84+G84+H84+I84+J84+K84+L84+M84</f>
        <v>23154.01</v>
      </c>
    </row>
    <row r="85" spans="1:14" ht="16">
      <c r="A85" s="38" t="s">
        <v>81</v>
      </c>
      <c r="B85" s="47">
        <v>854.4</v>
      </c>
      <c r="C85" s="47">
        <v>2445.06</v>
      </c>
      <c r="D85" s="47">
        <v>693.02</v>
      </c>
      <c r="E85" s="47">
        <v>1697.53</v>
      </c>
      <c r="F85" s="47">
        <v>252.76</v>
      </c>
      <c r="G85" s="47">
        <v>1696.67</v>
      </c>
      <c r="H85" s="47">
        <v>252.76</v>
      </c>
      <c r="I85" s="47">
        <v>1687.09</v>
      </c>
      <c r="J85" s="47">
        <v>249.41</v>
      </c>
      <c r="K85" s="47">
        <v>3400.72</v>
      </c>
      <c r="L85" s="47">
        <v>252.76</v>
      </c>
      <c r="M85" s="47">
        <v>1507.63</v>
      </c>
      <c r="N85" s="47">
        <f>B85+C85+D85+E85+F85+G85+H85+I85+J85+K85+L85+M85</f>
        <v>14989.810000000001</v>
      </c>
    </row>
    <row r="86" spans="1:14" ht="16">
      <c r="A86" s="39" t="s">
        <v>82</v>
      </c>
      <c r="B86" s="47">
        <v>995.44</v>
      </c>
      <c r="C86" s="47">
        <v>720.68</v>
      </c>
      <c r="D86" s="47">
        <v>527.04</v>
      </c>
      <c r="E86" s="47">
        <v>688.47</v>
      </c>
      <c r="F86" s="47">
        <v>551.79</v>
      </c>
      <c r="G86" s="47">
        <v>748.37</v>
      </c>
      <c r="H86" s="47">
        <v>1008.78</v>
      </c>
      <c r="I86" s="47">
        <v>1054.16</v>
      </c>
      <c r="J86" s="47">
        <v>1102.17</v>
      </c>
      <c r="K86" s="46"/>
      <c r="L86" s="46"/>
      <c r="M86" s="46"/>
      <c r="N86" s="47">
        <f>B86+C86+D86+E86+F86+G86+H86+I86+J86+K86+L86+M86</f>
        <v>7396.9</v>
      </c>
    </row>
    <row r="87" spans="1:14" ht="16">
      <c r="A87" s="40" t="s">
        <v>83</v>
      </c>
      <c r="B87" s="48">
        <f>B85+B86</f>
        <v>1849.8400000000001</v>
      </c>
      <c r="C87" s="48">
        <f>C85+C86</f>
        <v>3165.74</v>
      </c>
      <c r="D87" s="48">
        <f>D85+D86</f>
        <v>1220.06</v>
      </c>
      <c r="E87" s="48">
        <f>E85+E86</f>
        <v>2386.0</v>
      </c>
      <c r="F87" s="48">
        <f>F85+F86</f>
        <v>804.55</v>
      </c>
      <c r="G87" s="48">
        <f>G85+G86</f>
        <v>2445.04</v>
      </c>
      <c r="H87" s="48">
        <f>H85+H86</f>
        <v>1261.54</v>
      </c>
      <c r="I87" s="48">
        <f>I85+I86</f>
        <v>2741.25</v>
      </c>
      <c r="J87" s="48">
        <f>J85+J86</f>
        <v>1351.5800000000002</v>
      </c>
      <c r="K87" s="48">
        <f>K85+K86</f>
        <v>3400.72</v>
      </c>
      <c r="L87" s="48">
        <f>L85+L86</f>
        <v>252.76</v>
      </c>
      <c r="M87" s="48">
        <f>M85+M86</f>
        <v>1507.63</v>
      </c>
      <c r="N87" s="49">
        <f>B87+C87+D87+E87+F87+G87+H87+I87+J87+K87+L87+M87</f>
        <v>22386.710000000003</v>
      </c>
    </row>
    <row r="88" spans="1:14" ht="16">
      <c r="A88" s="38" t="s">
        <v>84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</row>
    <row r="89" spans="1:14" ht="16">
      <c r="A89" s="39" t="s">
        <v>85</v>
      </c>
      <c r="B89" s="47">
        <v>1301.0</v>
      </c>
      <c r="C89" s="47">
        <v>3261.0</v>
      </c>
      <c r="D89" s="47">
        <v>1220.13</v>
      </c>
      <c r="E89" s="47">
        <v>2300.4</v>
      </c>
      <c r="F89" s="47">
        <v>2177.96</v>
      </c>
      <c r="G89" s="47">
        <v>2107.4</v>
      </c>
      <c r="H89" s="47">
        <v>2110.42</v>
      </c>
      <c r="I89" s="47">
        <v>1192.63</v>
      </c>
      <c r="J89" s="47">
        <v>308.55</v>
      </c>
      <c r="K89" s="47">
        <v>95.0</v>
      </c>
      <c r="L89" s="46"/>
      <c r="M89" s="47">
        <v>721.99</v>
      </c>
      <c r="N89" s="47">
        <f>B89+C89+D89+E89+F89+G89+H89+I89+J89+K89+L89+M89</f>
        <v>16796.480000000003</v>
      </c>
    </row>
    <row r="90" spans="1:14" ht="16">
      <c r="A90" s="39" t="s">
        <v>86</v>
      </c>
      <c r="B90" s="47">
        <v>7.56</v>
      </c>
      <c r="C90" s="46"/>
      <c r="D90" s="47">
        <v>22.08</v>
      </c>
      <c r="E90" s="46"/>
      <c r="F90" s="46"/>
      <c r="G90" s="46"/>
      <c r="H90" s="46"/>
      <c r="I90" s="46"/>
      <c r="J90" s="46"/>
      <c r="K90" s="47">
        <v>44.05</v>
      </c>
      <c r="L90" s="47">
        <v>50.24</v>
      </c>
      <c r="M90" s="47">
        <v>4.19</v>
      </c>
      <c r="N90" s="47">
        <f>B90+C90+D90+E90+F90+G90+H90+I90+J90+K90+L90+M90</f>
        <v>128.12</v>
      </c>
    </row>
    <row r="91" spans="1:14" ht="16">
      <c r="A91" s="39" t="s">
        <v>87</v>
      </c>
      <c r="B91" s="46"/>
      <c r="C91" s="46"/>
      <c r="D91" s="46"/>
      <c r="E91" s="46"/>
      <c r="F91" s="46"/>
      <c r="G91" s="46"/>
      <c r="H91" s="47">
        <v>15.0</v>
      </c>
      <c r="I91" s="46"/>
      <c r="J91" s="47">
        <v>204.67</v>
      </c>
      <c r="K91" s="47">
        <v>113.96</v>
      </c>
      <c r="L91" s="47">
        <v>482.74</v>
      </c>
      <c r="M91" s="47">
        <v>86.58</v>
      </c>
      <c r="N91" s="47">
        <f>B91+C91+D91+E91+F91+G91+H91+I91+J91+K91+L91+M91</f>
        <v>902.95</v>
      </c>
    </row>
    <row r="92" spans="1:14" ht="16">
      <c r="A92" s="39" t="s">
        <v>88</v>
      </c>
      <c r="B92" s="47">
        <v>6482.08</v>
      </c>
      <c r="C92" s="47">
        <v>5947.13</v>
      </c>
      <c r="D92" s="47">
        <v>4551.49</v>
      </c>
      <c r="E92" s="47">
        <v>6019.93</v>
      </c>
      <c r="F92" s="47">
        <v>6595.4</v>
      </c>
      <c r="G92" s="47">
        <v>10606.98</v>
      </c>
      <c r="H92" s="47">
        <v>5391.97</v>
      </c>
      <c r="I92" s="47">
        <v>5602.01</v>
      </c>
      <c r="J92" s="47">
        <v>4058.06</v>
      </c>
      <c r="K92" s="47">
        <v>5025.07</v>
      </c>
      <c r="L92" s="47">
        <v>6434.67</v>
      </c>
      <c r="M92" s="47">
        <v>-2378.47</v>
      </c>
      <c r="N92" s="47">
        <f>B92+C92+D92+E92+F92+G92+H92+I92+J92+K92+L92+M92</f>
        <v>64336.31999999999</v>
      </c>
    </row>
    <row r="93" spans="1:14" ht="16">
      <c r="A93" s="40" t="s">
        <v>89</v>
      </c>
      <c r="B93" s="48">
        <f>B88+B89+B90+B91+B92</f>
        <v>7790.639999999999</v>
      </c>
      <c r="C93" s="48">
        <f>C88+C89+C90+C91+C92</f>
        <v>9208.130000000001</v>
      </c>
      <c r="D93" s="48">
        <f>D88+D89+D90+D91+D92</f>
        <v>5793.7</v>
      </c>
      <c r="E93" s="48">
        <f>E88+E89+E90+E91+E92</f>
        <v>8320.33</v>
      </c>
      <c r="F93" s="48">
        <f>F88+F89+F90+F91+F92</f>
        <v>8773.36</v>
      </c>
      <c r="G93" s="48">
        <f>G88+G89+G90+G91+G92</f>
        <v>12714.38</v>
      </c>
      <c r="H93" s="48">
        <f>H88+H89+H90+H91+H92</f>
        <v>7517.39</v>
      </c>
      <c r="I93" s="48">
        <f>I88+I89+I90+I91+I92</f>
        <v>6794.64</v>
      </c>
      <c r="J93" s="48">
        <f>J88+J89+J90+J91+J92</f>
        <v>4571.28</v>
      </c>
      <c r="K93" s="48">
        <f>K88+K89+K90+K91+K92</f>
        <v>5278.08</v>
      </c>
      <c r="L93" s="48">
        <f>L88+L89+L90+L91+L92</f>
        <v>6967.65</v>
      </c>
      <c r="M93" s="48">
        <f>M88+M89+M90+M91+M92</f>
        <v>-1565.7099999999996</v>
      </c>
      <c r="N93" s="49">
        <f>B93+C93+D93+E93+F93+G93+H93+I93+J93+K93+L93+M93</f>
        <v>82163.87</v>
      </c>
    </row>
    <row r="94" spans="1:14" ht="16">
      <c r="A94" s="38" t="s">
        <v>90</v>
      </c>
      <c r="B94" s="47">
        <v>3186.71</v>
      </c>
      <c r="C94" s="47">
        <v>2368.25</v>
      </c>
      <c r="D94" s="47">
        <v>7393.61</v>
      </c>
      <c r="E94" s="47">
        <v>3098.44</v>
      </c>
      <c r="F94" s="47">
        <v>3898.21</v>
      </c>
      <c r="G94" s="47">
        <v>3822.67</v>
      </c>
      <c r="H94" s="47">
        <v>6527.06</v>
      </c>
      <c r="I94" s="47">
        <v>8370.78</v>
      </c>
      <c r="J94" s="47">
        <v>2424.4</v>
      </c>
      <c r="K94" s="47">
        <v>3464.8</v>
      </c>
      <c r="L94" s="47">
        <v>5065.27</v>
      </c>
      <c r="M94" s="47">
        <v>1624.92</v>
      </c>
      <c r="N94" s="47">
        <f>B94+C94+D94+E94+F94+G94+H94+I94+J94+K94+L94+M94</f>
        <v>51245.12000000001</v>
      </c>
    </row>
    <row r="95" spans="1:14" ht="16">
      <c r="A95" s="38" t="s">
        <v>91</v>
      </c>
      <c r="B95" s="47">
        <v>789.23</v>
      </c>
      <c r="C95" s="47">
        <v>626.56</v>
      </c>
      <c r="D95" s="47">
        <v>788.77</v>
      </c>
      <c r="E95" s="47">
        <v>425.7</v>
      </c>
      <c r="F95" s="47">
        <v>741.97</v>
      </c>
      <c r="G95" s="47">
        <v>771.32</v>
      </c>
      <c r="H95" s="47">
        <v>771.32</v>
      </c>
      <c r="I95" s="47">
        <v>463.21</v>
      </c>
      <c r="J95" s="47">
        <v>471.03</v>
      </c>
      <c r="K95" s="47">
        <v>411.94</v>
      </c>
      <c r="L95" s="47">
        <v>363.56</v>
      </c>
      <c r="M95" s="47">
        <v>374.72</v>
      </c>
      <c r="N95" s="47">
        <f>B95+C95+D95+E95+F95+G95+H95+I95+J95+K95+L95+M95</f>
        <v>6999.329999999999</v>
      </c>
    </row>
    <row r="96" spans="1:14" ht="16">
      <c r="A96" s="39" t="s">
        <v>92</v>
      </c>
      <c r="B96" s="47">
        <v>3266.27</v>
      </c>
      <c r="C96" s="47">
        <v>1730.27</v>
      </c>
      <c r="D96" s="47">
        <v>920.27</v>
      </c>
      <c r="E96" s="47">
        <v>920.27</v>
      </c>
      <c r="F96" s="47">
        <v>920.27</v>
      </c>
      <c r="G96" s="47">
        <v>1096.27</v>
      </c>
      <c r="H96" s="47">
        <v>920.27</v>
      </c>
      <c r="I96" s="46"/>
      <c r="J96" s="47">
        <v>983.6</v>
      </c>
      <c r="K96" s="47">
        <v>982.54</v>
      </c>
      <c r="L96" s="46"/>
      <c r="M96" s="46"/>
      <c r="N96" s="47">
        <f>B96+C96+D96+E96+F96+G96+H96+I96+J96+K96+L96+M96</f>
        <v>11740.030000000002</v>
      </c>
    </row>
    <row r="97" spans="1:14" ht="16">
      <c r="A97" s="39" t="s">
        <v>93</v>
      </c>
      <c r="B97" s="47">
        <v>1278.02</v>
      </c>
      <c r="C97" s="47">
        <v>956.4</v>
      </c>
      <c r="D97" s="47">
        <v>956.4</v>
      </c>
      <c r="E97" s="47">
        <v>956.4</v>
      </c>
      <c r="F97" s="47">
        <v>1230.52</v>
      </c>
      <c r="G97" s="47">
        <v>1230.52</v>
      </c>
      <c r="H97" s="47">
        <v>1230.52</v>
      </c>
      <c r="I97" s="47">
        <v>1230.52</v>
      </c>
      <c r="J97" s="47">
        <v>1230.52</v>
      </c>
      <c r="K97" s="46"/>
      <c r="L97" s="46"/>
      <c r="M97" s="47">
        <v>4817.36</v>
      </c>
      <c r="N97" s="47">
        <f>B97+C97+D97+E97+F97+G97+H97+I97+J97+K97+L97+M97</f>
        <v>15117.18</v>
      </c>
    </row>
    <row r="98" spans="1:14" ht="16">
      <c r="A98" s="40" t="s">
        <v>94</v>
      </c>
      <c r="B98" s="48">
        <f>B95+B96+B97</f>
        <v>5333.52</v>
      </c>
      <c r="C98" s="48">
        <f>C95+C96+C97</f>
        <v>3313.23</v>
      </c>
      <c r="D98" s="48">
        <f>D95+D96+D97</f>
        <v>2665.44</v>
      </c>
      <c r="E98" s="48">
        <f>E95+E96+E97</f>
        <v>2302.37</v>
      </c>
      <c r="F98" s="48">
        <f>F95+F96+F97</f>
        <v>2892.76</v>
      </c>
      <c r="G98" s="48">
        <f>G95+G96+G97</f>
        <v>3098.11</v>
      </c>
      <c r="H98" s="48">
        <f>H95+H96+H97</f>
        <v>2922.11</v>
      </c>
      <c r="I98" s="48">
        <f>I95+I96+I97</f>
        <v>1693.73</v>
      </c>
      <c r="J98" s="48">
        <f>J95+J96+J97</f>
        <v>2685.15</v>
      </c>
      <c r="K98" s="48">
        <f>K95+K96+K97</f>
        <v>1394.48</v>
      </c>
      <c r="L98" s="48">
        <f>L95+L96+L97</f>
        <v>363.56</v>
      </c>
      <c r="M98" s="48">
        <f>M95+M96+M97</f>
        <v>5192.08</v>
      </c>
      <c r="N98" s="49">
        <f>B98+C98+D98+E98+F98+G98+H98+I98+J98+K98+L98+M98</f>
        <v>33856.54</v>
      </c>
    </row>
    <row r="99" spans="1:14" ht="16">
      <c r="A99" s="38" t="s">
        <v>95</v>
      </c>
      <c r="B99" s="47">
        <v>3839.99</v>
      </c>
      <c r="C99" s="47">
        <v>4237.34</v>
      </c>
      <c r="D99" s="47">
        <v>3975.0</v>
      </c>
      <c r="E99" s="47">
        <v>1300.0</v>
      </c>
      <c r="F99" s="47">
        <v>4414.34</v>
      </c>
      <c r="G99" s="47">
        <v>3850.0</v>
      </c>
      <c r="H99" s="47">
        <v>1300.0</v>
      </c>
      <c r="I99" s="47">
        <v>4093.65</v>
      </c>
      <c r="J99" s="47">
        <v>4143.65</v>
      </c>
      <c r="K99" s="47">
        <v>2193.65</v>
      </c>
      <c r="L99" s="47">
        <v>1593.65</v>
      </c>
      <c r="M99" s="47">
        <v>9093.65</v>
      </c>
      <c r="N99" s="47">
        <f>B99+C99+D99+E99+F99+G99+H99+I99+J99+K99+L99+M99</f>
        <v>44034.920000000006</v>
      </c>
    </row>
    <row r="100" spans="1:14" ht="16">
      <c r="A100" s="38" t="s">
        <v>96</v>
      </c>
      <c r="B100" s="47">
        <v>849.15</v>
      </c>
      <c r="C100" s="46"/>
      <c r="D100" s="46"/>
      <c r="E100" s="46"/>
      <c r="F100" s="47">
        <v>7574.03</v>
      </c>
      <c r="G100" s="46"/>
      <c r="H100" s="46"/>
      <c r="I100" s="46"/>
      <c r="J100" s="47">
        <v>149.75</v>
      </c>
      <c r="K100" s="46"/>
      <c r="L100" s="46"/>
      <c r="M100" s="46"/>
      <c r="N100" s="47">
        <f>B100+C100+D100+E100+F100+G100+H100+I100+J100+K100+L100+M100</f>
        <v>8572.93</v>
      </c>
    </row>
    <row r="101" spans="1:14" ht="16">
      <c r="A101" s="38" t="s">
        <v>97</v>
      </c>
      <c r="B101" s="47">
        <v>12284.97</v>
      </c>
      <c r="C101" s="47">
        <v>12306.35</v>
      </c>
      <c r="D101" s="47">
        <v>5728.35</v>
      </c>
      <c r="E101" s="47">
        <v>5889.78</v>
      </c>
      <c r="F101" s="47">
        <v>2042.0</v>
      </c>
      <c r="G101" s="47">
        <v>1650.0</v>
      </c>
      <c r="H101" s="47">
        <v>1394.58</v>
      </c>
      <c r="I101" s="47">
        <v>2528.75</v>
      </c>
      <c r="J101" s="47">
        <v>5107.2</v>
      </c>
      <c r="K101" s="47">
        <v>4939.38</v>
      </c>
      <c r="L101" s="47">
        <v>6241.91</v>
      </c>
      <c r="M101" s="47">
        <v>5138.01</v>
      </c>
      <c r="N101" s="47">
        <f>B101+C101+D101+E101+F101+G101+H101+I101+J101+K101+L101+M101</f>
        <v>65251.27999999999</v>
      </c>
    </row>
    <row r="102" spans="1:14" ht="16">
      <c r="A102" s="38" t="s">
        <v>98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spans="1:14" ht="16">
      <c r="A103" s="39" t="s">
        <v>99</v>
      </c>
      <c r="B103" s="47">
        <v>2937.88</v>
      </c>
      <c r="C103" s="47">
        <v>2421.34</v>
      </c>
      <c r="D103" s="47">
        <v>2348.06</v>
      </c>
      <c r="E103" s="47">
        <v>2324.93</v>
      </c>
      <c r="F103" s="47">
        <v>2302.31</v>
      </c>
      <c r="G103" s="47">
        <v>2298.09</v>
      </c>
      <c r="H103" s="47">
        <v>2098.61</v>
      </c>
      <c r="I103" s="47">
        <v>1545.07</v>
      </c>
      <c r="J103" s="47">
        <v>1540.6</v>
      </c>
      <c r="K103" s="47">
        <v>1438.88</v>
      </c>
      <c r="L103" s="47">
        <v>1363.15</v>
      </c>
      <c r="M103" s="47">
        <v>1669.87</v>
      </c>
      <c r="N103" s="47">
        <f>B103+C103+D103+E103+F103+G103+H103+I103+J103+K103+L103+M103</f>
        <v>24288.79</v>
      </c>
    </row>
    <row r="104" spans="1:14" ht="16">
      <c r="A104" s="39" t="s">
        <v>100</v>
      </c>
      <c r="B104" s="47">
        <v>39078.95</v>
      </c>
      <c r="C104" s="47">
        <v>36869.47</v>
      </c>
      <c r="D104" s="47">
        <v>37746.69</v>
      </c>
      <c r="E104" s="47">
        <v>37787.06</v>
      </c>
      <c r="F104" s="47">
        <v>37787.04</v>
      </c>
      <c r="G104" s="47">
        <v>37787.09</v>
      </c>
      <c r="H104" s="47">
        <v>35279.33</v>
      </c>
      <c r="I104" s="47">
        <v>27958.21</v>
      </c>
      <c r="J104" s="47">
        <v>24774.36</v>
      </c>
      <c r="K104" s="47">
        <v>32684.75</v>
      </c>
      <c r="L104" s="47">
        <v>24892.17</v>
      </c>
      <c r="M104" s="47">
        <v>22266.99</v>
      </c>
      <c r="N104" s="47">
        <f>B104+C104+D104+E104+F104+G104+H104+I104+J104+K104+L104+M104</f>
        <v>394912.11</v>
      </c>
    </row>
    <row r="105" spans="1:14" ht="16">
      <c r="A105" s="40" t="s">
        <v>101</v>
      </c>
      <c r="B105" s="48">
        <f>B102+B103+B104</f>
        <v>42016.829999999994</v>
      </c>
      <c r="C105" s="48">
        <f>C102+C103+C104</f>
        <v>39290.81</v>
      </c>
      <c r="D105" s="48">
        <f>D102+D103+D104</f>
        <v>40094.75</v>
      </c>
      <c r="E105" s="48">
        <f>E102+E103+E104</f>
        <v>40111.99</v>
      </c>
      <c r="F105" s="48">
        <f>F102+F103+F104</f>
        <v>40089.35</v>
      </c>
      <c r="G105" s="48">
        <f>G102+G103+G104</f>
        <v>40085.17999999999</v>
      </c>
      <c r="H105" s="48">
        <f>H102+H103+H104</f>
        <v>37377.94</v>
      </c>
      <c r="I105" s="48">
        <f>I102+I103+I104</f>
        <v>29503.28</v>
      </c>
      <c r="J105" s="48">
        <f>J102+J103+J104</f>
        <v>26314.96</v>
      </c>
      <c r="K105" s="48">
        <f>K102+K103+K104</f>
        <v>34123.63</v>
      </c>
      <c r="L105" s="48">
        <f>L102+L103+L104</f>
        <v>26255.32</v>
      </c>
      <c r="M105" s="48">
        <f>M102+M103+M104</f>
        <v>23936.86</v>
      </c>
      <c r="N105" s="49">
        <f>B105+C105+D105+E105+F105+G105+H105+I105+J105+K105+L105+M105</f>
        <v>419200.9</v>
      </c>
    </row>
    <row r="106" spans="1:14" ht="16">
      <c r="A106" s="41" t="s">
        <v>102</v>
      </c>
      <c r="B106" s="48">
        <f>B79+B80+B84+B87+B93+B94+B98+B99+B100+B101+B105</f>
        <v>103244.70999999999</v>
      </c>
      <c r="C106" s="48">
        <f>C79+C80+C84+C87+C93+C94+C98+C99+C100+C101+C105</f>
        <v>84597.1</v>
      </c>
      <c r="D106" s="48">
        <f>D79+D80+D84+D87+D93+D94+D98+D99+D100+D101+D105</f>
        <v>78933.25</v>
      </c>
      <c r="E106" s="48">
        <f>E79+E80+E84+E87+E93+E94+E98+E99+E100+E101+E105</f>
        <v>74721.70999999999</v>
      </c>
      <c r="F106" s="48">
        <f>F79+F80+F84+F87+F93+F94+F98+F99+F100+F101+F105</f>
        <v>82459.23999999999</v>
      </c>
      <c r="G106" s="48">
        <f>G79+G80+G84+G87+G93+G94+G98+G99+G100+G101+G105</f>
        <v>79215.09999999999</v>
      </c>
      <c r="H106" s="48">
        <f>H79+H80+H84+H87+H93+H94+H98+H99+H100+H101+H105</f>
        <v>69014.67000000001</v>
      </c>
      <c r="I106" s="48">
        <f>I79+I80+I84+I87+I93+I94+I98+I99+I100+I101+I105</f>
        <v>66089.69</v>
      </c>
      <c r="J106" s="48">
        <f>J79+J80+J84+J87+J93+J94+J98+J99+J100+J101+J105</f>
        <v>56675.229999999996</v>
      </c>
      <c r="K106" s="48">
        <f>K79+K80+K84+K87+K93+K94+K98+K99+K100+K101+K105</f>
        <v>66033.34</v>
      </c>
      <c r="L106" s="48">
        <f>L79+L80+L84+L87+L93+L94+L98+L99+L100+L101+L105</f>
        <v>57143.840000000004</v>
      </c>
      <c r="M106" s="48">
        <f>M79+M80+M84+M87+M93+M94+M98+M99+M100+M101+M105</f>
        <v>55517.39000000001</v>
      </c>
      <c r="N106" s="49">
        <f>B106+C106+D106+E106+F106+G106+H106+I106+J106+K106+L106+M106</f>
        <v>873645.2699999999</v>
      </c>
    </row>
    <row r="107" spans="1:14" ht="16">
      <c r="A107" s="37" t="s">
        <v>103</v>
      </c>
      <c r="B107" s="46"/>
      <c r="C107" s="47">
        <v>-143.76</v>
      </c>
      <c r="D107" s="46"/>
      <c r="E107" s="46"/>
      <c r="F107" s="46"/>
      <c r="G107" s="46"/>
      <c r="H107" s="47">
        <v>476.64</v>
      </c>
      <c r="I107" s="46"/>
      <c r="J107" s="46"/>
      <c r="K107" s="46"/>
      <c r="L107" s="46"/>
      <c r="M107" s="46"/>
      <c r="N107" s="47">
        <f>B107+C107+D107+E107+F107+G107+H107+I107+J107+K107+L107+M107</f>
        <v>332.88</v>
      </c>
    </row>
    <row r="108" spans="1:14" ht="16">
      <c r="A108" s="37" t="s">
        <v>104</v>
      </c>
      <c r="B108" s="47">
        <v>3607.08</v>
      </c>
      <c r="C108" s="47">
        <v>1014.82</v>
      </c>
      <c r="D108" s="47">
        <v>5391.1</v>
      </c>
      <c r="E108" s="47">
        <v>4185.23</v>
      </c>
      <c r="F108" s="47">
        <v>6475.6</v>
      </c>
      <c r="G108" s="47">
        <v>6321.53</v>
      </c>
      <c r="H108" s="47">
        <v>1967.54</v>
      </c>
      <c r="I108" s="47">
        <v>2620.35</v>
      </c>
      <c r="J108" s="47">
        <v>4785.49</v>
      </c>
      <c r="K108" s="47">
        <v>1513.76</v>
      </c>
      <c r="L108" s="47">
        <v>571.39</v>
      </c>
      <c r="M108" s="47">
        <v>191.98</v>
      </c>
      <c r="N108" s="47">
        <f>B108+C108+D108+E108+F108+G108+H108+I108+J108+K108+L108+M108</f>
        <v>38645.87</v>
      </c>
    </row>
    <row r="109" spans="1:14" ht="16">
      <c r="A109" s="37" t="s">
        <v>105</v>
      </c>
      <c r="B109" s="47">
        <v>957.86</v>
      </c>
      <c r="C109" s="47">
        <v>285.4</v>
      </c>
      <c r="D109" s="47">
        <v>23.98</v>
      </c>
      <c r="E109" s="47">
        <v>185.9</v>
      </c>
      <c r="F109" s="46"/>
      <c r="G109" s="47">
        <v>731.57</v>
      </c>
      <c r="H109" s="47">
        <v>30.38</v>
      </c>
      <c r="I109" s="47">
        <v>462.25</v>
      </c>
      <c r="J109" s="47">
        <v>301.44</v>
      </c>
      <c r="K109" s="47">
        <v>649.82</v>
      </c>
      <c r="L109" s="46"/>
      <c r="M109" s="47">
        <v>442.42</v>
      </c>
      <c r="N109" s="47">
        <f>B109+C109+D109+E109+F109+G109+H109+I109+J109+K109+L109+M109</f>
        <v>4071.0200000000004</v>
      </c>
    </row>
    <row r="110" spans="1:14" ht="16">
      <c r="A110" s="37" t="s">
        <v>106</v>
      </c>
      <c r="B110" s="47">
        <v>152.78</v>
      </c>
      <c r="C110" s="47">
        <v>152.06</v>
      </c>
      <c r="D110" s="47">
        <v>705.6</v>
      </c>
      <c r="E110" s="47">
        <v>1805.48</v>
      </c>
      <c r="F110" s="47">
        <v>380.26</v>
      </c>
      <c r="G110" s="47">
        <v>28.34</v>
      </c>
      <c r="H110" s="51">
        <v>0</v>
      </c>
      <c r="I110" s="47">
        <v>1064.48</v>
      </c>
      <c r="J110" s="47">
        <v>53.6</v>
      </c>
      <c r="K110" s="47">
        <v>533.99</v>
      </c>
      <c r="L110" s="51">
        <v>0</v>
      </c>
      <c r="M110" s="47">
        <v>204.43</v>
      </c>
      <c r="N110" s="47">
        <f>B110+C110+D110+E110+F110+G110+H110+I110+J110+K110+L110+M110</f>
        <v>5081.02</v>
      </c>
    </row>
    <row r="111" spans="1:14" ht="16">
      <c r="A111" s="37" t="s">
        <v>107</v>
      </c>
      <c r="B111" s="47">
        <v>31.5</v>
      </c>
      <c r="C111" s="46"/>
      <c r="D111" s="47">
        <v>60.0</v>
      </c>
      <c r="E111" s="46"/>
      <c r="F111" s="47">
        <v>30.0</v>
      </c>
      <c r="G111" s="47">
        <v>4.5</v>
      </c>
      <c r="H111" s="47">
        <v>30.0</v>
      </c>
      <c r="I111" s="47">
        <v>55.65</v>
      </c>
      <c r="J111" s="47">
        <v>30.0</v>
      </c>
      <c r="K111" s="47">
        <v>20.64</v>
      </c>
      <c r="L111" s="47">
        <v>30.0</v>
      </c>
      <c r="M111" s="47">
        <v>31.5</v>
      </c>
      <c r="N111" s="47">
        <f>B111+C111+D111+E111+F111+G111+H111+I111+J111+K111+L111+M111</f>
        <v>323.79</v>
      </c>
    </row>
    <row r="112" spans="1:14" ht="16">
      <c r="A112" s="37" t="s">
        <v>108</v>
      </c>
      <c r="B112" s="47">
        <v>19.98</v>
      </c>
      <c r="C112" s="47">
        <v>-28.68</v>
      </c>
      <c r="D112" s="47">
        <v>3.9</v>
      </c>
      <c r="E112" s="51">
        <v>0</v>
      </c>
      <c r="F112" s="47">
        <v>-264.5</v>
      </c>
      <c r="G112" s="47">
        <v>129.44</v>
      </c>
      <c r="H112" s="46"/>
      <c r="I112" s="46"/>
      <c r="J112" s="46"/>
      <c r="K112" s="46"/>
      <c r="L112" s="47">
        <v>-349.58</v>
      </c>
      <c r="M112" s="46"/>
      <c r="N112" s="47">
        <f>B112+C112+D112+E112+F112+G112+H112+I112+J112+K112+L112+M112</f>
        <v>-489.44</v>
      </c>
    </row>
    <row r="113" spans="1:14" ht="16">
      <c r="A113" s="42" t="s">
        <v>109</v>
      </c>
      <c r="B113" s="48">
        <f>B64+B78+B106+B107+B108+B109+B110+B111+B112</f>
        <v>121676.55999999998</v>
      </c>
      <c r="C113" s="48">
        <f>C64+C78+C106+C107+C108+C109+C110+C111+C112</f>
        <v>105765.28000000001</v>
      </c>
      <c r="D113" s="48">
        <f>D64+D78+D106+D107+D108+D109+D110+D111+D112</f>
        <v>99610.0</v>
      </c>
      <c r="E113" s="48">
        <f>E64+E78+E106+E107+E108+E109+E110+E111+E112</f>
        <v>87677.68999999997</v>
      </c>
      <c r="F113" s="48">
        <f>F64+F78+F106+F107+F108+F109+F110+F111+F112</f>
        <v>118126.40999999999</v>
      </c>
      <c r="G113" s="48">
        <f>G64+G78+G106+G107+G108+G109+G110+G111+G112</f>
        <v>93768.59</v>
      </c>
      <c r="H113" s="48">
        <f>H64+H78+H106+H107+H108+H109+H110+H111+H112</f>
        <v>78912.18000000001</v>
      </c>
      <c r="I113" s="48">
        <f>I64+I78+I106+I107+I108+I109+I110+I111+I112</f>
        <v>94035.75</v>
      </c>
      <c r="J113" s="48">
        <f>J64+J78+J106+J107+J108+J109+J110+J111+J112</f>
        <v>66105.14</v>
      </c>
      <c r="K113" s="48">
        <f>K64+K78+K106+K107+K108+K109+K110+K111+K112</f>
        <v>68474.65000000001</v>
      </c>
      <c r="L113" s="48">
        <f>L64+L78+L106+L107+L108+L109+L110+L111+L112</f>
        <v>94747.26000000001</v>
      </c>
      <c r="M113" s="48">
        <f>M64+M78+M106+M107+M108+M109+M110+M111+M112</f>
        <v>68091.14</v>
      </c>
      <c r="N113" s="49">
        <f>B113+C113+D113+E113+F113+G113+H113+I113+J113+K113+L113+M113</f>
        <v>1096990.65</v>
      </c>
    </row>
    <row r="114" spans="1:14" ht="16">
      <c r="A114" s="42" t="s">
        <v>110</v>
      </c>
      <c r="B114" s="48">
        <f>B63-B113</f>
        <v>-92292.99000000002</v>
      </c>
      <c r="C114" s="48">
        <f>C63-C113</f>
        <v>-144257.14999999997</v>
      </c>
      <c r="D114" s="48">
        <f>D63-D113</f>
        <v>63933.75</v>
      </c>
      <c r="E114" s="48">
        <f>E63-E113</f>
        <v>-49158.84999999999</v>
      </c>
      <c r="F114" s="48">
        <f>F63-F113</f>
        <v>-80753.11999999997</v>
      </c>
      <c r="G114" s="48">
        <f>G63-G113</f>
        <v>-28124.930000000008</v>
      </c>
      <c r="H114" s="48">
        <f>H63-H113</f>
        <v>-61383.98999999999</v>
      </c>
      <c r="I114" s="48">
        <f>I63-I113</f>
        <v>-67044.18</v>
      </c>
      <c r="J114" s="48">
        <f>J63-J113</f>
        <v>-72729.3</v>
      </c>
      <c r="K114" s="48">
        <f>K63-K113</f>
        <v>-3108.62999999999</v>
      </c>
      <c r="L114" s="48">
        <f>L63-L113</f>
        <v>-33928.40999999999</v>
      </c>
      <c r="M114" s="48">
        <f>M63-M113</f>
        <v>-12222.829999999987</v>
      </c>
      <c r="N114" s="49">
        <f>B114+C114+D114+E114+F114+G114+H114+I114+J114+K114+L114+M114</f>
        <v>-581070.63</v>
      </c>
    </row>
    <row r="115" spans="1:13" ht="16">
      <c r="A115" s="36" t="s">
        <v>111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 spans="1:14" ht="16">
      <c r="A116" s="37" t="s">
        <v>112</v>
      </c>
      <c r="B116" s="47">
        <v>0.01</v>
      </c>
      <c r="C116" s="47">
        <v>0.01</v>
      </c>
      <c r="D116" s="47">
        <v>0.01</v>
      </c>
      <c r="E116" s="47">
        <v>0.01</v>
      </c>
      <c r="F116" s="47">
        <v>0.01</v>
      </c>
      <c r="G116" s="47">
        <v>0.01</v>
      </c>
      <c r="H116" s="46"/>
      <c r="I116" s="46"/>
      <c r="J116" s="46"/>
      <c r="K116" s="46"/>
      <c r="L116" s="47">
        <v>0.02</v>
      </c>
      <c r="M116" s="46"/>
      <c r="N116" s="47">
        <f>B116+C116+D116+E116+F116+G116+H116+I116+J116+K116+L116+M116</f>
        <v>0.08</v>
      </c>
    </row>
    <row r="117" spans="1:14" ht="16">
      <c r="A117" s="42" t="s">
        <v>113</v>
      </c>
      <c r="B117" s="48">
        <f>B115+B116</f>
        <v>0.01</v>
      </c>
      <c r="C117" s="48">
        <f>C115+C116</f>
        <v>0.01</v>
      </c>
      <c r="D117" s="48">
        <f>D115+D116</f>
        <v>0.01</v>
      </c>
      <c r="E117" s="48">
        <f>E115+E116</f>
        <v>0.01</v>
      </c>
      <c r="F117" s="48">
        <f>F115+F116</f>
        <v>0.01</v>
      </c>
      <c r="G117" s="48">
        <f>G115+G116</f>
        <v>0.01</v>
      </c>
      <c r="H117" s="49">
        <f>H115+H116</f>
        <v>0.0</v>
      </c>
      <c r="I117" s="49">
        <f>I115+I116</f>
        <v>0.0</v>
      </c>
      <c r="J117" s="49">
        <f>J115+J116</f>
        <v>0.0</v>
      </c>
      <c r="K117" s="49">
        <f>K115+K116</f>
        <v>0.0</v>
      </c>
      <c r="L117" s="48">
        <f>L115+L116</f>
        <v>0.02</v>
      </c>
      <c r="M117" s="49">
        <f>M115+M116</f>
        <v>0.0</v>
      </c>
      <c r="N117" s="49">
        <f>B117+C117+D117+E117+F117+G117+H117+I117+J117+K117+L117+M117</f>
        <v>0.08</v>
      </c>
    </row>
    <row r="118" spans="1:13" ht="16">
      <c r="A118" s="36" t="s">
        <v>114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4" ht="16">
      <c r="A119" s="37" t="s">
        <v>115</v>
      </c>
      <c r="B119" s="46"/>
      <c r="C119" s="46"/>
      <c r="D119" s="46"/>
      <c r="E119" s="46"/>
      <c r="F119" s="46"/>
      <c r="G119" s="46"/>
      <c r="H119" s="46"/>
      <c r="I119" s="46"/>
      <c r="J119" s="47">
        <v>-16500.0</v>
      </c>
      <c r="K119" s="46"/>
      <c r="L119" s="46"/>
      <c r="M119" s="46"/>
      <c r="N119" s="47">
        <f>B119+C119+D119+E119+F119+G119+H119+I119+J119+K119+L119+M119</f>
        <v>-16500.0</v>
      </c>
    </row>
    <row r="120" spans="1:14" ht="16">
      <c r="A120" s="37" t="s">
        <v>116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7">
        <v>83.25</v>
      </c>
      <c r="M120" s="46"/>
      <c r="N120" s="47">
        <f>B120+C120+D120+E120+F120+G120+H120+I120+J120+K120+L120+M120</f>
        <v>83.25</v>
      </c>
    </row>
    <row r="121" spans="1:14" ht="16">
      <c r="A121" s="42" t="s">
        <v>117</v>
      </c>
      <c r="B121" s="49">
        <f>B118+B119+B120</f>
        <v>0.0</v>
      </c>
      <c r="C121" s="49">
        <f>C118+C119+C120</f>
        <v>0.0</v>
      </c>
      <c r="D121" s="49">
        <f>D118+D119+D120</f>
        <v>0.0</v>
      </c>
      <c r="E121" s="49">
        <f>E118+E119+E120</f>
        <v>0.0</v>
      </c>
      <c r="F121" s="49">
        <f>F118+F119+F120</f>
        <v>0.0</v>
      </c>
      <c r="G121" s="49">
        <f>G118+G119+G120</f>
        <v>0.0</v>
      </c>
      <c r="H121" s="49">
        <f>H118+H119+H120</f>
        <v>0.0</v>
      </c>
      <c r="I121" s="49">
        <f>I118+I119+I120</f>
        <v>0.0</v>
      </c>
      <c r="J121" s="48">
        <f>J118+J119+J120</f>
        <v>-16500.0</v>
      </c>
      <c r="K121" s="49">
        <f>K118+K119+K120</f>
        <v>0.0</v>
      </c>
      <c r="L121" s="48">
        <f>L118+L119+L120</f>
        <v>83.25</v>
      </c>
      <c r="M121" s="49">
        <f>M118+M119+M120</f>
        <v>0.0</v>
      </c>
      <c r="N121" s="49">
        <f>B121+C121+D121+E121+F121+G121+H121+I121+J121+K121+L121+M121</f>
        <v>-16416.75</v>
      </c>
    </row>
    <row r="122" spans="1:14" ht="16">
      <c r="A122" s="42" t="s">
        <v>118</v>
      </c>
      <c r="B122" s="48">
        <f>B117-B121</f>
        <v>0.01</v>
      </c>
      <c r="C122" s="48">
        <f>C117-C121</f>
        <v>0.01</v>
      </c>
      <c r="D122" s="48">
        <f>D117-D121</f>
        <v>0.01</v>
      </c>
      <c r="E122" s="48">
        <f>E117-E121</f>
        <v>0.01</v>
      </c>
      <c r="F122" s="48">
        <f>F117-F121</f>
        <v>0.01</v>
      </c>
      <c r="G122" s="48">
        <f>G117-G121</f>
        <v>0.01</v>
      </c>
      <c r="H122" s="49">
        <f>H117-H121</f>
        <v>0.0</v>
      </c>
      <c r="I122" s="49">
        <f>I117-I121</f>
        <v>0.0</v>
      </c>
      <c r="J122" s="48">
        <f>J117-J121</f>
        <v>16500.0</v>
      </c>
      <c r="K122" s="49">
        <f>K117-K121</f>
        <v>0.0</v>
      </c>
      <c r="L122" s="48">
        <f>L117-L121</f>
        <v>-83.23</v>
      </c>
      <c r="M122" s="49">
        <f>M117-M121</f>
        <v>0.0</v>
      </c>
      <c r="N122" s="49">
        <f>B122+C122+D122+E122+F122+G122+H122+I122+J122+K122+L122+M122</f>
        <v>16416.83</v>
      </c>
    </row>
    <row r="123" spans="1:14" ht="16">
      <c r="A123" s="42" t="s">
        <v>119</v>
      </c>
      <c r="B123" s="48">
        <f>B114+B122</f>
        <v>-92292.98000000003</v>
      </c>
      <c r="C123" s="48">
        <f>C114+C122</f>
        <v>-144257.13999999996</v>
      </c>
      <c r="D123" s="48">
        <f>D114+D122</f>
        <v>63933.76</v>
      </c>
      <c r="E123" s="48">
        <f>E114+E122</f>
        <v>-49158.83999999999</v>
      </c>
      <c r="F123" s="48">
        <f>F114+F122</f>
        <v>-80753.10999999997</v>
      </c>
      <c r="G123" s="48">
        <f>G114+G122</f>
        <v>-28124.92000000001</v>
      </c>
      <c r="H123" s="48">
        <f>H114+H122</f>
        <v>-61383.98999999999</v>
      </c>
      <c r="I123" s="48">
        <f>I114+I122</f>
        <v>-67044.18</v>
      </c>
      <c r="J123" s="48">
        <f>J114+J122</f>
        <v>-56229.3</v>
      </c>
      <c r="K123" s="48">
        <f>K114+K122</f>
        <v>-3108.62999999999</v>
      </c>
      <c r="L123" s="48">
        <f>L114+L122</f>
        <v>-34011.63999999999</v>
      </c>
      <c r="M123" s="48">
        <f>M114+M122</f>
        <v>-12222.829999999987</v>
      </c>
      <c r="N123" s="49">
        <f>B123+C123+D123+E123+F123+G123+H123+I123+J123+K123+L123+M123</f>
        <v>-564653.7999999998</v>
      </c>
    </row>
    <row r="127" spans="1:1" ht="16">
      <c r="A127" s="52" t="s">
        <v>134</v>
      </c>
    </row>
  </sheetData>
  <mergeCells count="4">
    <mergeCell ref="A1:N1"/>
    <mergeCell ref="A2:N2"/>
    <mergeCell ref="A3:N3"/>
    <mergeCell ref="A127:N1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