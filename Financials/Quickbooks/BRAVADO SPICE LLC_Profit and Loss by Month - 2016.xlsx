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7" i="1" l="1"/>
</calcChain>
</file>

<file path=xl/sharedStrings.xml><?xml version="1.0" encoding="utf-8"?>
<sst xmlns="http://schemas.openxmlformats.org/spreadsheetml/2006/main" count="100" uniqueCount="100">
  <si>
    <t>BRAVADO SPICE LLC</t>
  </si>
  <si>
    <t>Profit and Loss by Month</t>
  </si>
  <si>
    <t>January 1-December 31, 2016</t>
  </si>
  <si>
    <t>Income</t>
  </si>
  <si>
    <t>61000 Sales</t>
  </si>
  <si>
    <t>61100 Pickles</t>
  </si>
  <si>
    <t>61120 Chili &amp; Garlic Pickles</t>
  </si>
  <si>
    <t>Total for 61100 Pickles</t>
  </si>
  <si>
    <t>61200 Hot Sauce</t>
  </si>
  <si>
    <t>61210 Pineapple &amp; Habanero Hot Sauce</t>
  </si>
  <si>
    <t>61220 Jalapeno &amp; Green Apple Hot Sauce</t>
  </si>
  <si>
    <t>61230 Ghost Pepper &amp; Blueberry Hot Sauce</t>
  </si>
  <si>
    <t>61240 Crimson Hot Sauce</t>
  </si>
  <si>
    <t>Total for 61200 Hot Sauce</t>
  </si>
  <si>
    <t>61300 Seasonings</t>
  </si>
  <si>
    <t>61310 Jalapeno &amp; Garlic Seasoning</t>
  </si>
  <si>
    <t>61320 Crimson Seasonings</t>
  </si>
  <si>
    <t>Total for 61300 Seasonings</t>
  </si>
  <si>
    <t>61500 Sets</t>
  </si>
  <si>
    <t>63000 Events/Shows Sales</t>
  </si>
  <si>
    <t>64000 Online Sales</t>
  </si>
  <si>
    <t>64100 Online Refunds/Allowances</t>
  </si>
  <si>
    <t>Total for 64000 Online Sales</t>
  </si>
  <si>
    <t>Total for 61000 Sales</t>
  </si>
  <si>
    <t>66000 Other Income</t>
  </si>
  <si>
    <t>67000 Uncategorized Income</t>
  </si>
  <si>
    <t>Sales of Product Income</t>
  </si>
  <si>
    <t>Total for Income</t>
  </si>
  <si>
    <t>Cost of Goods Sold</t>
  </si>
  <si>
    <t>71000 Cost of Sales (COS)</t>
  </si>
  <si>
    <t>71100 Shipping &amp; Delivery - COS</t>
  </si>
  <si>
    <t>71200 Other Costs - COS</t>
  </si>
  <si>
    <t>71300 Ingredients - COS</t>
  </si>
  <si>
    <t>71400 Co-Packer - COGS</t>
  </si>
  <si>
    <t>71500 Materials - COS</t>
  </si>
  <si>
    <t>On-Invoice Discounts</t>
  </si>
  <si>
    <t>QuickBooks Payments Fees</t>
  </si>
  <si>
    <t>Total for 71000 Cost of Sales (COS)</t>
  </si>
  <si>
    <t>Total for Cost of Goods Sold</t>
  </si>
  <si>
    <t>Gross Profit</t>
  </si>
  <si>
    <t>Expenses</t>
  </si>
  <si>
    <t>72000 Marketing/Advertising</t>
  </si>
  <si>
    <t>72100 Freight &amp; Delivery - Marketing</t>
  </si>
  <si>
    <t>72200 Social Media Marketing</t>
  </si>
  <si>
    <t>72300 Promotional</t>
  </si>
  <si>
    <t>72400 Travel</t>
  </si>
  <si>
    <t>72500 Events/Shows</t>
  </si>
  <si>
    <t>72600 In Store Marketing</t>
  </si>
  <si>
    <t>Total for 72000 Marketing/Advertising</t>
  </si>
  <si>
    <t>73000 Overhead Expenses (G&amp;A)</t>
  </si>
  <si>
    <t>73100 Rent or Lease</t>
  </si>
  <si>
    <t>73110 Office Rent</t>
  </si>
  <si>
    <t>73120 James Office</t>
  </si>
  <si>
    <t>73130 Jer Office</t>
  </si>
  <si>
    <t>Total for 73100 Rent or Lease</t>
  </si>
  <si>
    <t>73200 Office Expenses</t>
  </si>
  <si>
    <t>73210 Shipping Supplies</t>
  </si>
  <si>
    <t>Total for 73200 Office Expenses</t>
  </si>
  <si>
    <t>73300 Utilities</t>
  </si>
  <si>
    <t>73400 Financial Fees</t>
  </si>
  <si>
    <t>73410 Bank Fees</t>
  </si>
  <si>
    <t>73420 Credit Card Fees</t>
  </si>
  <si>
    <t>73450 Interest Expense</t>
  </si>
  <si>
    <t>73460 Line of Credit Fee | AT</t>
  </si>
  <si>
    <t>Total for 73400 Financial Fees</t>
  </si>
  <si>
    <t>73500 Dues &amp; Subscriptions</t>
  </si>
  <si>
    <t>73600 Insurance</t>
  </si>
  <si>
    <t>73620 Insurance - Liability</t>
  </si>
  <si>
    <t>73630 Insurance - Auto</t>
  </si>
  <si>
    <t>Total for 73600 Insurance</t>
  </si>
  <si>
    <t>73700 Professional Fees</t>
  </si>
  <si>
    <t>73800 Taxes &amp; Licenses</t>
  </si>
  <si>
    <t>73900 1099 Non-Employee Compensation</t>
  </si>
  <si>
    <t>Total for 73000 Overhead Expenses (G&amp;A)</t>
  </si>
  <si>
    <t>74000 Bad Debts</t>
  </si>
  <si>
    <t>75000 Travel</t>
  </si>
  <si>
    <t>76000 Repair &amp; Maintenance</t>
  </si>
  <si>
    <t>Total for Expenses</t>
  </si>
  <si>
    <t>Net Operating Income</t>
  </si>
  <si>
    <t>Other Expenses</t>
  </si>
  <si>
    <t>90000 Other Miscellaneous Expense</t>
  </si>
  <si>
    <t>Reconciliation Discrepancies</t>
  </si>
  <si>
    <t>Total for Other Expenses</t>
  </si>
  <si>
    <t>Net Other Income</t>
  </si>
  <si>
    <t>Net Income</t>
  </si>
  <si>
    <t/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</si>
  <si>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</si>
  <si>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</si>
  <si>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</si>
  <si>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</si>
  <si>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</si>
  <si>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</si>
  <si>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</si>
  <si>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</si>
  <si>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</si>
  <si>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</si>
  <si>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</si>
  <si>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</si>
  <si>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Total</t>
  </si>
  <si>
    <t>Accrual Basis Tuesday, August 25, 2026 03:27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</si>
</sst>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177" fontId="3" fillId="0" borderId="0" xfId="0" applyNumberFormat="1" applyFont="1"/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7" fontId="5" fillId="0" borderId="2" xfId="0" applyNumberFormat="1" applyFont="1" applyBorder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91"/>
  <sheetViews>
    <sheetView tabSelected="1" workbookViewId="0" topLeftCell="A1"/>
  </sheetViews>
  <sheetFormatPr defaultColWidth="11.255" defaultRowHeight="16"/>
  <cols>
    <col min="1" max="1" width="35" style="43" customWidth="1"/>
    <col min="2" max="2" width="17" style="43" customWidth="1"/>
    <col min="3" max="8" width="16.125" style="43" customWidth="1"/>
    <col min="9" max="10" width="17" style="43" customWidth="1"/>
    <col min="11" max="13" width="16.125" style="43" customWidth="1"/>
    <col min="14" max="14" width="17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14" ht="16">
      <c r="A5" s="45" t="s">
        <v>85</v>
      </c>
      <c r="B5" s="50" t="s">
        <v>86</v>
      </c>
      <c r="C5" s="50" t="s">
        <v>87</v>
      </c>
      <c r="D5" s="50" t="s">
        <v>88</v>
      </c>
      <c r="E5" s="50" t="s">
        <v>89</v>
      </c>
      <c r="F5" s="50" t="s">
        <v>90</v>
      </c>
      <c r="G5" s="50" t="s">
        <v>91</v>
      </c>
      <c r="H5" s="50" t="s">
        <v>92</v>
      </c>
      <c r="I5" s="50" t="s">
        <v>93</v>
      </c>
      <c r="J5" s="50" t="s">
        <v>94</v>
      </c>
      <c r="K5" s="50" t="s">
        <v>95</v>
      </c>
      <c r="L5" s="50" t="s">
        <v>96</v>
      </c>
      <c r="M5" s="50" t="s">
        <v>97</v>
      </c>
      <c r="N5" s="50" t="s">
        <v>98</v>
      </c>
    </row>
    <row r="6" spans="1:13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4" ht="16">
      <c r="A7" s="37" t="s">
        <v>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4" ht="16">
      <c r="A8" s="38" t="s">
        <v>5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4" ht="16">
      <c r="A9" s="39" t="s">
        <v>6</v>
      </c>
      <c r="B9" s="46"/>
      <c r="C9" s="48">
        <v>1458.6</v>
      </c>
      <c r="D9" s="48">
        <v>686.4</v>
      </c>
      <c r="E9" s="48">
        <v>858.0</v>
      </c>
      <c r="F9" s="48">
        <v>343.2</v>
      </c>
      <c r="G9" s="48">
        <v>943.8</v>
      </c>
      <c r="H9" s="48">
        <v>755.04</v>
      </c>
      <c r="I9" s="48">
        <v>729.3</v>
      </c>
      <c r="J9" s="48">
        <v>171.6</v>
      </c>
      <c r="K9" s="46"/>
      <c r="L9" s="46"/>
      <c r="M9" s="48">
        <v>57.49</v>
      </c>
      <c r="N9" s="48">
        <f>B9+C9+D9+E9+F9+G9+H9+I9+J9+K9+L9+M9</f>
        <v>6003.43</v>
      </c>
    </row>
    <row r="10" spans="1:14" ht="16">
      <c r="A10" s="40" t="s">
        <v>7</v>
      </c>
      <c r="B10" s="47">
        <f>B8+B9</f>
        <v>0.0</v>
      </c>
      <c r="C10" s="49">
        <f>C8+C9</f>
        <v>1458.6</v>
      </c>
      <c r="D10" s="49">
        <f>D8+D9</f>
        <v>686.4</v>
      </c>
      <c r="E10" s="49">
        <f>E8+E9</f>
        <v>858.0</v>
      </c>
      <c r="F10" s="49">
        <f>F8+F9</f>
        <v>343.2</v>
      </c>
      <c r="G10" s="49">
        <f>G8+G9</f>
        <v>943.8</v>
      </c>
      <c r="H10" s="49">
        <f>H8+H9</f>
        <v>755.04</v>
      </c>
      <c r="I10" s="49">
        <f>I8+I9</f>
        <v>729.3</v>
      </c>
      <c r="J10" s="49">
        <f>J8+J9</f>
        <v>171.6</v>
      </c>
      <c r="K10" s="47">
        <f>K8+K9</f>
        <v>0.0</v>
      </c>
      <c r="L10" s="47">
        <f>L8+L9</f>
        <v>0.0</v>
      </c>
      <c r="M10" s="49">
        <f>M8+M9</f>
        <v>57.49</v>
      </c>
      <c r="N10" s="47">
        <f>B10+C10+D10+E10+F10+G10+H10+I10+J10+K10+L10+M10</f>
        <v>6003.43</v>
      </c>
    </row>
    <row r="11" spans="1:14" ht="16">
      <c r="A11" s="38" t="s">
        <v>8</v>
      </c>
      <c r="B11" s="46"/>
      <c r="C11" s="46"/>
      <c r="D11" s="48">
        <v>304.8</v>
      </c>
      <c r="E11" s="48">
        <v>428.4</v>
      </c>
      <c r="F11" s="48">
        <v>142.2</v>
      </c>
      <c r="G11" s="48">
        <v>237.0</v>
      </c>
      <c r="H11" s="48">
        <v>147.4</v>
      </c>
      <c r="I11" s="48">
        <v>47.4</v>
      </c>
      <c r="J11" s="48">
        <v>47.4</v>
      </c>
      <c r="K11" s="48">
        <v>32.0</v>
      </c>
      <c r="L11" s="48">
        <v>130.8</v>
      </c>
      <c r="M11" s="48">
        <v>64.0</v>
      </c>
      <c r="N11" s="48">
        <f>B11+C11+D11+E11+F11+G11+H11+I11+J11+K11+L11+M11</f>
        <v>1581.4000000000003</v>
      </c>
    </row>
    <row r="12" spans="1:14" ht="16">
      <c r="A12" s="39" t="s">
        <v>9</v>
      </c>
      <c r="B12" s="48">
        <v>1377.25</v>
      </c>
      <c r="C12" s="48">
        <v>1400.6</v>
      </c>
      <c r="D12" s="48">
        <v>45517.26</v>
      </c>
      <c r="E12" s="48">
        <v>29744.68</v>
      </c>
      <c r="F12" s="48">
        <v>2938.26</v>
      </c>
      <c r="G12" s="48">
        <v>2916.22</v>
      </c>
      <c r="H12" s="48">
        <v>15994.09</v>
      </c>
      <c r="I12" s="48">
        <v>3100.32</v>
      </c>
      <c r="J12" s="48">
        <v>2131.7</v>
      </c>
      <c r="K12" s="48">
        <v>12202.96</v>
      </c>
      <c r="L12" s="48">
        <v>4217.64</v>
      </c>
      <c r="M12" s="48">
        <v>4213.32</v>
      </c>
      <c r="N12" s="48">
        <f>B12+C12+D12+E12+F12+G12+H12+I12+J12+K12+L12+M12</f>
        <v>125754.29999999999</v>
      </c>
    </row>
    <row r="13" spans="1:14" ht="16">
      <c r="A13" s="39" t="s">
        <v>10</v>
      </c>
      <c r="B13" s="48">
        <v>1526.85</v>
      </c>
      <c r="C13" s="48">
        <v>917.1</v>
      </c>
      <c r="D13" s="48">
        <v>1949.3</v>
      </c>
      <c r="E13" s="48">
        <v>2605.0</v>
      </c>
      <c r="F13" s="48">
        <v>2365.9</v>
      </c>
      <c r="G13" s="48">
        <v>1332.98</v>
      </c>
      <c r="H13" s="48">
        <v>2281.2</v>
      </c>
      <c r="I13" s="48">
        <v>1601.98</v>
      </c>
      <c r="J13" s="48">
        <v>2108.78</v>
      </c>
      <c r="K13" s="48">
        <v>4494.44</v>
      </c>
      <c r="L13" s="48">
        <v>2869.14</v>
      </c>
      <c r="M13" s="48">
        <v>3238.12</v>
      </c>
      <c r="N13" s="48">
        <f>B13+C13+D13+E13+F13+G13+H13+I13+J13+K13+L13+M13</f>
        <v>27290.789999999994</v>
      </c>
    </row>
    <row r="14" spans="1:14" ht="16">
      <c r="A14" s="39" t="s">
        <v>11</v>
      </c>
      <c r="B14" s="48">
        <v>1115.85</v>
      </c>
      <c r="C14" s="48">
        <v>858.2</v>
      </c>
      <c r="D14" s="48">
        <v>2274.38</v>
      </c>
      <c r="E14" s="48">
        <v>2768.68</v>
      </c>
      <c r="F14" s="48">
        <v>3226.54</v>
      </c>
      <c r="G14" s="48">
        <v>1658.8</v>
      </c>
      <c r="H14" s="48">
        <v>3177.28</v>
      </c>
      <c r="I14" s="48">
        <v>1506.76</v>
      </c>
      <c r="J14" s="48">
        <v>1618.7</v>
      </c>
      <c r="K14" s="48">
        <v>5934.36</v>
      </c>
      <c r="L14" s="48">
        <v>3116.94</v>
      </c>
      <c r="M14" s="48">
        <v>4090.84</v>
      </c>
      <c r="N14" s="48">
        <f>B14+C14+D14+E14+F14+G14+H14+I14+J14+K14+L14+M14</f>
        <v>31347.33</v>
      </c>
    </row>
    <row r="15" spans="1:14" ht="16">
      <c r="A15" s="39" t="s">
        <v>12</v>
      </c>
      <c r="B15" s="48">
        <v>1223.05</v>
      </c>
      <c r="C15" s="48">
        <v>672.9</v>
      </c>
      <c r="D15" s="48">
        <v>1836.3</v>
      </c>
      <c r="E15" s="48">
        <v>1683.4</v>
      </c>
      <c r="F15" s="48">
        <v>1994.4</v>
      </c>
      <c r="G15" s="48">
        <v>1447.6</v>
      </c>
      <c r="H15" s="48">
        <v>1379.2</v>
      </c>
      <c r="I15" s="48">
        <v>5175.6</v>
      </c>
      <c r="J15" s="48">
        <v>1973.98</v>
      </c>
      <c r="K15" s="48">
        <v>5350.4</v>
      </c>
      <c r="L15" s="48">
        <v>2857.44</v>
      </c>
      <c r="M15" s="48">
        <v>1978.92</v>
      </c>
      <c r="N15" s="48">
        <f>B15+C15+D15+E15+F15+G15+H15+I15+J15+K15+L15+M15</f>
        <v>27573.190000000002</v>
      </c>
    </row>
    <row r="16" spans="1:14" ht="16">
      <c r="A16" s="40" t="s">
        <v>13</v>
      </c>
      <c r="B16" s="49">
        <f>B11+B12+B13+B14+B15</f>
        <v>5243.0</v>
      </c>
      <c r="C16" s="49">
        <f>C11+C12+C13+C14+C15</f>
        <v>3848.7999999999997</v>
      </c>
      <c r="D16" s="49">
        <f>D11+D12+D13+D14+D15</f>
        <v>51882.04000000001</v>
      </c>
      <c r="E16" s="49">
        <f>E11+E12+E13+E14+E15</f>
        <v>37230.16</v>
      </c>
      <c r="F16" s="49">
        <f>F11+F12+F13+F14+F15</f>
        <v>10667.300000000001</v>
      </c>
      <c r="G16" s="49">
        <f>G11+G12+G13+G14+G15</f>
        <v>7592.6</v>
      </c>
      <c r="H16" s="49">
        <f>H11+H12+H13+H14+H15</f>
        <v>22979.17</v>
      </c>
      <c r="I16" s="49">
        <f>I11+I12+I13+I14+I15</f>
        <v>11432.060000000001</v>
      </c>
      <c r="J16" s="49">
        <f>J11+J12+J13+J14+J15</f>
        <v>7880.5599999999995</v>
      </c>
      <c r="K16" s="49">
        <f>K11+K12+K13+K14+K15</f>
        <v>28014.159999999996</v>
      </c>
      <c r="L16" s="49">
        <f>L11+L12+L13+L14+L15</f>
        <v>13191.960000000001</v>
      </c>
      <c r="M16" s="49">
        <f>M11+M12+M13+M14+M15</f>
        <v>13585.199999999999</v>
      </c>
      <c r="N16" s="47">
        <f>B16+C16+D16+E16+F16+G16+H16+I16+J16+K16+L16+M16</f>
        <v>213547.01</v>
      </c>
    </row>
    <row r="17" spans="1:14" ht="16">
      <c r="A17" s="38" t="s">
        <v>14</v>
      </c>
      <c r="B17" s="46"/>
      <c r="C17" s="48">
        <v>-11.85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8">
        <f>B17+C17+D17+E17+F17+G17+H17+I17+J17+K17+L17+M17</f>
        <v>-11.85</v>
      </c>
    </row>
    <row r="18" spans="1:14" ht="16">
      <c r="A18" s="39" t="s">
        <v>15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8">
        <v>1315.92</v>
      </c>
      <c r="M18" s="48">
        <v>653.76</v>
      </c>
      <c r="N18" s="48">
        <f>B18+C18+D18+E18+F18+G18+H18+I18+J18+K18+L18+M18</f>
        <v>1969.68</v>
      </c>
    </row>
    <row r="19" spans="1:14" ht="16">
      <c r="A19" s="39" t="s">
        <v>16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8">
        <v>1222.32</v>
      </c>
      <c r="M19" s="48">
        <v>980.64</v>
      </c>
      <c r="N19" s="48">
        <f>B19+C19+D19+E19+F19+G19+H19+I19+J19+K19+L19+M19</f>
        <v>2202.96</v>
      </c>
    </row>
    <row r="20" spans="1:14" ht="16">
      <c r="A20" s="40" t="s">
        <v>17</v>
      </c>
      <c r="B20" s="47">
        <f>B17+B18+B19</f>
        <v>0.0</v>
      </c>
      <c r="C20" s="49">
        <f>C17+C18+C19</f>
        <v>-11.85</v>
      </c>
      <c r="D20" s="47">
        <f>D17+D18+D19</f>
        <v>0.0</v>
      </c>
      <c r="E20" s="47">
        <f>E17+E18+E19</f>
        <v>0.0</v>
      </c>
      <c r="F20" s="47">
        <f>F17+F18+F19</f>
        <v>0.0</v>
      </c>
      <c r="G20" s="47">
        <f>G17+G18+G19</f>
        <v>0.0</v>
      </c>
      <c r="H20" s="47">
        <f>H17+H18+H19</f>
        <v>0.0</v>
      </c>
      <c r="I20" s="47">
        <f>I17+I18+I19</f>
        <v>0.0</v>
      </c>
      <c r="J20" s="47">
        <f>J17+J18+J19</f>
        <v>0.0</v>
      </c>
      <c r="K20" s="47">
        <f>K17+K18+K19</f>
        <v>0.0</v>
      </c>
      <c r="L20" s="49">
        <f>L17+L18+L19</f>
        <v>2538.24</v>
      </c>
      <c r="M20" s="49">
        <f>M17+M18+M19</f>
        <v>1634.4</v>
      </c>
      <c r="N20" s="47">
        <f>B20+C20+D20+E20+F20+G20+H20+I20+J20+K20+L20+M20</f>
        <v>4160.79</v>
      </c>
    </row>
    <row r="21" spans="1:14" ht="16">
      <c r="A21" s="38" t="s">
        <v>18</v>
      </c>
      <c r="B21" s="46"/>
      <c r="C21" s="48">
        <v>3751.5</v>
      </c>
      <c r="D21" s="48">
        <v>2867.38</v>
      </c>
      <c r="E21" s="48">
        <v>-13.23</v>
      </c>
      <c r="F21" s="48">
        <v>376.36</v>
      </c>
      <c r="G21" s="48">
        <v>-14.22</v>
      </c>
      <c r="H21" s="48">
        <v>-114.0</v>
      </c>
      <c r="I21" s="48">
        <v>-39.0</v>
      </c>
      <c r="J21" s="48">
        <v>-9.48</v>
      </c>
      <c r="K21" s="48">
        <v>-538.96</v>
      </c>
      <c r="L21" s="51">
        <v>0</v>
      </c>
      <c r="M21" s="48">
        <v>750.0</v>
      </c>
      <c r="N21" s="48">
        <f>B21+C21+D21+E21+F21+G21+H21+I21+J21+K21+L21+M21</f>
        <v>7016.35</v>
      </c>
    </row>
    <row r="22" spans="1:14" ht="16">
      <c r="A22" s="38" t="s">
        <v>19</v>
      </c>
      <c r="B22" s="48">
        <v>424.85</v>
      </c>
      <c r="C22" s="48">
        <v>1764.7</v>
      </c>
      <c r="D22" s="48">
        <v>2170.56</v>
      </c>
      <c r="E22" s="48">
        <v>3070.93</v>
      </c>
      <c r="F22" s="48">
        <v>64.18</v>
      </c>
      <c r="G22" s="48">
        <v>5834.3</v>
      </c>
      <c r="H22" s="48">
        <v>1056.38</v>
      </c>
      <c r="I22" s="48">
        <v>2004.19</v>
      </c>
      <c r="J22" s="48">
        <v>29.17</v>
      </c>
      <c r="K22" s="48">
        <v>835.9</v>
      </c>
      <c r="L22" s="48">
        <v>8451.99</v>
      </c>
      <c r="M22" s="48">
        <v>6627.32</v>
      </c>
      <c r="N22" s="48">
        <f>B22+C22+D22+E22+F22+G22+H22+I22+J22+K22+L22+M22</f>
        <v>32334.47</v>
      </c>
    </row>
    <row r="23" spans="1:14" ht="16">
      <c r="A23" s="38" t="s">
        <v>20</v>
      </c>
      <c r="B23" s="48">
        <v>563.44</v>
      </c>
      <c r="C23" s="48">
        <v>785.78</v>
      </c>
      <c r="D23" s="48">
        <v>4598.57</v>
      </c>
      <c r="E23" s="48">
        <v>3434.61</v>
      </c>
      <c r="F23" s="48">
        <v>1349.42</v>
      </c>
      <c r="G23" s="48">
        <v>947.1</v>
      </c>
      <c r="H23" s="48">
        <v>941.08</v>
      </c>
      <c r="I23" s="48">
        <v>689.77</v>
      </c>
      <c r="J23" s="48">
        <v>1212.75</v>
      </c>
      <c r="K23" s="48">
        <v>779.06</v>
      </c>
      <c r="L23" s="48">
        <v>2597.01</v>
      </c>
      <c r="M23" s="48">
        <v>3688.71</v>
      </c>
      <c r="N23" s="48">
        <f>B23+C23+D23+E23+F23+G23+H23+I23+J23+K23+L23+M23</f>
        <v>21587.3</v>
      </c>
    </row>
    <row r="24" spans="1:14" ht="16">
      <c r="A24" s="39" t="s">
        <v>21</v>
      </c>
      <c r="B24" s="48">
        <v>-35.0</v>
      </c>
      <c r="C24" s="46"/>
      <c r="D24" s="46"/>
      <c r="E24" s="46"/>
      <c r="F24" s="48">
        <v>-50.0</v>
      </c>
      <c r="G24" s="46"/>
      <c r="H24" s="46"/>
      <c r="I24" s="48">
        <v>-2.52</v>
      </c>
      <c r="J24" s="46"/>
      <c r="K24" s="46"/>
      <c r="L24" s="46"/>
      <c r="M24" s="46"/>
      <c r="N24" s="48">
        <f>B24+C24+D24+E24+F24+G24+H24+I24+J24+K24+L24+M24</f>
        <v>-87.52</v>
      </c>
    </row>
    <row r="25" spans="1:14" ht="16">
      <c r="A25" s="40" t="s">
        <v>22</v>
      </c>
      <c r="B25" s="49">
        <f>B23+B24</f>
        <v>528.44</v>
      </c>
      <c r="C25" s="49">
        <f>C23+C24</f>
        <v>785.78</v>
      </c>
      <c r="D25" s="49">
        <f>D23+D24</f>
        <v>4598.57</v>
      </c>
      <c r="E25" s="49">
        <f>E23+E24</f>
        <v>3434.61</v>
      </c>
      <c r="F25" s="49">
        <f>F23+F24</f>
        <v>1299.42</v>
      </c>
      <c r="G25" s="49">
        <f>G23+G24</f>
        <v>947.1</v>
      </c>
      <c r="H25" s="49">
        <f>H23+H24</f>
        <v>941.08</v>
      </c>
      <c r="I25" s="49">
        <f>I23+I24</f>
        <v>687.25</v>
      </c>
      <c r="J25" s="49">
        <f>J23+J24</f>
        <v>1212.75</v>
      </c>
      <c r="K25" s="49">
        <f>K23+K24</f>
        <v>779.06</v>
      </c>
      <c r="L25" s="49">
        <f>L23+L24</f>
        <v>2597.01</v>
      </c>
      <c r="M25" s="49">
        <f>M23+M24</f>
        <v>3688.71</v>
      </c>
      <c r="N25" s="47">
        <f>B25+C25+D25+E25+F25+G25+H25+I25+J25+K25+L25+M25</f>
        <v>21499.78</v>
      </c>
    </row>
    <row r="26" spans="1:14" ht="16">
      <c r="A26" s="41" t="s">
        <v>23</v>
      </c>
      <c r="B26" s="49">
        <f>B7+B10+B16+B20+B21+B22+B25</f>
        <v>6196.290000000001</v>
      </c>
      <c r="C26" s="49">
        <f>C7+C10+C16+C20+C21+C22+C25</f>
        <v>11597.53</v>
      </c>
      <c r="D26" s="49">
        <f>D7+D10+D16+D20+D21+D22+D25</f>
        <v>62204.950000000004</v>
      </c>
      <c r="E26" s="49">
        <f>E7+E10+E16+E20+E21+E22+E25</f>
        <v>44580.47</v>
      </c>
      <c r="F26" s="49">
        <f>F7+F10+F16+F20+F21+F22+F25</f>
        <v>12750.460000000003</v>
      </c>
      <c r="G26" s="49">
        <f>G7+G10+G16+G20+G21+G22+G25</f>
        <v>15303.58</v>
      </c>
      <c r="H26" s="49">
        <f>H7+H10+H16+H20+H21+H22+H25</f>
        <v>25617.670000000002</v>
      </c>
      <c r="I26" s="49">
        <f>I7+I10+I16+I20+I21+I22+I25</f>
        <v>14813.800000000001</v>
      </c>
      <c r="J26" s="49">
        <f>J7+J10+J16+J20+J21+J22+J25</f>
        <v>9284.6</v>
      </c>
      <c r="K26" s="49">
        <f>K7+K10+K16+K20+K21+K22+K25</f>
        <v>29090.16</v>
      </c>
      <c r="L26" s="49">
        <f>L7+L10+L16+L20+L21+L22+L25</f>
        <v>26779.200000000004</v>
      </c>
      <c r="M26" s="49">
        <f>M7+M10+M16+M20+M21+M22+M25</f>
        <v>26343.119999999995</v>
      </c>
      <c r="N26" s="47">
        <f>B26+C26+D26+E26+F26+G26+H26+I26+J26+K26+L26+M26</f>
        <v>284561.83</v>
      </c>
    </row>
    <row r="27" spans="1:14" ht="16">
      <c r="A27" s="37" t="s">
        <v>24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8">
        <v>96.56</v>
      </c>
      <c r="M27" s="46"/>
      <c r="N27" s="48">
        <f>B27+C27+D27+E27+F27+G27+H27+I27+J27+K27+L27+M27</f>
        <v>96.56</v>
      </c>
    </row>
    <row r="28" spans="1:14" ht="16">
      <c r="A28" s="37" t="s">
        <v>25</v>
      </c>
      <c r="B28" s="48">
        <v>0.02</v>
      </c>
      <c r="C28" s="48">
        <v>0.25</v>
      </c>
      <c r="D28" s="48">
        <v>0.24</v>
      </c>
      <c r="E28" s="48">
        <v>0.14</v>
      </c>
      <c r="F28" s="48">
        <v>0.13</v>
      </c>
      <c r="G28" s="48">
        <v>0.12</v>
      </c>
      <c r="H28" s="48">
        <v>0.12</v>
      </c>
      <c r="I28" s="48">
        <v>0.13</v>
      </c>
      <c r="J28" s="48">
        <v>0.12</v>
      </c>
      <c r="K28" s="48">
        <v>60.09</v>
      </c>
      <c r="L28" s="48">
        <v>0.01</v>
      </c>
      <c r="M28" s="48">
        <v>0.47</v>
      </c>
      <c r="N28" s="48">
        <f>B28+C28+D28+E28+F28+G28+H28+I28+J28+K28+L28+M28</f>
        <v>61.84</v>
      </c>
    </row>
    <row r="29" spans="1:14" ht="16">
      <c r="A29" s="37" t="s">
        <v>26</v>
      </c>
      <c r="B29" s="46"/>
      <c r="C29" s="48">
        <v>3.24</v>
      </c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8">
        <f>B29+C29+D29+E29+F29+G29+H29+I29+J29+K29+L29+M29</f>
        <v>3.24</v>
      </c>
    </row>
    <row r="30" spans="1:14" ht="16">
      <c r="A30" s="42" t="s">
        <v>27</v>
      </c>
      <c r="B30" s="49">
        <f>B6+B26+B27+B28+B29</f>
        <v>6196.310000000001</v>
      </c>
      <c r="C30" s="49">
        <f>C6+C26+C27+C28+C29</f>
        <v>11601.02</v>
      </c>
      <c r="D30" s="49">
        <f>D6+D26+D27+D28+D29</f>
        <v>62205.19</v>
      </c>
      <c r="E30" s="49">
        <f>E6+E26+E27+E28+E29</f>
        <v>44580.61</v>
      </c>
      <c r="F30" s="49">
        <f>F6+F26+F27+F28+F29</f>
        <v>12750.590000000002</v>
      </c>
      <c r="G30" s="49">
        <f>G6+G26+G27+G28+G29</f>
        <v>15303.7</v>
      </c>
      <c r="H30" s="49">
        <f>H6+H26+H27+H28+H29</f>
        <v>25617.79</v>
      </c>
      <c r="I30" s="49">
        <f>I6+I26+I27+I28+I29</f>
        <v>14813.93</v>
      </c>
      <c r="J30" s="49">
        <f>J6+J26+J27+J28+J29</f>
        <v>9284.720000000001</v>
      </c>
      <c r="K30" s="49">
        <f>K6+K26+K27+K28+K29</f>
        <v>29150.25</v>
      </c>
      <c r="L30" s="49">
        <f>L6+L26+L27+L28+L29</f>
        <v>26875.770000000004</v>
      </c>
      <c r="M30" s="49">
        <f>M6+M26+M27+M28+M29</f>
        <v>26343.589999999997</v>
      </c>
      <c r="N30" s="47">
        <f>B30+C30+D30+E30+F30+G30+H30+I30+J30+K30+L30+M30</f>
        <v>284723.47</v>
      </c>
    </row>
    <row r="31" spans="1:13" ht="16">
      <c r="A31" s="36" t="s">
        <v>28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4" ht="16">
      <c r="A32" s="37" t="s">
        <v>29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</row>
    <row r="33" spans="1:14" ht="16">
      <c r="A33" s="38" t="s">
        <v>30</v>
      </c>
      <c r="B33" s="48">
        <v>1704.68</v>
      </c>
      <c r="C33" s="48">
        <v>1744.99</v>
      </c>
      <c r="D33" s="48">
        <v>830.87</v>
      </c>
      <c r="E33" s="48">
        <v>2661.68</v>
      </c>
      <c r="F33" s="48">
        <v>1876.99</v>
      </c>
      <c r="G33" s="48">
        <v>1703.31</v>
      </c>
      <c r="H33" s="48">
        <v>862.9</v>
      </c>
      <c r="I33" s="48">
        <v>1825.21</v>
      </c>
      <c r="J33" s="48">
        <v>1990.81</v>
      </c>
      <c r="K33" s="48">
        <v>557.77</v>
      </c>
      <c r="L33" s="48">
        <v>2019.23</v>
      </c>
      <c r="M33" s="48">
        <v>1562.54</v>
      </c>
      <c r="N33" s="48">
        <f>B33+C33+D33+E33+F33+G33+H33+I33+J33+K33+L33+M33</f>
        <v>19340.98</v>
      </c>
    </row>
    <row r="34" spans="1:14" ht="16">
      <c r="A34" s="38" t="s">
        <v>31</v>
      </c>
      <c r="B34" s="46"/>
      <c r="C34" s="46"/>
      <c r="D34" s="46"/>
      <c r="E34" s="46"/>
      <c r="F34" s="46"/>
      <c r="G34" s="46"/>
      <c r="H34" s="46"/>
      <c r="I34" s="46"/>
      <c r="J34" s="48">
        <v>83.0</v>
      </c>
      <c r="K34" s="46"/>
      <c r="L34" s="46"/>
      <c r="M34" s="46"/>
      <c r="N34" s="48">
        <f>B34+C34+D34+E34+F34+G34+H34+I34+J34+K34+L34+M34</f>
        <v>83.0</v>
      </c>
    </row>
    <row r="35" spans="1:14" ht="16">
      <c r="A35" s="38" t="s">
        <v>32</v>
      </c>
      <c r="B35" s="48">
        <v>1175.13</v>
      </c>
      <c r="C35" s="48">
        <v>2425.13</v>
      </c>
      <c r="D35" s="48">
        <v>11971.57</v>
      </c>
      <c r="E35" s="48">
        <v>4777.68</v>
      </c>
      <c r="F35" s="48">
        <v>3176.9</v>
      </c>
      <c r="G35" s="48">
        <v>372.03</v>
      </c>
      <c r="H35" s="48">
        <v>3307.41</v>
      </c>
      <c r="I35" s="48">
        <v>1000.0</v>
      </c>
      <c r="J35" s="48">
        <v>1944.96</v>
      </c>
      <c r="K35" s="48">
        <v>2749.45</v>
      </c>
      <c r="L35" s="48">
        <v>7234.82</v>
      </c>
      <c r="M35" s="48">
        <v>2150.7</v>
      </c>
      <c r="N35" s="48">
        <f>B35+C35+D35+E35+F35+G35+H35+I35+J35+K35+L35+M35</f>
        <v>42285.78</v>
      </c>
    </row>
    <row r="36" spans="1:14" ht="16">
      <c r="A36" s="38" t="s">
        <v>33</v>
      </c>
      <c r="B36" s="48">
        <v>2907.8</v>
      </c>
      <c r="C36" s="48">
        <v>3420.65</v>
      </c>
      <c r="D36" s="48">
        <v>19209.47</v>
      </c>
      <c r="E36" s="48">
        <v>9537.82</v>
      </c>
      <c r="F36" s="48">
        <v>7430.53</v>
      </c>
      <c r="G36" s="48">
        <v>3559.74</v>
      </c>
      <c r="H36" s="48">
        <v>5991.02</v>
      </c>
      <c r="I36" s="48">
        <v>1563.69</v>
      </c>
      <c r="J36" s="48">
        <v>6291.74</v>
      </c>
      <c r="K36" s="48">
        <v>7514.81</v>
      </c>
      <c r="L36" s="48">
        <v>13400.11</v>
      </c>
      <c r="M36" s="48">
        <v>5052.57</v>
      </c>
      <c r="N36" s="48">
        <f>B36+C36+D36+E36+F36+G36+H36+I36+J36+K36+L36+M36</f>
        <v>85879.95000000001</v>
      </c>
    </row>
    <row r="37" spans="1:14" ht="16">
      <c r="A37" s="38" t="s">
        <v>34</v>
      </c>
      <c r="B37" s="48">
        <v>9150.11</v>
      </c>
      <c r="C37" s="48">
        <v>3224.33</v>
      </c>
      <c r="D37" s="48">
        <v>7759.45</v>
      </c>
      <c r="E37" s="48">
        <v>3958.04</v>
      </c>
      <c r="F37" s="46"/>
      <c r="G37" s="48">
        <v>917.0</v>
      </c>
      <c r="H37" s="48">
        <v>422.0</v>
      </c>
      <c r="I37" s="48">
        <v>1613.0</v>
      </c>
      <c r="J37" s="48">
        <v>1529.0</v>
      </c>
      <c r="K37" s="48">
        <v>4661.49</v>
      </c>
      <c r="L37" s="48">
        <v>2659.88</v>
      </c>
      <c r="M37" s="48">
        <v>1026.24</v>
      </c>
      <c r="N37" s="48">
        <f>B37+C37+D37+E37+F37+G37+H37+I37+J37+K37+L37+M37</f>
        <v>36920.53999999999</v>
      </c>
    </row>
    <row r="38" spans="1:14" ht="16">
      <c r="A38" s="38" t="s">
        <v>35</v>
      </c>
      <c r="B38" s="46"/>
      <c r="C38" s="46"/>
      <c r="D38" s="46"/>
      <c r="E38" s="46"/>
      <c r="F38" s="46"/>
      <c r="G38" s="46"/>
      <c r="H38" s="46"/>
      <c r="I38" s="46"/>
      <c r="J38" s="48">
        <v>28.44</v>
      </c>
      <c r="K38" s="48">
        <v>9.48</v>
      </c>
      <c r="L38" s="48">
        <v>67.02</v>
      </c>
      <c r="M38" s="48">
        <v>1219.99</v>
      </c>
      <c r="N38" s="48">
        <f>B38+C38+D38+E38+F38+G38+H38+I38+J38+K38+L38+M38</f>
        <v>1324.93</v>
      </c>
    </row>
    <row r="39" spans="1:14" ht="16">
      <c r="A39" s="38" t="s">
        <v>36</v>
      </c>
      <c r="B39" s="48">
        <v>171.87</v>
      </c>
      <c r="C39" s="48">
        <v>72.79</v>
      </c>
      <c r="D39" s="48">
        <v>145.84</v>
      </c>
      <c r="E39" s="48">
        <v>97.01</v>
      </c>
      <c r="F39" s="48">
        <v>258.59</v>
      </c>
      <c r="G39" s="48">
        <v>439.67</v>
      </c>
      <c r="H39" s="48">
        <v>270.33</v>
      </c>
      <c r="I39" s="48">
        <v>415.47</v>
      </c>
      <c r="J39" s="48">
        <v>181.25</v>
      </c>
      <c r="K39" s="48">
        <v>125.69</v>
      </c>
      <c r="L39" s="48">
        <v>130.42</v>
      </c>
      <c r="M39" s="48">
        <v>182.28</v>
      </c>
      <c r="N39" s="48">
        <f>B39+C39+D39+E39+F39+G39+H39+I39+J39+K39+L39+M39</f>
        <v>2491.21</v>
      </c>
    </row>
    <row r="40" spans="1:14" ht="16">
      <c r="A40" s="41" t="s">
        <v>37</v>
      </c>
      <c r="B40" s="49">
        <f>B32+B33+B34+B35+B36+B37+B38+B39</f>
        <v>15109.590000000002</v>
      </c>
      <c r="C40" s="49">
        <f>C32+C33+C34+C35+C36+C37+C38+C39</f>
        <v>10887.890000000001</v>
      </c>
      <c r="D40" s="49">
        <f>D32+D33+D34+D35+D36+D37+D38+D39</f>
        <v>39917.2</v>
      </c>
      <c r="E40" s="49">
        <f>E32+E33+E34+E35+E36+E37+E38+E39</f>
        <v>21032.23</v>
      </c>
      <c r="F40" s="49">
        <f>F32+F33+F34+F35+F36+F37+F38+F39</f>
        <v>12743.01</v>
      </c>
      <c r="G40" s="49">
        <f>G32+G33+G34+G35+G36+G37+G38+G39</f>
        <v>6991.75</v>
      </c>
      <c r="H40" s="49">
        <f>H32+H33+H34+H35+H36+H37+H38+H39</f>
        <v>10853.66</v>
      </c>
      <c r="I40" s="49">
        <f>I32+I33+I34+I35+I36+I37+I38+I39</f>
        <v>6417.37</v>
      </c>
      <c r="J40" s="49">
        <f>J32+J33+J34+J35+J36+J37+J38+J39</f>
        <v>12049.2</v>
      </c>
      <c r="K40" s="49">
        <f>K32+K33+K34+K35+K36+K37+K38+K39</f>
        <v>15618.69</v>
      </c>
      <c r="L40" s="49">
        <f>L32+L33+L34+L35+L36+L37+L38+L39</f>
        <v>25511.48</v>
      </c>
      <c r="M40" s="49">
        <f>M32+M33+M34+M35+M36+M37+M38+M39</f>
        <v>11194.32</v>
      </c>
      <c r="N40" s="47">
        <f>B40+C40+D40+E40+F40+G40+H40+I40+J40+K40+L40+M40</f>
        <v>188326.39</v>
      </c>
    </row>
    <row r="41" spans="1:14" ht="16">
      <c r="A41" s="42" t="s">
        <v>38</v>
      </c>
      <c r="B41" s="49">
        <f>B31+B40</f>
        <v>15109.590000000002</v>
      </c>
      <c r="C41" s="49">
        <f>C31+C40</f>
        <v>10887.890000000001</v>
      </c>
      <c r="D41" s="49">
        <f>D31+D40</f>
        <v>39917.2</v>
      </c>
      <c r="E41" s="49">
        <f>E31+E40</f>
        <v>21032.23</v>
      </c>
      <c r="F41" s="49">
        <f>F31+F40</f>
        <v>12743.01</v>
      </c>
      <c r="G41" s="49">
        <f>G31+G40</f>
        <v>6991.75</v>
      </c>
      <c r="H41" s="49">
        <f>H31+H40</f>
        <v>10853.66</v>
      </c>
      <c r="I41" s="49">
        <f>I31+I40</f>
        <v>6417.37</v>
      </c>
      <c r="J41" s="49">
        <f>J31+J40</f>
        <v>12049.2</v>
      </c>
      <c r="K41" s="49">
        <f>K31+K40</f>
        <v>15618.69</v>
      </c>
      <c r="L41" s="49">
        <f>L31+L40</f>
        <v>25511.48</v>
      </c>
      <c r="M41" s="49">
        <f>M31+M40</f>
        <v>11194.32</v>
      </c>
      <c r="N41" s="47">
        <f>B41+C41+D41+E41+F41+G41+H41+I41+J41+K41+L41+M41</f>
        <v>188326.39</v>
      </c>
    </row>
    <row r="42" spans="1:14" ht="16">
      <c r="A42" s="42" t="s">
        <v>39</v>
      </c>
      <c r="B42" s="49">
        <f>B30-B41</f>
        <v>-8913.28</v>
      </c>
      <c r="C42" s="49">
        <f>C30-C41</f>
        <v>713.1299999999992</v>
      </c>
      <c r="D42" s="49">
        <f>D30-D41</f>
        <v>22287.990000000005</v>
      </c>
      <c r="E42" s="49">
        <f>E30-E41</f>
        <v>23548.38</v>
      </c>
      <c r="F42" s="49">
        <f>F30-F41</f>
        <v>7.580000000001746</v>
      </c>
      <c r="G42" s="49">
        <f>G30-G41</f>
        <v>8311.95</v>
      </c>
      <c r="H42" s="49">
        <f>H30-H41</f>
        <v>14764.130000000001</v>
      </c>
      <c r="I42" s="49">
        <f>I30-I41</f>
        <v>8396.560000000001</v>
      </c>
      <c r="J42" s="49">
        <f>J30-J41</f>
        <v>-2764.4799999999996</v>
      </c>
      <c r="K42" s="49">
        <f>K30-K41</f>
        <v>13531.56</v>
      </c>
      <c r="L42" s="49">
        <f>L30-L41</f>
        <v>1364.2900000000045</v>
      </c>
      <c r="M42" s="49">
        <f>M30-M41</f>
        <v>15149.269999999997</v>
      </c>
      <c r="N42" s="47">
        <f>B42+C42+D42+E42+F42+G42+H42+I42+J42+K42+L42+M42</f>
        <v>96397.08000000002</v>
      </c>
    </row>
    <row r="43" spans="1:13" ht="16">
      <c r="A43" s="36" t="s">
        <v>40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</row>
    <row r="44" spans="1:14" ht="16">
      <c r="A44" s="37" t="s">
        <v>41</v>
      </c>
      <c r="B44" s="48">
        <v>1690.94</v>
      </c>
      <c r="C44" s="48">
        <v>116.03</v>
      </c>
      <c r="D44" s="48">
        <v>453.91</v>
      </c>
      <c r="E44" s="46"/>
      <c r="F44" s="48">
        <v>46.88</v>
      </c>
      <c r="G44" s="48">
        <v>238.63</v>
      </c>
      <c r="H44" s="48">
        <v>38.88</v>
      </c>
      <c r="I44" s="48">
        <v>1559.15</v>
      </c>
      <c r="J44" s="48">
        <v>846.51</v>
      </c>
      <c r="K44" s="48">
        <v>51.33</v>
      </c>
      <c r="L44" s="48">
        <v>618.04</v>
      </c>
      <c r="M44" s="48">
        <v>800.5</v>
      </c>
      <c r="N44" s="48">
        <f>B44+C44+D44+E44+F44+G44+H44+I44+J44+K44+L44+M44</f>
        <v>6460.8</v>
      </c>
    </row>
    <row r="45" spans="1:14" ht="16">
      <c r="A45" s="38" t="s">
        <v>42</v>
      </c>
      <c r="B45" s="46"/>
      <c r="C45" s="46"/>
      <c r="D45" s="46"/>
      <c r="E45" s="46"/>
      <c r="F45" s="46"/>
      <c r="G45" s="48">
        <v>16.0</v>
      </c>
      <c r="H45" s="46"/>
      <c r="I45" s="48">
        <v>32.0</v>
      </c>
      <c r="J45" s="48">
        <v>16.0</v>
      </c>
      <c r="K45" s="48">
        <v>233.18</v>
      </c>
      <c r="L45" s="46"/>
      <c r="M45" s="46"/>
      <c r="N45" s="48">
        <f>B45+C45+D45+E45+F45+G45+H45+I45+J45+K45+L45+M45</f>
        <v>297.18</v>
      </c>
    </row>
    <row r="46" spans="1:14" ht="16">
      <c r="A46" s="38" t="s">
        <v>43</v>
      </c>
      <c r="B46" s="46"/>
      <c r="C46" s="48">
        <v>494.91</v>
      </c>
      <c r="D46" s="48">
        <v>946.99</v>
      </c>
      <c r="E46" s="48">
        <v>374.29</v>
      </c>
      <c r="F46" s="48">
        <v>1876.49</v>
      </c>
      <c r="G46" s="48">
        <v>-799.23</v>
      </c>
      <c r="H46" s="48">
        <v>449.7</v>
      </c>
      <c r="I46" s="48">
        <v>570.18</v>
      </c>
      <c r="J46" s="48">
        <v>600.92</v>
      </c>
      <c r="K46" s="48">
        <v>1097.32</v>
      </c>
      <c r="L46" s="48">
        <v>1400.8</v>
      </c>
      <c r="M46" s="48">
        <v>646.44</v>
      </c>
      <c r="N46" s="48">
        <f>B46+C46+D46+E46+F46+G46+H46+I46+J46+K46+L46+M46</f>
        <v>7658.8099999999995</v>
      </c>
    </row>
    <row r="47" spans="1:14" ht="16">
      <c r="A47" s="38" t="s">
        <v>44</v>
      </c>
      <c r="B47" s="48">
        <v>162.38</v>
      </c>
      <c r="C47" s="48">
        <v>1877.71</v>
      </c>
      <c r="D47" s="48">
        <v>521.73</v>
      </c>
      <c r="E47" s="46"/>
      <c r="F47" s="48">
        <v>1891.63</v>
      </c>
      <c r="G47" s="48">
        <v>265.91</v>
      </c>
      <c r="H47" s="48">
        <v>75.0</v>
      </c>
      <c r="I47" s="48">
        <v>877.45</v>
      </c>
      <c r="J47" s="48">
        <v>679.45</v>
      </c>
      <c r="K47" s="48">
        <v>286.08</v>
      </c>
      <c r="L47" s="46"/>
      <c r="M47" s="48">
        <v>651.11</v>
      </c>
      <c r="N47" s="48">
        <f>B47+C47+D47+E47+F47+G47+H47+I47+J47+K47+L47+M47</f>
        <v>7288.45</v>
      </c>
    </row>
    <row r="48" spans="1:14" ht="16">
      <c r="A48" s="38" t="s">
        <v>45</v>
      </c>
      <c r="B48" s="48">
        <v>289.3</v>
      </c>
      <c r="C48" s="48">
        <v>555.34</v>
      </c>
      <c r="D48" s="48">
        <v>1072.25</v>
      </c>
      <c r="E48" s="48">
        <v>623.86</v>
      </c>
      <c r="F48" s="48">
        <v>556.07</v>
      </c>
      <c r="G48" s="48">
        <v>164.53</v>
      </c>
      <c r="H48" s="48">
        <v>540.94</v>
      </c>
      <c r="I48" s="48">
        <v>676.76</v>
      </c>
      <c r="J48" s="48">
        <v>288.8</v>
      </c>
      <c r="K48" s="48">
        <v>90.17</v>
      </c>
      <c r="L48" s="48">
        <v>816.17</v>
      </c>
      <c r="M48" s="48">
        <v>750.46</v>
      </c>
      <c r="N48" s="48">
        <f>B48+C48+D48+E48+F48+G48+H48+I48+J48+K48+L48+M48</f>
        <v>6424.650000000001</v>
      </c>
    </row>
    <row r="49" spans="1:14" ht="16">
      <c r="A49" s="38" t="s">
        <v>46</v>
      </c>
      <c r="B49" s="48">
        <v>4393.02</v>
      </c>
      <c r="C49" s="48">
        <v>507.3</v>
      </c>
      <c r="D49" s="48">
        <v>1915.21</v>
      </c>
      <c r="E49" s="48">
        <v>1601.03</v>
      </c>
      <c r="F49" s="48">
        <v>219.8</v>
      </c>
      <c r="G49" s="48">
        <v>1117.54</v>
      </c>
      <c r="H49" s="48">
        <v>623.0</v>
      </c>
      <c r="I49" s="48">
        <v>177.5</v>
      </c>
      <c r="J49" s="48">
        <v>730.7</v>
      </c>
      <c r="K49" s="48">
        <v>2296.95</v>
      </c>
      <c r="L49" s="48">
        <v>1559.08</v>
      </c>
      <c r="M49" s="48">
        <v>425.0</v>
      </c>
      <c r="N49" s="48">
        <f>B49+C49+D49+E49+F49+G49+H49+I49+J49+K49+L49+M49</f>
        <v>15566.130000000003</v>
      </c>
    </row>
    <row r="50" spans="1:14" ht="16">
      <c r="A50" s="38" t="s">
        <v>47</v>
      </c>
      <c r="B50" s="46"/>
      <c r="C50" s="48">
        <v>558.53</v>
      </c>
      <c r="D50" s="48">
        <v>70.4</v>
      </c>
      <c r="E50" s="46"/>
      <c r="F50" s="48">
        <v>644.52</v>
      </c>
      <c r="G50" s="48">
        <v>11.53</v>
      </c>
      <c r="H50" s="48">
        <v>971.85</v>
      </c>
      <c r="I50" s="48">
        <v>305.18</v>
      </c>
      <c r="J50" s="48">
        <v>865.45</v>
      </c>
      <c r="K50" s="48">
        <v>20.83</v>
      </c>
      <c r="L50" s="46"/>
      <c r="M50" s="48">
        <v>618.3</v>
      </c>
      <c r="N50" s="48">
        <f>B50+C50+D50+E50+F50+G50+H50+I50+J50+K50+L50+M50</f>
        <v>4066.59</v>
      </c>
    </row>
    <row r="51" spans="1:14" ht="16">
      <c r="A51" s="41" t="s">
        <v>48</v>
      </c>
      <c r="B51" s="49">
        <f>B44+B45+B46+B47+B48+B49+B50</f>
        <v>6535.640000000001</v>
      </c>
      <c r="C51" s="49">
        <f>C44+C45+C46+C47+C48+C49+C50</f>
        <v>4109.820000000001</v>
      </c>
      <c r="D51" s="49">
        <f>D44+D45+D46+D47+D48+D49+D50</f>
        <v>4980.49</v>
      </c>
      <c r="E51" s="49">
        <f>E44+E45+E46+E47+E48+E49+E50</f>
        <v>2599.1800000000003</v>
      </c>
      <c r="F51" s="49">
        <f>F44+F45+F46+F47+F48+F49+F50</f>
        <v>5235.389999999999</v>
      </c>
      <c r="G51" s="49">
        <f>G44+G45+G46+G47+G48+G49+G50</f>
        <v>1014.91</v>
      </c>
      <c r="H51" s="49">
        <f>H44+H45+H46+H47+H48+H49+H50</f>
        <v>2699.37</v>
      </c>
      <c r="I51" s="49">
        <f>I44+I45+I46+I47+I48+I49+I50</f>
        <v>4198.22</v>
      </c>
      <c r="J51" s="49">
        <f>J44+J45+J46+J47+J48+J49+J50</f>
        <v>4027.83</v>
      </c>
      <c r="K51" s="49">
        <f>K44+K45+K46+K47+K48+K49+K50</f>
        <v>4075.8599999999997</v>
      </c>
      <c r="L51" s="49">
        <f>L44+L45+L46+L47+L48+L49+L50</f>
        <v>4394.09</v>
      </c>
      <c r="M51" s="49">
        <f>M44+M45+M46+M47+M48+M49+M50</f>
        <v>3891.8100000000004</v>
      </c>
      <c r="N51" s="47">
        <f>B51+C51+D51+E51+F51+G51+H51+I51+J51+K51+L51+M51</f>
        <v>47762.61</v>
      </c>
    </row>
    <row r="52" spans="1:14" ht="16">
      <c r="A52" s="37" t="s">
        <v>49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</row>
    <row r="53" spans="1:14" ht="16">
      <c r="A53" s="38" t="s">
        <v>50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</row>
    <row r="54" spans="1:14" ht="16">
      <c r="A54" s="39" t="s">
        <v>51</v>
      </c>
      <c r="B54" s="48">
        <v>670.0</v>
      </c>
      <c r="C54" s="46"/>
      <c r="D54" s="48">
        <v>850.0</v>
      </c>
      <c r="E54" s="48">
        <v>850.0</v>
      </c>
      <c r="F54" s="48">
        <v>850.0</v>
      </c>
      <c r="G54" s="48">
        <v>885.3</v>
      </c>
      <c r="H54" s="48">
        <v>864.0</v>
      </c>
      <c r="I54" s="48">
        <v>2071.22</v>
      </c>
      <c r="J54" s="48">
        <v>850.0</v>
      </c>
      <c r="K54" s="48">
        <v>850.36</v>
      </c>
      <c r="L54" s="48">
        <v>850.0</v>
      </c>
      <c r="M54" s="48">
        <v>850.0</v>
      </c>
      <c r="N54" s="48">
        <f>B54+C54+D54+E54+F54+G54+H54+I54+J54+K54+L54+M54</f>
        <v>10440.880000000001</v>
      </c>
    </row>
    <row r="55" spans="1:14" ht="16">
      <c r="A55" s="39" t="s">
        <v>52</v>
      </c>
      <c r="B55" s="48">
        <v>668.04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8">
        <f>B55+C55+D55+E55+F55+G55+H55+I55+J55+K55+L55+M55</f>
        <v>668.04</v>
      </c>
    </row>
    <row r="56" spans="1:14" ht="16">
      <c r="A56" s="39" t="s">
        <v>53</v>
      </c>
      <c r="B56" s="48">
        <v>625.0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8">
        <f>B56+C56+D56+E56+F56+G56+H56+I56+J56+K56+L56+M56</f>
        <v>625.0</v>
      </c>
    </row>
    <row r="57" spans="1:14" ht="16">
      <c r="A57" s="40" t="s">
        <v>54</v>
      </c>
      <c r="B57" s="49">
        <f>B53+B54+B55+B56</f>
        <v>1963.04</v>
      </c>
      <c r="C57" s="47">
        <f>C53+C54+C55+C56</f>
        <v>0.0</v>
      </c>
      <c r="D57" s="49">
        <f>D53+D54+D55+D56</f>
        <v>850.0</v>
      </c>
      <c r="E57" s="49">
        <f>E53+E54+E55+E56</f>
        <v>850.0</v>
      </c>
      <c r="F57" s="49">
        <f>F53+F54+F55+F56</f>
        <v>850.0</v>
      </c>
      <c r="G57" s="49">
        <f>G53+G54+G55+G56</f>
        <v>885.3</v>
      </c>
      <c r="H57" s="49">
        <f>H53+H54+H55+H56</f>
        <v>864.0</v>
      </c>
      <c r="I57" s="49">
        <f>I53+I54+I55+I56</f>
        <v>2071.22</v>
      </c>
      <c r="J57" s="49">
        <f>J53+J54+J55+J56</f>
        <v>850.0</v>
      </c>
      <c r="K57" s="49">
        <f>K53+K54+K55+K56</f>
        <v>850.36</v>
      </c>
      <c r="L57" s="49">
        <f>L53+L54+L55+L56</f>
        <v>850.0</v>
      </c>
      <c r="M57" s="49">
        <f>M53+M54+M55+M56</f>
        <v>850.0</v>
      </c>
      <c r="N57" s="47">
        <f>B57+C57+D57+E57+F57+G57+H57+I57+J57+K57+L57+M57</f>
        <v>11733.92</v>
      </c>
    </row>
    <row r="58" spans="1:14" ht="16">
      <c r="A58" s="38" t="s">
        <v>55</v>
      </c>
      <c r="B58" s="48">
        <v>108.52</v>
      </c>
      <c r="C58" s="48">
        <v>188.32</v>
      </c>
      <c r="D58" s="48">
        <v>13.48</v>
      </c>
      <c r="E58" s="48">
        <v>20.63</v>
      </c>
      <c r="F58" s="48">
        <v>275.78</v>
      </c>
      <c r="G58" s="48">
        <v>1623.12</v>
      </c>
      <c r="H58" s="48">
        <v>-11.17</v>
      </c>
      <c r="I58" s="46"/>
      <c r="J58" s="46"/>
      <c r="K58" s="48">
        <v>25.73</v>
      </c>
      <c r="L58" s="48">
        <v>51.34</v>
      </c>
      <c r="M58" s="46"/>
      <c r="N58" s="48">
        <f>B58+C58+D58+E58+F58+G58+H58+I58+J58+K58+L58+M58</f>
        <v>2295.75</v>
      </c>
    </row>
    <row r="59" spans="1:14" ht="16">
      <c r="A59" s="39" t="s">
        <v>56</v>
      </c>
      <c r="B59" s="48">
        <v>154.74</v>
      </c>
      <c r="C59" s="48">
        <v>491.83</v>
      </c>
      <c r="D59" s="48">
        <v>332.13</v>
      </c>
      <c r="E59" s="48">
        <v>186.6</v>
      </c>
      <c r="F59" s="48">
        <v>1566.77</v>
      </c>
      <c r="G59" s="48">
        <v>223.11</v>
      </c>
      <c r="H59" s="48">
        <v>84.73</v>
      </c>
      <c r="I59" s="48">
        <v>299.25</v>
      </c>
      <c r="J59" s="48">
        <v>104.77</v>
      </c>
      <c r="K59" s="48">
        <v>287.87</v>
      </c>
      <c r="L59" s="48">
        <v>467.28</v>
      </c>
      <c r="M59" s="48">
        <v>168.85</v>
      </c>
      <c r="N59" s="48">
        <f>B59+C59+D59+E59+F59+G59+H59+I59+J59+K59+L59+M59</f>
        <v>4367.93</v>
      </c>
    </row>
    <row r="60" spans="1:14" ht="16">
      <c r="A60" s="40" t="s">
        <v>57</v>
      </c>
      <c r="B60" s="49">
        <f>B58+B59</f>
        <v>263.26</v>
      </c>
      <c r="C60" s="49">
        <f>C58+C59</f>
        <v>680.15</v>
      </c>
      <c r="D60" s="49">
        <f>D58+D59</f>
        <v>345.61</v>
      </c>
      <c r="E60" s="49">
        <f>E58+E59</f>
        <v>207.23</v>
      </c>
      <c r="F60" s="49">
        <f>F58+F59</f>
        <v>1842.55</v>
      </c>
      <c r="G60" s="49">
        <f>G58+G59</f>
        <v>1846.23</v>
      </c>
      <c r="H60" s="49">
        <f>H58+H59</f>
        <v>73.56</v>
      </c>
      <c r="I60" s="49">
        <f>I58+I59</f>
        <v>299.25</v>
      </c>
      <c r="J60" s="49">
        <f>J58+J59</f>
        <v>104.77</v>
      </c>
      <c r="K60" s="49">
        <f>K58+K59</f>
        <v>313.6</v>
      </c>
      <c r="L60" s="49">
        <f>L58+L59</f>
        <v>518.62</v>
      </c>
      <c r="M60" s="49">
        <f>M58+M59</f>
        <v>168.85</v>
      </c>
      <c r="N60" s="47">
        <f>B60+C60+D60+E60+F60+G60+H60+I60+J60+K60+L60+M60</f>
        <v>6663.680000000002</v>
      </c>
    </row>
    <row r="61" spans="1:14" ht="16">
      <c r="A61" s="38" t="s">
        <v>58</v>
      </c>
      <c r="B61" s="48">
        <v>380.81</v>
      </c>
      <c r="C61" s="48">
        <v>74.05</v>
      </c>
      <c r="D61" s="48">
        <v>73.93</v>
      </c>
      <c r="E61" s="48">
        <v>149.05</v>
      </c>
      <c r="F61" s="48">
        <v>74.05</v>
      </c>
      <c r="G61" s="48">
        <v>74.05</v>
      </c>
      <c r="H61" s="48">
        <v>321.36</v>
      </c>
      <c r="I61" s="48">
        <v>150.08</v>
      </c>
      <c r="J61" s="48">
        <v>117.6</v>
      </c>
      <c r="K61" s="48">
        <v>117.6</v>
      </c>
      <c r="L61" s="48">
        <v>117.6</v>
      </c>
      <c r="M61" s="48">
        <v>117.6</v>
      </c>
      <c r="N61" s="48">
        <f>B61+C61+D61+E61+F61+G61+H61+I61+J61+K61+L61+M61</f>
        <v>1767.7799999999993</v>
      </c>
    </row>
    <row r="62" spans="1:14" ht="16">
      <c r="A62" s="38" t="s">
        <v>59</v>
      </c>
      <c r="B62" s="46"/>
      <c r="C62" s="46"/>
      <c r="D62" s="46"/>
      <c r="E62" s="46"/>
      <c r="F62" s="46"/>
      <c r="G62" s="46"/>
      <c r="H62" s="46"/>
      <c r="I62" s="46"/>
      <c r="J62" s="46"/>
      <c r="K62" s="48">
        <v>50.0</v>
      </c>
      <c r="L62" s="46"/>
      <c r="M62" s="46"/>
      <c r="N62" s="48">
        <f>B62+C62+D62+E62+F62+G62+H62+I62+J62+K62+L62+M62</f>
        <v>50.0</v>
      </c>
    </row>
    <row r="63" spans="1:14" ht="16">
      <c r="A63" s="39" t="s">
        <v>60</v>
      </c>
      <c r="B63" s="46"/>
      <c r="C63" s="48">
        <v>2.5</v>
      </c>
      <c r="D63" s="46"/>
      <c r="E63" s="46"/>
      <c r="F63" s="46"/>
      <c r="G63" s="48">
        <v>2.5</v>
      </c>
      <c r="H63" s="46"/>
      <c r="I63" s="46"/>
      <c r="J63" s="46"/>
      <c r="K63" s="48">
        <v>27.0</v>
      </c>
      <c r="L63" s="48">
        <v>15.0</v>
      </c>
      <c r="M63" s="48">
        <v>25.0</v>
      </c>
      <c r="N63" s="48">
        <f>B63+C63+D63+E63+F63+G63+H63+I63+J63+K63+L63+M63</f>
        <v>72.0</v>
      </c>
    </row>
    <row r="64" spans="1:14" ht="16">
      <c r="A64" s="39" t="s">
        <v>61</v>
      </c>
      <c r="B64" s="46"/>
      <c r="C64" s="48">
        <v>559.1</v>
      </c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8">
        <f>B64+C64+D64+E64+F64+G64+H64+I64+J64+K64+L64+M64</f>
        <v>559.1</v>
      </c>
    </row>
    <row r="65" spans="1:14" ht="16">
      <c r="A65" s="39" t="s">
        <v>62</v>
      </c>
      <c r="B65" s="48">
        <v>37.75</v>
      </c>
      <c r="C65" s="48">
        <v>13.45</v>
      </c>
      <c r="D65" s="46"/>
      <c r="E65" s="46"/>
      <c r="F65" s="46"/>
      <c r="G65" s="46"/>
      <c r="H65" s="46"/>
      <c r="I65" s="46"/>
      <c r="J65" s="46"/>
      <c r="K65" s="46"/>
      <c r="L65" s="48">
        <v>67.16</v>
      </c>
      <c r="M65" s="48">
        <v>83.88</v>
      </c>
      <c r="N65" s="48">
        <f>B65+C65+D65+E65+F65+G65+H65+I65+J65+K65+L65+M65</f>
        <v>202.24</v>
      </c>
    </row>
    <row r="66" spans="1:14" ht="16">
      <c r="A66" s="39" t="s">
        <v>63</v>
      </c>
      <c r="B66" s="46"/>
      <c r="C66" s="48">
        <v>3425.0</v>
      </c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8">
        <f>B66+C66+D66+E66+F66+G66+H66+I66+J66+K66+L66+M66</f>
        <v>3425.0</v>
      </c>
    </row>
    <row r="67" spans="1:14" ht="16">
      <c r="A67" s="40" t="s">
        <v>64</v>
      </c>
      <c r="B67" s="49">
        <f>B62+B63+B64+B65+B66</f>
        <v>37.75</v>
      </c>
      <c r="C67" s="49">
        <f>C62+C63+C64+C65+C66</f>
        <v>4000.05</v>
      </c>
      <c r="D67" s="47">
        <f>D62+D63+D64+D65+D66</f>
        <v>0.0</v>
      </c>
      <c r="E67" s="47">
        <f>E62+E63+E64+E65+E66</f>
        <v>0.0</v>
      </c>
      <c r="F67" s="47">
        <f>F62+F63+F64+F65+F66</f>
        <v>0.0</v>
      </c>
      <c r="G67" s="49">
        <f>G62+G63+G64+G65+G66</f>
        <v>2.5</v>
      </c>
      <c r="H67" s="47">
        <f>H62+H63+H64+H65+H66</f>
        <v>0.0</v>
      </c>
      <c r="I67" s="47">
        <f>I62+I63+I64+I65+I66</f>
        <v>0.0</v>
      </c>
      <c r="J67" s="47">
        <f>J62+J63+J64+J65+J66</f>
        <v>0.0</v>
      </c>
      <c r="K67" s="49">
        <f>K62+K63+K64+K65+K66</f>
        <v>77.0</v>
      </c>
      <c r="L67" s="49">
        <f>L62+L63+L64+L65+L66</f>
        <v>82.16</v>
      </c>
      <c r="M67" s="49">
        <f>M62+M63+M64+M65+M66</f>
        <v>108.88</v>
      </c>
      <c r="N67" s="47">
        <f>B67+C67+D67+E67+F67+G67+H67+I67+J67+K67+L67+M67</f>
        <v>4308.34</v>
      </c>
    </row>
    <row r="68" spans="1:14" ht="16">
      <c r="A68" s="38" t="s">
        <v>65</v>
      </c>
      <c r="B68" s="48">
        <v>139.98</v>
      </c>
      <c r="C68" s="48">
        <v>94.99</v>
      </c>
      <c r="D68" s="48">
        <v>94.99</v>
      </c>
      <c r="E68" s="48">
        <v>120.19</v>
      </c>
      <c r="F68" s="48">
        <v>219.99</v>
      </c>
      <c r="G68" s="48">
        <v>121.31</v>
      </c>
      <c r="H68" s="48">
        <v>117.47</v>
      </c>
      <c r="I68" s="48">
        <v>117.47</v>
      </c>
      <c r="J68" s="48">
        <v>95.8</v>
      </c>
      <c r="K68" s="46"/>
      <c r="L68" s="48">
        <v>84.99</v>
      </c>
      <c r="M68" s="48">
        <v>96.79</v>
      </c>
      <c r="N68" s="48">
        <f>B68+C68+D68+E68+F68+G68+H68+I68+J68+K68+L68+M68</f>
        <v>1303.97</v>
      </c>
    </row>
    <row r="69" spans="1:14" ht="16">
      <c r="A69" s="38" t="s">
        <v>66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</row>
    <row r="70" spans="1:14" ht="16">
      <c r="A70" s="39" t="s">
        <v>67</v>
      </c>
      <c r="B70" s="46"/>
      <c r="C70" s="46"/>
      <c r="D70" s="46"/>
      <c r="E70" s="46"/>
      <c r="F70" s="46"/>
      <c r="G70" s="46"/>
      <c r="H70" s="46"/>
      <c r="I70" s="46"/>
      <c r="J70" s="48">
        <v>1749.0</v>
      </c>
      <c r="K70" s="46"/>
      <c r="L70" s="46"/>
      <c r="M70" s="46"/>
      <c r="N70" s="48">
        <f>B70+C70+D70+E70+F70+G70+H70+I70+J70+K70+L70+M70</f>
        <v>1749.0</v>
      </c>
    </row>
    <row r="71" spans="1:14" ht="16">
      <c r="A71" s="39" t="s">
        <v>68</v>
      </c>
      <c r="B71" s="46"/>
      <c r="C71" s="46"/>
      <c r="D71" s="46"/>
      <c r="E71" s="46"/>
      <c r="F71" s="48">
        <v>118.16</v>
      </c>
      <c r="G71" s="46"/>
      <c r="H71" s="46"/>
      <c r="I71" s="46"/>
      <c r="J71" s="46"/>
      <c r="K71" s="46"/>
      <c r="L71" s="46"/>
      <c r="M71" s="48">
        <v>15.0</v>
      </c>
      <c r="N71" s="48">
        <f>B71+C71+D71+E71+F71+G71+H71+I71+J71+K71+L71+M71</f>
        <v>133.16</v>
      </c>
    </row>
    <row r="72" spans="1:14" ht="16">
      <c r="A72" s="40" t="s">
        <v>69</v>
      </c>
      <c r="B72" s="47">
        <f>B69+B70+B71</f>
        <v>0.0</v>
      </c>
      <c r="C72" s="47">
        <f>C69+C70+C71</f>
        <v>0.0</v>
      </c>
      <c r="D72" s="47">
        <f>D69+D70+D71</f>
        <v>0.0</v>
      </c>
      <c r="E72" s="47">
        <f>E69+E70+E71</f>
        <v>0.0</v>
      </c>
      <c r="F72" s="49">
        <f>F69+F70+F71</f>
        <v>118.16</v>
      </c>
      <c r="G72" s="47">
        <f>G69+G70+G71</f>
        <v>0.0</v>
      </c>
      <c r="H72" s="47">
        <f>H69+H70+H71</f>
        <v>0.0</v>
      </c>
      <c r="I72" s="47">
        <f>I69+I70+I71</f>
        <v>0.0</v>
      </c>
      <c r="J72" s="49">
        <f>J69+J70+J71</f>
        <v>1749.0</v>
      </c>
      <c r="K72" s="47">
        <f>K69+K70+K71</f>
        <v>0.0</v>
      </c>
      <c r="L72" s="47">
        <f>L69+L70+L71</f>
        <v>0.0</v>
      </c>
      <c r="M72" s="49">
        <f>M69+M70+M71</f>
        <v>15.0</v>
      </c>
      <c r="N72" s="47">
        <f>B72+C72+D72+E72+F72+G72+H72+I72+J72+K72+L72+M72</f>
        <v>1882.16</v>
      </c>
    </row>
    <row r="73" spans="1:14" ht="16">
      <c r="A73" s="38" t="s">
        <v>70</v>
      </c>
      <c r="B73" s="46"/>
      <c r="C73" s="46"/>
      <c r="D73" s="46"/>
      <c r="E73" s="48">
        <v>927.0</v>
      </c>
      <c r="F73" s="46"/>
      <c r="G73" s="46"/>
      <c r="H73" s="46"/>
      <c r="I73" s="46"/>
      <c r="J73" s="46"/>
      <c r="K73" s="46"/>
      <c r="L73" s="46"/>
      <c r="M73" s="46"/>
      <c r="N73" s="48">
        <f>B73+C73+D73+E73+F73+G73+H73+I73+J73+K73+L73+M73</f>
        <v>927.0</v>
      </c>
    </row>
    <row r="74" spans="1:14" ht="16">
      <c r="A74" s="38" t="s">
        <v>71</v>
      </c>
      <c r="B74" s="46"/>
      <c r="C74" s="46"/>
      <c r="D74" s="46"/>
      <c r="E74" s="48">
        <v>5299.0</v>
      </c>
      <c r="F74" s="46"/>
      <c r="G74" s="48">
        <v>1208.94</v>
      </c>
      <c r="H74" s="48">
        <v>895.0</v>
      </c>
      <c r="I74" s="48">
        <v>911.19</v>
      </c>
      <c r="J74" s="48">
        <v>-194.61</v>
      </c>
      <c r="K74" s="46"/>
      <c r="L74" s="46"/>
      <c r="M74" s="48">
        <v>27.71</v>
      </c>
      <c r="N74" s="48">
        <f>B74+C74+D74+E74+F74+G74+H74+I74+J74+K74+L74+M74</f>
        <v>8147.230000000001</v>
      </c>
    </row>
    <row r="75" spans="1:14" ht="16">
      <c r="A75" s="38" t="s">
        <v>72</v>
      </c>
      <c r="B75" s="46"/>
      <c r="C75" s="48">
        <v>750.0</v>
      </c>
      <c r="D75" s="48">
        <v>1750.0</v>
      </c>
      <c r="E75" s="48">
        <v>3000.0</v>
      </c>
      <c r="F75" s="48">
        <v>2290.92</v>
      </c>
      <c r="G75" s="48">
        <v>3000.0</v>
      </c>
      <c r="H75" s="48">
        <v>3000.0</v>
      </c>
      <c r="I75" s="48">
        <v>3000.0</v>
      </c>
      <c r="J75" s="48">
        <v>3060.0</v>
      </c>
      <c r="K75" s="48">
        <v>2250.0</v>
      </c>
      <c r="L75" s="48">
        <v>2250.0</v>
      </c>
      <c r="M75" s="48">
        <v>2309.0</v>
      </c>
      <c r="N75" s="48">
        <f>B75+C75+D75+E75+F75+G75+H75+I75+J75+K75+L75+M75</f>
        <v>26659.92</v>
      </c>
    </row>
    <row r="76" spans="1:14" ht="16">
      <c r="A76" s="41" t="s">
        <v>73</v>
      </c>
      <c r="B76" s="49">
        <f>B52+B57+B60+B61+B67+B68+B72+B73+B74+B75</f>
        <v>2784.84</v>
      </c>
      <c r="C76" s="49">
        <f>C52+C57+C60+C61+C67+C68+C72+C73+C74+C75</f>
        <v>5599.24</v>
      </c>
      <c r="D76" s="49">
        <f>D52+D57+D60+D61+D67+D68+D72+D73+D74+D75</f>
        <v>3114.53</v>
      </c>
      <c r="E76" s="49">
        <f>E52+E57+E60+E61+E67+E68+E72+E73+E74+E75</f>
        <v>10552.470000000001</v>
      </c>
      <c r="F76" s="49">
        <f>F52+F57+F60+F61+F67+F68+F72+F73+F74+F75</f>
        <v>5395.67</v>
      </c>
      <c r="G76" s="49">
        <f>G52+G57+G60+G61+G67+G68+G72+G73+G74+G75</f>
        <v>7138.33</v>
      </c>
      <c r="H76" s="49">
        <f>H52+H57+H60+H61+H67+H68+H72+H73+H74+H75</f>
        <v>5271.39</v>
      </c>
      <c r="I76" s="49">
        <f>I52+I57+I60+I61+I67+I68+I72+I73+I74+I75</f>
        <v>6549.209999999999</v>
      </c>
      <c r="J76" s="49">
        <f>J52+J57+J60+J61+J67+J68+J72+J73+J74+J75</f>
        <v>5782.5599999999995</v>
      </c>
      <c r="K76" s="49">
        <f>K52+K57+K60+K61+K67+K68+K72+K73+K74+K75</f>
        <v>3608.56</v>
      </c>
      <c r="L76" s="49">
        <f>L52+L57+L60+L61+L67+L68+L72+L73+L74+L75</f>
        <v>3903.37</v>
      </c>
      <c r="M76" s="49">
        <f>M52+M57+M60+M61+M67+M68+M72+M73+M74+M75</f>
        <v>3693.83</v>
      </c>
      <c r="N76" s="47">
        <f>B76+C76+D76+E76+F76+G76+H76+I76+J76+K76+L76+M76</f>
        <v>63394.0</v>
      </c>
    </row>
    <row r="77" spans="1:14" ht="16">
      <c r="A77" s="37" t="s">
        <v>74</v>
      </c>
      <c r="B77" s="46"/>
      <c r="C77" s="46"/>
      <c r="D77" s="46"/>
      <c r="E77" s="46"/>
      <c r="F77" s="46"/>
      <c r="G77" s="46"/>
      <c r="H77" s="46"/>
      <c r="I77" s="48">
        <v>379.2</v>
      </c>
      <c r="J77" s="46"/>
      <c r="K77" s="46"/>
      <c r="L77" s="46"/>
      <c r="M77" s="46"/>
      <c r="N77" s="48">
        <f>B77+C77+D77+E77+F77+G77+H77+I77+J77+K77+L77+M77</f>
        <v>379.2</v>
      </c>
    </row>
    <row r="78" spans="1:14" ht="16">
      <c r="A78" s="37" t="s">
        <v>75</v>
      </c>
      <c r="B78" s="48">
        <v>146.16</v>
      </c>
      <c r="C78" s="48">
        <v>168.05</v>
      </c>
      <c r="D78" s="48">
        <v>332.92</v>
      </c>
      <c r="E78" s="48">
        <v>710.26</v>
      </c>
      <c r="F78" s="48">
        <v>376.03</v>
      </c>
      <c r="G78" s="48">
        <v>366.59</v>
      </c>
      <c r="H78" s="48">
        <v>710.03</v>
      </c>
      <c r="I78" s="48">
        <v>837.17</v>
      </c>
      <c r="J78" s="48">
        <v>162.59</v>
      </c>
      <c r="K78" s="48">
        <v>420.0</v>
      </c>
      <c r="L78" s="48">
        <v>451.21</v>
      </c>
      <c r="M78" s="48">
        <v>530.13</v>
      </c>
      <c r="N78" s="48">
        <f>B78+C78+D78+E78+F78+G78+H78+I78+J78+K78+L78+M78</f>
        <v>5211.14</v>
      </c>
    </row>
    <row r="79" spans="1:14" ht="16">
      <c r="A79" s="37" t="s">
        <v>76</v>
      </c>
      <c r="B79" s="48">
        <v>590.02</v>
      </c>
      <c r="C79" s="48">
        <v>25.5</v>
      </c>
      <c r="D79" s="46"/>
      <c r="E79" s="48">
        <v>40.0</v>
      </c>
      <c r="F79" s="48">
        <v>308.9</v>
      </c>
      <c r="G79" s="46"/>
      <c r="H79" s="46"/>
      <c r="I79" s="46"/>
      <c r="J79" s="46"/>
      <c r="K79" s="48">
        <v>1193.01</v>
      </c>
      <c r="L79" s="48">
        <v>441.16</v>
      </c>
      <c r="M79" s="48">
        <v>33.9</v>
      </c>
      <c r="N79" s="48">
        <f>B79+C79+D79+E79+F79+G79+H79+I79+J79+K79+L79+M79</f>
        <v>2632.49</v>
      </c>
    </row>
    <row r="80" spans="1:14" ht="16">
      <c r="A80" s="42" t="s">
        <v>77</v>
      </c>
      <c r="B80" s="49">
        <f>B43+B51+B76+B77+B78+B79</f>
        <v>10056.660000000002</v>
      </c>
      <c r="C80" s="49">
        <f>C43+C51+C76+C77+C78+C79</f>
        <v>9902.61</v>
      </c>
      <c r="D80" s="49">
        <f>D43+D51+D76+D77+D78+D79</f>
        <v>8427.94</v>
      </c>
      <c r="E80" s="49">
        <f>E43+E51+E76+E77+E78+E79</f>
        <v>13901.910000000002</v>
      </c>
      <c r="F80" s="49">
        <f>F43+F51+F76+F77+F78+F79</f>
        <v>11315.99</v>
      </c>
      <c r="G80" s="49">
        <f>G43+G51+G76+G77+G78+G79</f>
        <v>8519.83</v>
      </c>
      <c r="H80" s="49">
        <f>H43+H51+H76+H77+H78+H79</f>
        <v>8680.79</v>
      </c>
      <c r="I80" s="49">
        <f>I43+I51+I76+I77+I78+I79</f>
        <v>11963.800000000001</v>
      </c>
      <c r="J80" s="49">
        <f>J43+J51+J76+J77+J78+J79</f>
        <v>9972.98</v>
      </c>
      <c r="K80" s="49">
        <f>K43+K51+K76+K77+K78+K79</f>
        <v>9297.43</v>
      </c>
      <c r="L80" s="49">
        <f>L43+L51+L76+L77+L78+L79</f>
        <v>9189.829999999998</v>
      </c>
      <c r="M80" s="49">
        <f>M43+M51+M76+M77+M78+M79</f>
        <v>8149.67</v>
      </c>
      <c r="N80" s="47">
        <f>B80+C80+D80+E80+F80+G80+H80+I80+J80+K80+L80+M80</f>
        <v>119379.44</v>
      </c>
    </row>
    <row r="81" spans="1:14" ht="16">
      <c r="A81" s="42" t="s">
        <v>78</v>
      </c>
      <c r="B81" s="49">
        <f>B42-B80</f>
        <v>-18969.940000000002</v>
      </c>
      <c r="C81" s="49">
        <f>C42-C80</f>
        <v>-9189.480000000001</v>
      </c>
      <c r="D81" s="49">
        <f>D42-D80</f>
        <v>13860.050000000005</v>
      </c>
      <c r="E81" s="49">
        <f>E42-E80</f>
        <v>9646.47</v>
      </c>
      <c r="F81" s="49">
        <f>F42-F80</f>
        <v>-11308.409999999998</v>
      </c>
      <c r="G81" s="49">
        <f>G42-G80</f>
        <v>-207.8799999999992</v>
      </c>
      <c r="H81" s="49">
        <f>H42-H80</f>
        <v>6083.34</v>
      </c>
      <c r="I81" s="49">
        <f>I42-I80</f>
        <v>-3567.24</v>
      </c>
      <c r="J81" s="49">
        <f>J42-J80</f>
        <v>-12737.46</v>
      </c>
      <c r="K81" s="49">
        <f>K42-K80</f>
        <v>4234.129999999999</v>
      </c>
      <c r="L81" s="49">
        <f>L42-L80</f>
        <v>-7825.539999999994</v>
      </c>
      <c r="M81" s="49">
        <f>M42-M80</f>
        <v>6999.599999999997</v>
      </c>
      <c r="N81" s="47">
        <f>B81+C81+D81+E81+F81+G81+H81+I81+J81+K81+L81+M81</f>
        <v>-22982.359999999993</v>
      </c>
    </row>
    <row r="82" spans="1:13" ht="16">
      <c r="A82" s="36" t="s">
        <v>79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</row>
    <row r="83" spans="1:14" ht="16">
      <c r="A83" s="37" t="s">
        <v>80</v>
      </c>
      <c r="B83" s="48">
        <v>54.13</v>
      </c>
      <c r="C83" s="48">
        <v>76.16</v>
      </c>
      <c r="D83" s="48">
        <v>1540.53</v>
      </c>
      <c r="E83" s="48">
        <v>84.78</v>
      </c>
      <c r="F83" s="48">
        <v>67.22</v>
      </c>
      <c r="G83" s="48">
        <v>82.45</v>
      </c>
      <c r="H83" s="48">
        <v>16.23</v>
      </c>
      <c r="I83" s="48">
        <v>16.23</v>
      </c>
      <c r="J83" s="48">
        <v>16.23</v>
      </c>
      <c r="K83" s="48">
        <v>16.23</v>
      </c>
      <c r="L83" s="48">
        <v>16.23</v>
      </c>
      <c r="M83" s="48">
        <v>82.24</v>
      </c>
      <c r="N83" s="48">
        <f>B83+C83+D83+E83+F83+G83+H83+I83+J83+K83+L83+M83</f>
        <v>2068.66</v>
      </c>
    </row>
    <row r="84" spans="1:14" ht="16">
      <c r="A84" s="37" t="s">
        <v>81</v>
      </c>
      <c r="B84" s="46"/>
      <c r="C84" s="46"/>
      <c r="D84" s="46"/>
      <c r="E84" s="46"/>
      <c r="F84" s="46"/>
      <c r="G84" s="46"/>
      <c r="H84" s="46"/>
      <c r="I84" s="46"/>
      <c r="J84" s="46"/>
      <c r="K84" s="48">
        <v>654.89</v>
      </c>
      <c r="L84" s="46"/>
      <c r="M84" s="46"/>
      <c r="N84" s="48">
        <f>B84+C84+D84+E84+F84+G84+H84+I84+J84+K84+L84+M84</f>
        <v>654.89</v>
      </c>
    </row>
    <row r="85" spans="1:14" ht="16">
      <c r="A85" s="42" t="s">
        <v>82</v>
      </c>
      <c r="B85" s="49">
        <f>B82+B83+B84</f>
        <v>54.13</v>
      </c>
      <c r="C85" s="49">
        <f>C82+C83+C84</f>
        <v>76.16</v>
      </c>
      <c r="D85" s="49">
        <f>D82+D83+D84</f>
        <v>1540.53</v>
      </c>
      <c r="E85" s="49">
        <f>E82+E83+E84</f>
        <v>84.78</v>
      </c>
      <c r="F85" s="49">
        <f>F82+F83+F84</f>
        <v>67.22</v>
      </c>
      <c r="G85" s="49">
        <f>G82+G83+G84</f>
        <v>82.45</v>
      </c>
      <c r="H85" s="49">
        <f>H82+H83+H84</f>
        <v>16.23</v>
      </c>
      <c r="I85" s="49">
        <f>I82+I83+I84</f>
        <v>16.23</v>
      </c>
      <c r="J85" s="49">
        <f>J82+J83+J84</f>
        <v>16.23</v>
      </c>
      <c r="K85" s="49">
        <f>K82+K83+K84</f>
        <v>671.12</v>
      </c>
      <c r="L85" s="49">
        <f>L82+L83+L84</f>
        <v>16.23</v>
      </c>
      <c r="M85" s="49">
        <f>M82+M83+M84</f>
        <v>82.24</v>
      </c>
      <c r="N85" s="47">
        <f>B85+C85+D85+E85+F85+G85+H85+I85+J85+K85+L85+M85</f>
        <v>2723.5499999999997</v>
      </c>
    </row>
    <row r="86" spans="1:14" ht="16">
      <c r="A86" s="42" t="s">
        <v>83</v>
      </c>
      <c r="B86" s="49">
        <f>0-B85</f>
        <v>-54.13</v>
      </c>
      <c r="C86" s="49">
        <f>0-C85</f>
        <v>-76.16</v>
      </c>
      <c r="D86" s="49">
        <f>0-D85</f>
        <v>-1540.53</v>
      </c>
      <c r="E86" s="49">
        <f>0-E85</f>
        <v>-84.78</v>
      </c>
      <c r="F86" s="49">
        <f>0-F85</f>
        <v>-67.22</v>
      </c>
      <c r="G86" s="49">
        <f>0-G85</f>
        <v>-82.45</v>
      </c>
      <c r="H86" s="49">
        <f>0-H85</f>
        <v>-16.23</v>
      </c>
      <c r="I86" s="49">
        <f>0-I85</f>
        <v>-16.23</v>
      </c>
      <c r="J86" s="49">
        <f>0-J85</f>
        <v>-16.23</v>
      </c>
      <c r="K86" s="49">
        <f>0-K85</f>
        <v>-671.12</v>
      </c>
      <c r="L86" s="49">
        <f>0-L85</f>
        <v>-16.23</v>
      </c>
      <c r="M86" s="49">
        <f>0-M85</f>
        <v>-82.24</v>
      </c>
      <c r="N86" s="47">
        <f>B86+C86+D86+E86+F86+G86+H86+I86+J86+K86+L86+M86</f>
        <v>-2723.5499999999997</v>
      </c>
    </row>
    <row r="87" spans="1:14" ht="16">
      <c r="A87" s="42" t="s">
        <v>84</v>
      </c>
      <c r="B87" s="49">
        <f>B81+B86</f>
        <v>-19024.070000000003</v>
      </c>
      <c r="C87" s="49">
        <f>C81+C86</f>
        <v>-9265.640000000001</v>
      </c>
      <c r="D87" s="49">
        <f>D81+D86</f>
        <v>12319.520000000004</v>
      </c>
      <c r="E87" s="49">
        <f>E81+E86</f>
        <v>9561.689999999999</v>
      </c>
      <c r="F87" s="49">
        <f>F81+F86</f>
        <v>-11375.629999999997</v>
      </c>
      <c r="G87" s="49">
        <f>G81+G86</f>
        <v>-290.3299999999992</v>
      </c>
      <c r="H87" s="49">
        <f>H81+H86</f>
        <v>6067.110000000001</v>
      </c>
      <c r="I87" s="49">
        <f>I81+I86</f>
        <v>-3583.47</v>
      </c>
      <c r="J87" s="49">
        <f>J81+J86</f>
        <v>-12753.689999999999</v>
      </c>
      <c r="K87" s="49">
        <f>K81+K86</f>
        <v>3563.0099999999993</v>
      </c>
      <c r="L87" s="49">
        <f>L81+L86</f>
        <v>-7841.769999999993</v>
      </c>
      <c r="M87" s="49">
        <f>M81+M86</f>
        <v>6917.359999999997</v>
      </c>
      <c r="N87" s="47">
        <f>B87+C87+D87+E87+F87+G87+H87+I87+J87+K87+L87+M87</f>
        <v>-25705.909999999993</v>
      </c>
    </row>
    <row r="91" spans="1:1" ht="16">
      <c r="A91" s="52" t="s">
        <v>99</v>
      </c>
    </row>
  </sheetData>
  <mergeCells count="4">
    <mergeCell ref="A1:N1"/>
    <mergeCell ref="A2:N2"/>
    <mergeCell ref="A3:N3"/>
    <mergeCell ref="A91:N9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