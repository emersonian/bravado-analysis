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5" i="1" l="1"/>
</calcChain>
</file>

<file path=xl/sharedStrings.xml><?xml version="1.0" encoding="utf-8"?>
<sst xmlns="http://schemas.openxmlformats.org/spreadsheetml/2006/main" count="108" uniqueCount="107">
  <si>
    <t>BRAVADO SPICE LLC</t>
  </si>
  <si>
    <t>Profit and Loss by Month</t>
  </si>
  <si>
    <t>January 1-December 31, 2018</t>
  </si>
  <si>
    <t>Income</t>
  </si>
  <si>
    <t>61000 Sales</t>
  </si>
  <si>
    <t>61200 Hot Sauce</t>
  </si>
  <si>
    <t>61210 Pineapple &amp; Habanero Hot Sauce</t>
  </si>
  <si>
    <t>61220 Jalapeno &amp; Green Apple Hot Sauce</t>
  </si>
  <si>
    <t>61230 Ghost Pepper &amp; Blueberry Hot Sauce</t>
  </si>
  <si>
    <t>61240 Crimson Hot Sauce</t>
  </si>
  <si>
    <t>61250 Crimson Special Reserve</t>
  </si>
  <si>
    <t>61260 Serrano &amp; Basil Hot Sauce</t>
  </si>
  <si>
    <t>61270 Black Garlic &amp; Carolina Reaper Hot Sauce</t>
  </si>
  <si>
    <t>61280 Creamy Herb &amp; Jalapeño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</si>
  <si>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</si>
  <si>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</si>
  <si>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</si>
  <si>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</si>
  <si>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</si>
  <si>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61400 Mixers</t>
  </si>
  <si>
    <t>61410 Pineapple &amp; Jalapeno &amp; Margarita Mix</t>
  </si>
  <si>
    <t>Total for 61400 Mixers</t>
  </si>
  <si>
    <t>61500 Sets</t>
  </si>
  <si>
    <t>63000 Events/Shows Sales</t>
  </si>
  <si>
    <t>64000 Online Sales</t>
  </si>
  <si>
    <t>64100 Online Refunds/Allowances</t>
  </si>
  <si>
    <t>Total for 64000 Online Sales</t>
  </si>
  <si>
    <t>65000 Amazon Seller Central Sales</t>
  </si>
  <si>
    <t>Total for 61000 Sales</t>
  </si>
  <si>
    <t>67000 Uncategorized Income</t>
  </si>
  <si>
    <t>Total for Income</t>
  </si>
  <si>
    <t>Cost of Goods Sold</t>
  </si>
  <si>
    <t>62100 Refunds/Allowances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</si>
  <si>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</si>
  <si>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</si>
  <si>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</si>
  <si>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</si>
  <si>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</si>
  <si>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</si>
  <si>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On-Invoice Discounts</t>
  </si>
  <si>
    <t>QuickBooks Payments Fees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</si>
  <si>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</si>
  <si>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</si>
  <si>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</si>
  <si>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</si>
  <si>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</si>
  <si>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</si>
  <si>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</si>
  <si>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</si>
  <si>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</si>
  <si>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</si>
  <si>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</si>
  <si>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</si>
  <si>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</si>
  <si>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</si>
  <si>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</si>
  <si>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Total for 72000 Marketing/Advertising</t>
  </si>
  <si>
    <t>73000 Overhead Expenses (G&amp;A)</t>
  </si>
  <si>
    <t>73100 Rent or Lease</t>
  </si>
  <si>
    <t>73110 Office Rent</t>
  </si>
  <si>
    <t>Total for 73100 Rent or Lease</t>
  </si>
  <si>
    <t>73200 Office Expenses</t>
  </si>
  <si>
    <t>73210 Shipping Supplies</t>
  </si>
  <si>
    <t>Total for 73200 Office Expenses</t>
  </si>
  <si>
    <t>73300 Utilities</t>
  </si>
  <si>
    <t>73400 Financial Fees</t>
  </si>
  <si>
    <t>73410 Bank Fees</t>
  </si>
  <si>
    <t>73420 Credit Card Fees</t>
  </si>
  <si>
    <t>73450 Interest Expense</t>
  </si>
  <si>
    <t>73470 Fundbox Fees</t>
  </si>
  <si>
    <t>Total for 73400 Financial Fees</t>
  </si>
  <si>
    <t>73500 Dues &amp; Subscriptions</t>
  </si>
  <si>
    <t>73600 Insurance</t>
  </si>
  <si>
    <t>73620 Insurance - Liability</t>
  </si>
  <si>
    <t>Total for 73600 Insurance</t>
  </si>
  <si>
    <t>73700 Professional Fees</t>
  </si>
  <si>
    <t>73800 Taxes &amp; Licenses</t>
  </si>
  <si>
    <t>73900 1099 Non-Employee Compensation</t>
  </si>
  <si>
    <t>Total for 73000 Overhead Expenses (G&amp;A)</t>
  </si>
  <si>
    <t>74000 Bad Debts</t>
  </si>
  <si>
    <t>75000 Travel</t>
  </si>
  <si>
    <t>76000 Repair &amp; Maintenance</t>
  </si>
  <si>
    <t>Total for Expenses</t>
  </si>
  <si>
    <t>Net Operating Income</t>
  </si>
  <si>
    <t>Other Income</t>
  </si>
  <si>
    <t>80000 Interest Earned</t>
  </si>
  <si>
    <t>Total for Other Income</t>
  </si>
  <si>
    <t>Other Expenses</t>
  </si>
  <si>
    <t>90000 Other Miscellaneous Expense</t>
  </si>
  <si>
    <t>Total for Other Expenses</t>
  </si>
  <si>
    <t>Net Other Income</t>
  </si>
  <si>
    <t>Net Income</t>
  </si>
  <si>
    <t/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</si>
  <si>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</si>
  <si>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</si>
  <si>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</si>
  <si>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</si>
  <si>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</si>
  <si>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</si>
  <si>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</si>
  <si>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</si>
  <si>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</si>
  <si>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</si>
  <si>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</si>
  <si>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</si>
  <si>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Total</t>
  </si>
  <si>
    <t>Accrual Basis Tuesday, August 25, 2026 03:27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</si>
</sst>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99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6.125" style="43" customWidth="1"/>
    <col min="3" max="3" width="17" style="43" customWidth="1"/>
    <col min="4" max="4" width="16.125" style="43" customWidth="1"/>
    <col min="5" max="6" width="17" style="43" customWidth="1"/>
    <col min="7" max="8" width="16.125" style="43" customWidth="1"/>
    <col min="9" max="9" width="17" style="43" customWidth="1"/>
    <col min="10" max="11" width="16.125" style="43" customWidth="1"/>
    <col min="12" max="12" width="15.25" style="43" customWidth="1"/>
    <col min="13" max="14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92</v>
      </c>
      <c r="B5" s="50" t="s">
        <v>93</v>
      </c>
      <c r="C5" s="50" t="s">
        <v>94</v>
      </c>
      <c r="D5" s="50" t="s">
        <v>95</v>
      </c>
      <c r="E5" s="50" t="s">
        <v>96</v>
      </c>
      <c r="F5" s="50" t="s">
        <v>97</v>
      </c>
      <c r="G5" s="50" t="s">
        <v>98</v>
      </c>
      <c r="H5" s="50" t="s">
        <v>99</v>
      </c>
      <c r="I5" s="50" t="s">
        <v>100</v>
      </c>
      <c r="J5" s="50" t="s">
        <v>101</v>
      </c>
      <c r="K5" s="50" t="s">
        <v>102</v>
      </c>
      <c r="L5" s="50" t="s">
        <v>103</v>
      </c>
      <c r="M5" s="50" t="s">
        <v>104</v>
      </c>
      <c r="N5" s="50" t="s">
        <v>105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6"/>
      <c r="D7" s="46"/>
      <c r="E7" s="46"/>
      <c r="F7" s="47">
        <v>36.0</v>
      </c>
      <c r="G7" s="47">
        <v>126.1</v>
      </c>
      <c r="H7" s="46"/>
      <c r="I7" s="46"/>
      <c r="J7" s="46"/>
      <c r="K7" s="46"/>
      <c r="L7" s="46"/>
      <c r="M7" s="46"/>
      <c r="N7" s="47">
        <f>B7+C7+D7+E7+F7+G7+H7+I7+J7+K7+L7+M7</f>
        <v>162.1</v>
      </c>
    </row>
    <row r="8" spans="1:14" ht="16">
      <c r="A8" s="38" t="s">
        <v>5</v>
      </c>
      <c r="B8" s="46"/>
      <c r="C8" s="46"/>
      <c r="D8" s="46"/>
      <c r="E8" s="46"/>
      <c r="F8" s="47">
        <v>28.0</v>
      </c>
      <c r="G8" s="46"/>
      <c r="H8" s="46"/>
      <c r="I8" s="46"/>
      <c r="J8" s="46"/>
      <c r="K8" s="46"/>
      <c r="L8" s="46"/>
      <c r="M8" s="46"/>
      <c r="N8" s="47">
        <f>B8+C8+D8+E8+F8+G8+H8+I8+J8+K8+L8+M8</f>
        <v>28.0</v>
      </c>
    </row>
    <row r="9" spans="1:14" ht="16">
      <c r="A9" s="39" t="s">
        <v>6</v>
      </c>
      <c r="B9" s="47">
        <v>7769.52</v>
      </c>
      <c r="C9" s="47">
        <v>4285.66</v>
      </c>
      <c r="D9" s="47">
        <v>7241.2</v>
      </c>
      <c r="E9" s="47">
        <v>13971.23</v>
      </c>
      <c r="F9" s="47">
        <v>11760.94</v>
      </c>
      <c r="G9" s="47">
        <v>9341.62</v>
      </c>
      <c r="H9" s="47">
        <v>9660.25</v>
      </c>
      <c r="I9" s="47">
        <v>16137.08</v>
      </c>
      <c r="J9" s="47">
        <v>10885.96</v>
      </c>
      <c r="K9" s="47">
        <v>15727.98</v>
      </c>
      <c r="L9" s="47">
        <v>20937.79</v>
      </c>
      <c r="M9" s="47">
        <v>20568.74</v>
      </c>
      <c r="N9" s="47">
        <f>B9+C9+D9+E9+F9+G9+H9+I9+J9+K9+L9+M9</f>
        <v>148287.96999999997</v>
      </c>
    </row>
    <row r="10" spans="1:14" ht="16">
      <c r="A10" s="39" t="s">
        <v>7</v>
      </c>
      <c r="B10" s="47">
        <v>5802.64</v>
      </c>
      <c r="C10" s="47">
        <v>1575.48</v>
      </c>
      <c r="D10" s="47">
        <v>3019.12</v>
      </c>
      <c r="E10" s="47">
        <v>7812.98</v>
      </c>
      <c r="F10" s="47">
        <v>3646.94</v>
      </c>
      <c r="G10" s="47">
        <v>4488.82</v>
      </c>
      <c r="H10" s="47">
        <v>5951.46</v>
      </c>
      <c r="I10" s="47">
        <v>1639.78</v>
      </c>
      <c r="J10" s="47">
        <v>4787.75</v>
      </c>
      <c r="K10" s="47">
        <v>3294.1</v>
      </c>
      <c r="L10" s="47">
        <v>4358.2</v>
      </c>
      <c r="M10" s="47">
        <v>6822.42</v>
      </c>
      <c r="N10" s="47">
        <f>B10+C10+D10+E10+F10+G10+H10+I10+J10+K10+L10+M10</f>
        <v>53199.689999999995</v>
      </c>
    </row>
    <row r="11" spans="1:14" ht="16">
      <c r="A11" s="39" t="s">
        <v>8</v>
      </c>
      <c r="B11" s="47">
        <v>10049.96</v>
      </c>
      <c r="C11" s="47">
        <v>3565.4</v>
      </c>
      <c r="D11" s="47">
        <v>9226.22</v>
      </c>
      <c r="E11" s="47">
        <v>14786.99</v>
      </c>
      <c r="F11" s="47">
        <v>20485.64</v>
      </c>
      <c r="G11" s="47">
        <v>12556.98</v>
      </c>
      <c r="H11" s="47">
        <v>10855.38</v>
      </c>
      <c r="I11" s="47">
        <v>20865.64</v>
      </c>
      <c r="J11" s="47">
        <v>12104.93</v>
      </c>
      <c r="K11" s="47">
        <v>16056.32</v>
      </c>
      <c r="L11" s="47">
        <v>17979.71</v>
      </c>
      <c r="M11" s="47">
        <v>11181.37</v>
      </c>
      <c r="N11" s="47">
        <f>B11+C11+D11+E11+F11+G11+H11+I11+J11+K11+L11+M11</f>
        <v>159714.54</v>
      </c>
    </row>
    <row r="12" spans="1:14" ht="16">
      <c r="A12" s="39" t="s">
        <v>9</v>
      </c>
      <c r="B12" s="47">
        <v>3129.77</v>
      </c>
      <c r="C12" s="47">
        <v>2469.54</v>
      </c>
      <c r="D12" s="47">
        <v>3134.74</v>
      </c>
      <c r="E12" s="47">
        <v>7200.98</v>
      </c>
      <c r="F12" s="47">
        <v>2615.42</v>
      </c>
      <c r="G12" s="47">
        <v>3369.92</v>
      </c>
      <c r="H12" s="47">
        <v>4627.86</v>
      </c>
      <c r="I12" s="47">
        <v>2225.59</v>
      </c>
      <c r="J12" s="47">
        <v>2424.92</v>
      </c>
      <c r="K12" s="47">
        <v>2901.96</v>
      </c>
      <c r="L12" s="47">
        <v>5428.45</v>
      </c>
      <c r="M12" s="47">
        <v>3664.83</v>
      </c>
      <c r="N12" s="47">
        <f>B12+C12+D12+E12+F12+G12+H12+I12+J12+K12+L12+M12</f>
        <v>43193.979999999996</v>
      </c>
    </row>
    <row r="13" spans="1:14" ht="16">
      <c r="A13" s="39" t="s">
        <v>10</v>
      </c>
      <c r="B13" s="47">
        <v>2856.74</v>
      </c>
      <c r="C13" s="47">
        <v>1071.62</v>
      </c>
      <c r="D13" s="47">
        <v>3821.22</v>
      </c>
      <c r="E13" s="47">
        <v>3332.08</v>
      </c>
      <c r="F13" s="47">
        <v>810.08</v>
      </c>
      <c r="G13" s="47">
        <v>2983.56</v>
      </c>
      <c r="H13" s="47">
        <v>1804.1</v>
      </c>
      <c r="I13" s="47">
        <v>2393.9</v>
      </c>
      <c r="J13" s="47">
        <v>2043.62</v>
      </c>
      <c r="K13" s="47">
        <v>2705.94</v>
      </c>
      <c r="L13" s="47">
        <v>10334.36</v>
      </c>
      <c r="M13" s="47">
        <v>3660.92</v>
      </c>
      <c r="N13" s="47">
        <f>B13+C13+D13+E13+F13+G13+H13+I13+J13+K13+L13+M13</f>
        <v>37818.14</v>
      </c>
    </row>
    <row r="14" spans="1:14" ht="16">
      <c r="A14" s="39" t="s">
        <v>11</v>
      </c>
      <c r="B14" s="47">
        <v>3593.48</v>
      </c>
      <c r="C14" s="47">
        <v>4789.12</v>
      </c>
      <c r="D14" s="47">
        <v>6022.5</v>
      </c>
      <c r="E14" s="47">
        <v>4088.02</v>
      </c>
      <c r="F14" s="47">
        <v>3527.08</v>
      </c>
      <c r="G14" s="47">
        <v>5138.0</v>
      </c>
      <c r="H14" s="47">
        <v>3155.58</v>
      </c>
      <c r="I14" s="47">
        <v>3295.89</v>
      </c>
      <c r="J14" s="47">
        <v>3131.8</v>
      </c>
      <c r="K14" s="47">
        <v>3905.4</v>
      </c>
      <c r="L14" s="47">
        <v>2880.42</v>
      </c>
      <c r="M14" s="47">
        <v>6300.96</v>
      </c>
      <c r="N14" s="47">
        <f>B14+C14+D14+E14+F14+G14+H14+I14+J14+K14+L14+M14</f>
        <v>49828.25</v>
      </c>
    </row>
    <row r="15" spans="1:14" ht="16">
      <c r="A15" s="39" t="s">
        <v>12</v>
      </c>
      <c r="B15" s="46"/>
      <c r="C15" s="46"/>
      <c r="D15" s="46"/>
      <c r="E15" s="46"/>
      <c r="F15" s="47">
        <v>9180.0</v>
      </c>
      <c r="G15" s="47">
        <v>12420.0</v>
      </c>
      <c r="H15" s="47">
        <v>9720.0</v>
      </c>
      <c r="I15" s="46"/>
      <c r="J15" s="47">
        <v>40114.5</v>
      </c>
      <c r="K15" s="47">
        <v>8147.38</v>
      </c>
      <c r="L15" s="47">
        <v>16033.2</v>
      </c>
      <c r="M15" s="47">
        <v>10368.25</v>
      </c>
      <c r="N15" s="47">
        <f>B15+C15+D15+E15+F15+G15+H15+I15+J15+K15+L15+M15</f>
        <v>105983.33</v>
      </c>
    </row>
    <row r="16" spans="1:14" ht="16">
      <c r="A16" s="39" t="s">
        <v>13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7">
        <v>592.5</v>
      </c>
      <c r="M16" s="47">
        <v>3410.43</v>
      </c>
      <c r="N16" s="47">
        <f>B16+C16+D16+E16+F16+G16+H16+I16+J16+K16+L16+M16</f>
        <v>4002.93</v>
      </c>
    </row>
    <row r="17" spans="1:14" ht="16">
      <c r="A17" s="40" t="s">
        <v>14</v>
      </c>
      <c r="B17" s="48">
        <f>B8+B9+B10+B11+B12+B13+B14+B15+B16</f>
        <v>33202.11</v>
      </c>
      <c r="C17" s="48">
        <f>C8+C9+C10+C11+C12+C13+C14+C15+C16</f>
        <v>17756.819999999996</v>
      </c>
      <c r="D17" s="48">
        <f>D8+D9+D10+D11+D12+D13+D14+D15+D16</f>
        <v>32465.0</v>
      </c>
      <c r="E17" s="48">
        <f>E8+E9+E10+E11+E12+E13+E14+E15+E16</f>
        <v>51192.27999999999</v>
      </c>
      <c r="F17" s="48">
        <f>F8+F9+F10+F11+F12+F13+F14+F15+F16</f>
        <v>52054.100000000006</v>
      </c>
      <c r="G17" s="48">
        <f>G8+G9+G10+G11+G12+G13+G14+G15+G16</f>
        <v>50298.899999999994</v>
      </c>
      <c r="H17" s="48">
        <f>H8+H9+H10+H11+H12+H13+H14+H15+H16</f>
        <v>45774.63</v>
      </c>
      <c r="I17" s="48">
        <f>I8+I9+I10+I11+I12+I13+I14+I15+I16</f>
        <v>46557.88</v>
      </c>
      <c r="J17" s="48">
        <f>J8+J9+J10+J11+J12+J13+J14+J15+J16</f>
        <v>75493.48</v>
      </c>
      <c r="K17" s="48">
        <f>K8+K9+K10+K11+K12+K13+K14+K15+K16</f>
        <v>52739.079999999994</v>
      </c>
      <c r="L17" s="48">
        <f>L8+L9+L10+L11+L12+L13+L14+L15+L16</f>
        <v>78544.62999999999</v>
      </c>
      <c r="M17" s="48">
        <f>M8+M9+M10+M11+M12+M13+M14+M15+M16</f>
        <v>65977.92</v>
      </c>
      <c r="N17" s="49">
        <f>B17+C17+D17+E17+F17+G17+H17+I17+J17+K17+L17+M17</f>
        <v>602056.83</v>
      </c>
    </row>
    <row r="18" spans="1:14" ht="16">
      <c r="A18" s="38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ht="16">
      <c r="A19" s="39" t="s">
        <v>16</v>
      </c>
      <c r="B19" s="47">
        <v>1071.48</v>
      </c>
      <c r="C19" s="47">
        <v>2725.32</v>
      </c>
      <c r="D19" s="47">
        <v>1175.88</v>
      </c>
      <c r="E19" s="47">
        <v>1167.36</v>
      </c>
      <c r="F19" s="47">
        <v>10283.84</v>
      </c>
      <c r="G19" s="47">
        <v>2556.24</v>
      </c>
      <c r="H19" s="47">
        <v>1111.74</v>
      </c>
      <c r="I19" s="47">
        <v>691.92</v>
      </c>
      <c r="J19" s="47">
        <v>736.6</v>
      </c>
      <c r="K19" s="47">
        <v>956.8</v>
      </c>
      <c r="L19" s="47">
        <v>1363.8</v>
      </c>
      <c r="M19" s="47">
        <v>1822.0</v>
      </c>
      <c r="N19" s="47">
        <f>B19+C19+D19+E19+F19+G19+H19+I19+J19+K19+L19+M19</f>
        <v>25662.98</v>
      </c>
    </row>
    <row r="20" spans="1:14" ht="16">
      <c r="A20" s="39" t="s">
        <v>17</v>
      </c>
      <c r="B20" s="47">
        <v>354.12</v>
      </c>
      <c r="C20" s="47">
        <v>427.44</v>
      </c>
      <c r="D20" s="47">
        <v>1182.84</v>
      </c>
      <c r="E20" s="47">
        <v>789.96</v>
      </c>
      <c r="F20" s="47">
        <v>490.32</v>
      </c>
      <c r="G20" s="47">
        <v>104.48</v>
      </c>
      <c r="H20" s="47">
        <v>495.24</v>
      </c>
      <c r="I20" s="47">
        <v>400.44</v>
      </c>
      <c r="J20" s="47">
        <v>218.2</v>
      </c>
      <c r="K20" s="47">
        <v>527.2</v>
      </c>
      <c r="L20" s="47">
        <v>1150.5</v>
      </c>
      <c r="M20" s="47">
        <v>420.6</v>
      </c>
      <c r="N20" s="47">
        <f>B20+C20+D20+E20+F20+G20+H20+I20+J20+K20+L20+M20</f>
        <v>6561.339999999999</v>
      </c>
    </row>
    <row r="21" spans="1:14" ht="16">
      <c r="A21" s="40" t="s">
        <v>18</v>
      </c>
      <c r="B21" s="48">
        <f>B18+B19+B20</f>
        <v>1425.6</v>
      </c>
      <c r="C21" s="48">
        <f>C18+C19+C20</f>
        <v>3152.76</v>
      </c>
      <c r="D21" s="48">
        <f>D18+D19+D20</f>
        <v>2358.7200000000003</v>
      </c>
      <c r="E21" s="48">
        <f>E18+E19+E20</f>
        <v>1957.32</v>
      </c>
      <c r="F21" s="48">
        <f>F18+F19+F20</f>
        <v>10774.16</v>
      </c>
      <c r="G21" s="48">
        <f>G18+G19+G20</f>
        <v>2660.72</v>
      </c>
      <c r="H21" s="48">
        <f>H18+H19+H20</f>
        <v>1606.98</v>
      </c>
      <c r="I21" s="48">
        <f>I18+I19+I20</f>
        <v>1092.36</v>
      </c>
      <c r="J21" s="48">
        <f>J18+J19+J20</f>
        <v>954.8</v>
      </c>
      <c r="K21" s="48">
        <f>K18+K19+K20</f>
        <v>1484.0</v>
      </c>
      <c r="L21" s="48">
        <f>L18+L19+L20</f>
        <v>2514.3</v>
      </c>
      <c r="M21" s="48">
        <f>M18+M19+M20</f>
        <v>2242.6</v>
      </c>
      <c r="N21" s="49">
        <f>B21+C21+D21+E21+F21+G21+H21+I21+J21+K21+L21+M21</f>
        <v>32224.32</v>
      </c>
    </row>
    <row r="22" spans="1:14" ht="16">
      <c r="A22" s="38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16">
      <c r="A23" s="39" t="s">
        <v>20</v>
      </c>
      <c r="B23" s="46"/>
      <c r="C23" s="46"/>
      <c r="D23" s="46"/>
      <c r="E23" s="46"/>
      <c r="F23" s="47">
        <v>1427.4</v>
      </c>
      <c r="G23" s="47">
        <v>713.7</v>
      </c>
      <c r="H23" s="47">
        <v>3422.1</v>
      </c>
      <c r="I23" s="47">
        <v>1530.6</v>
      </c>
      <c r="J23" s="47">
        <v>2427.0</v>
      </c>
      <c r="K23" s="47">
        <v>2257.8</v>
      </c>
      <c r="L23" s="47">
        <v>584.1</v>
      </c>
      <c r="M23" s="47">
        <v>1568.64</v>
      </c>
      <c r="N23" s="47">
        <f>B23+C23+D23+E23+F23+G23+H23+I23+J23+K23+L23+M23</f>
        <v>13931.340000000002</v>
      </c>
    </row>
    <row r="24" spans="1:14" ht="16">
      <c r="A24" s="40" t="s">
        <v>21</v>
      </c>
      <c r="B24" s="49">
        <f>B22+B23</f>
        <v>0.0</v>
      </c>
      <c r="C24" s="49">
        <f>C22+C23</f>
        <v>0.0</v>
      </c>
      <c r="D24" s="49">
        <f>D22+D23</f>
        <v>0.0</v>
      </c>
      <c r="E24" s="49">
        <f>E22+E23</f>
        <v>0.0</v>
      </c>
      <c r="F24" s="48">
        <f>F22+F23</f>
        <v>1427.4</v>
      </c>
      <c r="G24" s="48">
        <f>G22+G23</f>
        <v>713.7</v>
      </c>
      <c r="H24" s="48">
        <f>H22+H23</f>
        <v>3422.1</v>
      </c>
      <c r="I24" s="48">
        <f>I22+I23</f>
        <v>1530.6</v>
      </c>
      <c r="J24" s="48">
        <f>J22+J23</f>
        <v>2427.0</v>
      </c>
      <c r="K24" s="48">
        <f>K22+K23</f>
        <v>2257.8</v>
      </c>
      <c r="L24" s="48">
        <f>L22+L23</f>
        <v>584.1</v>
      </c>
      <c r="M24" s="48">
        <f>M22+M23</f>
        <v>1568.64</v>
      </c>
      <c r="N24" s="49">
        <f>B24+C24+D24+E24+F24+G24+H24+I24+J24+K24+L24+M24</f>
        <v>13931.340000000002</v>
      </c>
    </row>
    <row r="25" spans="1:14" ht="16">
      <c r="A25" s="38" t="s">
        <v>22</v>
      </c>
      <c r="B25" s="47">
        <v>280.0</v>
      </c>
      <c r="C25" s="46"/>
      <c r="D25" s="46"/>
      <c r="E25" s="46"/>
      <c r="F25" s="46"/>
      <c r="G25" s="46"/>
      <c r="H25" s="47">
        <v>339.12</v>
      </c>
      <c r="I25" s="46"/>
      <c r="J25" s="46"/>
      <c r="K25" s="46"/>
      <c r="L25" s="51">
        <v>0</v>
      </c>
      <c r="M25" s="47">
        <v>100.0</v>
      </c>
      <c r="N25" s="47">
        <f>B25+C25+D25+E25+F25+G25+H25+I25+J25+K25+L25+M25</f>
        <v>719.12</v>
      </c>
    </row>
    <row r="26" spans="1:14" ht="16">
      <c r="A26" s="38" t="s">
        <v>23</v>
      </c>
      <c r="B26" s="47">
        <v>1462.76</v>
      </c>
      <c r="C26" s="47">
        <v>800.57</v>
      </c>
      <c r="D26" s="47">
        <v>1941.17</v>
      </c>
      <c r="E26" s="47">
        <v>3227.3</v>
      </c>
      <c r="F26" s="47">
        <v>6076.94</v>
      </c>
      <c r="G26" s="47">
        <v>2789.81</v>
      </c>
      <c r="H26" s="47">
        <v>311.15</v>
      </c>
      <c r="I26" s="47">
        <v>3367.03</v>
      </c>
      <c r="J26" s="47">
        <v>13599.37</v>
      </c>
      <c r="K26" s="47">
        <v>1241.66</v>
      </c>
      <c r="L26" s="47">
        <v>5912.61</v>
      </c>
      <c r="M26" s="47">
        <v>6612.6</v>
      </c>
      <c r="N26" s="47">
        <f>B26+C26+D26+E26+F26+G26+H26+I26+J26+K26+L26+M26</f>
        <v>47342.97</v>
      </c>
    </row>
    <row r="27" spans="1:14" ht="16">
      <c r="A27" s="38" t="s">
        <v>24</v>
      </c>
      <c r="B27" s="47">
        <v>2287.03</v>
      </c>
      <c r="C27" s="47">
        <v>3874.46</v>
      </c>
      <c r="D27" s="47">
        <v>4616.87</v>
      </c>
      <c r="E27" s="47">
        <v>2454.0</v>
      </c>
      <c r="F27" s="47">
        <v>4746.82</v>
      </c>
      <c r="G27" s="47">
        <v>5623.12</v>
      </c>
      <c r="H27" s="47">
        <v>4778.28</v>
      </c>
      <c r="I27" s="47">
        <v>2649.72</v>
      </c>
      <c r="J27" s="47">
        <v>5725.36</v>
      </c>
      <c r="K27" s="47">
        <v>6769.62</v>
      </c>
      <c r="L27" s="47">
        <v>9542.95</v>
      </c>
      <c r="M27" s="47">
        <v>7691.92</v>
      </c>
      <c r="N27" s="47">
        <f>B27+C27+D27+E27+F27+G27+H27+I27+J27+K27+L27+M27</f>
        <v>60760.149999999994</v>
      </c>
    </row>
    <row r="28" spans="1:14" ht="16">
      <c r="A28" s="39" t="s">
        <v>25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7">
        <v>-19.0</v>
      </c>
      <c r="M28" s="46"/>
      <c r="N28" s="47">
        <f>B28+C28+D28+E28+F28+G28+H28+I28+J28+K28+L28+M28</f>
        <v>-19.0</v>
      </c>
    </row>
    <row r="29" spans="1:14" ht="16">
      <c r="A29" s="40" t="s">
        <v>26</v>
      </c>
      <c r="B29" s="48">
        <f>B27+B28</f>
        <v>2287.03</v>
      </c>
      <c r="C29" s="48">
        <f>C27+C28</f>
        <v>3874.46</v>
      </c>
      <c r="D29" s="48">
        <f>D27+D28</f>
        <v>4616.87</v>
      </c>
      <c r="E29" s="48">
        <f>E27+E28</f>
        <v>2454.0</v>
      </c>
      <c r="F29" s="48">
        <f>F27+F28</f>
        <v>4746.82</v>
      </c>
      <c r="G29" s="48">
        <f>G27+G28</f>
        <v>5623.12</v>
      </c>
      <c r="H29" s="48">
        <f>H27+H28</f>
        <v>4778.28</v>
      </c>
      <c r="I29" s="48">
        <f>I27+I28</f>
        <v>2649.72</v>
      </c>
      <c r="J29" s="48">
        <f>J27+J28</f>
        <v>5725.36</v>
      </c>
      <c r="K29" s="48">
        <f>K27+K28</f>
        <v>6769.62</v>
      </c>
      <c r="L29" s="48">
        <f>L27+L28</f>
        <v>9523.95</v>
      </c>
      <c r="M29" s="48">
        <f>M27+M28</f>
        <v>7691.92</v>
      </c>
      <c r="N29" s="49">
        <f>B29+C29+D29+E29+F29+G29+H29+I29+J29+K29+L29+M29</f>
        <v>60741.149999999994</v>
      </c>
    </row>
    <row r="30" spans="1:14" ht="16">
      <c r="A30" s="38" t="s">
        <v>27</v>
      </c>
      <c r="B30" s="46"/>
      <c r="C30" s="46"/>
      <c r="D30" s="46"/>
      <c r="E30" s="46"/>
      <c r="F30" s="46"/>
      <c r="G30" s="46"/>
      <c r="H30" s="47">
        <v>1496.45</v>
      </c>
      <c r="I30" s="47">
        <v>1781.44</v>
      </c>
      <c r="J30" s="47">
        <v>2446.72</v>
      </c>
      <c r="K30" s="47">
        <v>3821.12</v>
      </c>
      <c r="L30" s="47">
        <v>5686.0</v>
      </c>
      <c r="M30" s="47">
        <v>6154.66</v>
      </c>
      <c r="N30" s="47">
        <f>B30+C30+D30+E30+F30+G30+H30+I30+J30+K30+L30+M30</f>
        <v>21386.39</v>
      </c>
    </row>
    <row r="31" spans="1:14" ht="16">
      <c r="A31" s="41" t="s">
        <v>28</v>
      </c>
      <c r="B31" s="48">
        <f>B7+B17+B21+B24+B25+B26+B29+B30</f>
        <v>38657.5</v>
      </c>
      <c r="C31" s="48">
        <f>C7+C17+C21+C24+C25+C26+C29+C30</f>
        <v>25584.609999999993</v>
      </c>
      <c r="D31" s="48">
        <f>D7+D17+D21+D24+D25+D26+D29+D30</f>
        <v>41381.76</v>
      </c>
      <c r="E31" s="48">
        <f>E7+E17+E21+E24+E25+E26+E29+E30</f>
        <v>58830.899999999994</v>
      </c>
      <c r="F31" s="48">
        <f>F7+F17+F21+F24+F25+F26+F29+F30</f>
        <v>75115.42000000001</v>
      </c>
      <c r="G31" s="48">
        <f>G7+G17+G21+G24+G25+G26+G29+G30</f>
        <v>62212.34999999999</v>
      </c>
      <c r="H31" s="48">
        <f>H7+H17+H21+H24+H25+H26+H29+H30</f>
        <v>57728.71</v>
      </c>
      <c r="I31" s="48">
        <f>I7+I17+I21+I24+I25+I26+I29+I30</f>
        <v>56979.03</v>
      </c>
      <c r="J31" s="48">
        <f>J7+J17+J21+J24+J25+J26+J29+J30</f>
        <v>100646.73</v>
      </c>
      <c r="K31" s="48">
        <f>K7+K17+K21+K24+K25+K26+K29+K30</f>
        <v>68313.28</v>
      </c>
      <c r="L31" s="48">
        <f>L7+L17+L21+L24+L25+L26+L29+L30</f>
        <v>102765.59</v>
      </c>
      <c r="M31" s="48">
        <f>M7+M17+M21+M24+M25+M26+M29+M30</f>
        <v>90348.34000000001</v>
      </c>
      <c r="N31" s="49">
        <f>B31+C31+D31+E31+F31+G31+H31+I31+J31+K31+L31+M31</f>
        <v>778564.22</v>
      </c>
    </row>
    <row r="32" spans="1:14" ht="16">
      <c r="A32" s="37" t="s">
        <v>29</v>
      </c>
      <c r="B32" s="46"/>
      <c r="C32" s="46"/>
      <c r="D32" s="46"/>
      <c r="E32" s="46"/>
      <c r="F32" s="47">
        <v>0.24</v>
      </c>
      <c r="G32" s="46"/>
      <c r="H32" s="47">
        <v>412.0</v>
      </c>
      <c r="I32" s="46"/>
      <c r="J32" s="47">
        <v>313.29</v>
      </c>
      <c r="K32" s="46"/>
      <c r="L32" s="47">
        <v>-246.56</v>
      </c>
      <c r="M32" s="46"/>
      <c r="N32" s="47">
        <f>B32+C32+D32+E32+F32+G32+H32+I32+J32+K32+L32+M32</f>
        <v>478.96999999999997</v>
      </c>
    </row>
    <row r="33" spans="1:14" ht="16">
      <c r="A33" s="42" t="s">
        <v>30</v>
      </c>
      <c r="B33" s="48">
        <f>B6+B31+B32</f>
        <v>38657.5</v>
      </c>
      <c r="C33" s="48">
        <f>C6+C31+C32</f>
        <v>25584.609999999993</v>
      </c>
      <c r="D33" s="48">
        <f>D6+D31+D32</f>
        <v>41381.76</v>
      </c>
      <c r="E33" s="48">
        <f>E6+E31+E32</f>
        <v>58830.899999999994</v>
      </c>
      <c r="F33" s="48">
        <f>F6+F31+F32</f>
        <v>75115.66000000002</v>
      </c>
      <c r="G33" s="48">
        <f>G6+G31+G32</f>
        <v>62212.34999999999</v>
      </c>
      <c r="H33" s="48">
        <f>H6+H31+H32</f>
        <v>58140.71</v>
      </c>
      <c r="I33" s="48">
        <f>I6+I31+I32</f>
        <v>56979.03</v>
      </c>
      <c r="J33" s="48">
        <f>J6+J31+J32</f>
        <v>100960.01999999999</v>
      </c>
      <c r="K33" s="48">
        <f>K6+K31+K32</f>
        <v>68313.28</v>
      </c>
      <c r="L33" s="48">
        <f>L6+L31+L32</f>
        <v>102519.03</v>
      </c>
      <c r="M33" s="48">
        <f>M6+M31+M32</f>
        <v>90348.34000000001</v>
      </c>
      <c r="N33" s="49">
        <f>B33+C33+D33+E33+F33+G33+H33+I33+J33+K33+L33+M33</f>
        <v>779043.1900000001</v>
      </c>
    </row>
    <row r="34" spans="1:13" ht="16">
      <c r="A34" s="36" t="s">
        <v>31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4" ht="16">
      <c r="A35" s="37" t="s">
        <v>32</v>
      </c>
      <c r="B35" s="47">
        <v>-11.0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>
        <f>B35+C35+D35+E35+F35+G35+H35+I35+J35+K35+L35+M35</f>
        <v>-11.0</v>
      </c>
    </row>
    <row r="36" spans="1:14" ht="16">
      <c r="A36" s="37" t="s">
        <v>33</v>
      </c>
      <c r="B36" s="46"/>
      <c r="C36" s="46"/>
      <c r="D36" s="46"/>
      <c r="E36" s="46"/>
      <c r="F36" s="46"/>
      <c r="G36" s="46"/>
      <c r="H36" s="47">
        <v>158.97</v>
      </c>
      <c r="I36" s="46"/>
      <c r="J36" s="46"/>
      <c r="K36" s="46"/>
      <c r="L36" s="46"/>
      <c r="M36" s="46"/>
      <c r="N36" s="47">
        <f>B36+C36+D36+E36+F36+G36+H36+I36+J36+K36+L36+M36</f>
        <v>158.97</v>
      </c>
    </row>
    <row r="37" spans="1:14" ht="16">
      <c r="A37" s="38" t="s">
        <v>34</v>
      </c>
      <c r="B37" s="47">
        <v>4613.39</v>
      </c>
      <c r="C37" s="47">
        <v>4567.44</v>
      </c>
      <c r="D37" s="47">
        <v>4657.0</v>
      </c>
      <c r="E37" s="47">
        <v>3454.63</v>
      </c>
      <c r="F37" s="47">
        <v>5591.67</v>
      </c>
      <c r="G37" s="47">
        <v>6052.78</v>
      </c>
      <c r="H37" s="47">
        <v>9858.73</v>
      </c>
      <c r="I37" s="47">
        <v>5610.67</v>
      </c>
      <c r="J37" s="47">
        <v>10720.65</v>
      </c>
      <c r="K37" s="47">
        <v>8172.06</v>
      </c>
      <c r="L37" s="47">
        <v>5958.2</v>
      </c>
      <c r="M37" s="47">
        <v>7896.76</v>
      </c>
      <c r="N37" s="47">
        <f>B37+C37+D37+E37+F37+G37+H37+I37+J37+K37+L37+M37</f>
        <v>77153.98</v>
      </c>
    </row>
    <row r="38" spans="1:14" ht="16">
      <c r="A38" s="38" t="s">
        <v>35</v>
      </c>
      <c r="B38" s="46"/>
      <c r="C38" s="46"/>
      <c r="D38" s="47">
        <v>25.42</v>
      </c>
      <c r="E38" s="47">
        <v>244.54</v>
      </c>
      <c r="F38" s="47">
        <v>24.19</v>
      </c>
      <c r="G38" s="46"/>
      <c r="H38" s="46"/>
      <c r="I38" s="46"/>
      <c r="J38" s="47">
        <v>510.65</v>
      </c>
      <c r="K38" s="47">
        <v>416.24</v>
      </c>
      <c r="L38" s="46"/>
      <c r="M38" s="46"/>
      <c r="N38" s="47">
        <f>B38+C38+D38+E38+F38+G38+H38+I38+J38+K38+L38+M38</f>
        <v>1221.04</v>
      </c>
    </row>
    <row r="39" spans="1:14" ht="16">
      <c r="A39" s="38" t="s">
        <v>36</v>
      </c>
      <c r="B39" s="47">
        <v>4437.49</v>
      </c>
      <c r="C39" s="47">
        <v>10320.12</v>
      </c>
      <c r="D39" s="47">
        <v>2086.28</v>
      </c>
      <c r="E39" s="47">
        <v>4338.95</v>
      </c>
      <c r="F39" s="47">
        <v>13819.76</v>
      </c>
      <c r="G39" s="47">
        <v>7777.5</v>
      </c>
      <c r="H39" s="47">
        <v>6274.11</v>
      </c>
      <c r="I39" s="47">
        <v>10934.63</v>
      </c>
      <c r="J39" s="47">
        <v>8494.48</v>
      </c>
      <c r="K39" s="47">
        <v>14141.85</v>
      </c>
      <c r="L39" s="47">
        <v>4090.49</v>
      </c>
      <c r="M39" s="47">
        <v>9324.38</v>
      </c>
      <c r="N39" s="47">
        <f>B39+C39+D39+E39+F39+G39+H39+I39+J39+K39+L39+M39</f>
        <v>96040.04000000001</v>
      </c>
    </row>
    <row r="40" spans="1:14" ht="16">
      <c r="A40" s="38" t="s">
        <v>37</v>
      </c>
      <c r="B40" s="47">
        <v>14906.16</v>
      </c>
      <c r="C40" s="47">
        <v>7470.26</v>
      </c>
      <c r="D40" s="47">
        <v>7125.65</v>
      </c>
      <c r="E40" s="47">
        <v>18352.31</v>
      </c>
      <c r="F40" s="47">
        <v>23147.12</v>
      </c>
      <c r="G40" s="47">
        <v>8644.15</v>
      </c>
      <c r="H40" s="47">
        <v>14913.51</v>
      </c>
      <c r="I40" s="47">
        <v>14349.23</v>
      </c>
      <c r="J40" s="47">
        <v>18919.21</v>
      </c>
      <c r="K40" s="47">
        <v>20239.85</v>
      </c>
      <c r="L40" s="47">
        <v>16331.08</v>
      </c>
      <c r="M40" s="47">
        <v>13723.52</v>
      </c>
      <c r="N40" s="47">
        <f>B40+C40+D40+E40+F40+G40+H40+I40+J40+K40+L40+M40</f>
        <v>178122.04999999996</v>
      </c>
    </row>
    <row r="41" spans="1:14" ht="16">
      <c r="A41" s="38" t="s">
        <v>38</v>
      </c>
      <c r="B41" s="47">
        <v>3207.86</v>
      </c>
      <c r="C41" s="47">
        <v>3822.51</v>
      </c>
      <c r="D41" s="47">
        <v>2997.74</v>
      </c>
      <c r="E41" s="47">
        <v>7655.48</v>
      </c>
      <c r="F41" s="47">
        <v>9629.84</v>
      </c>
      <c r="G41" s="47">
        <v>4497.04</v>
      </c>
      <c r="H41" s="47">
        <v>1894.86</v>
      </c>
      <c r="I41" s="47">
        <v>5539.55</v>
      </c>
      <c r="J41" s="47">
        <v>8150.12</v>
      </c>
      <c r="K41" s="47">
        <v>3429.49</v>
      </c>
      <c r="L41" s="47">
        <v>4659.9</v>
      </c>
      <c r="M41" s="47">
        <v>5775.32</v>
      </c>
      <c r="N41" s="47">
        <f>B41+C41+D41+E41+F41+G41+H41+I41+J41+K41+L41+M41</f>
        <v>61259.71000000001</v>
      </c>
    </row>
    <row r="42" spans="1:14" ht="16">
      <c r="A42" s="38" t="s">
        <v>39</v>
      </c>
      <c r="B42" s="47">
        <v>134.72</v>
      </c>
      <c r="C42" s="47">
        <v>-123.27</v>
      </c>
      <c r="D42" s="47">
        <v>328.01</v>
      </c>
      <c r="E42" s="47">
        <v>-70.19</v>
      </c>
      <c r="F42" s="47">
        <v>4660.85</v>
      </c>
      <c r="G42" s="47">
        <v>252.24</v>
      </c>
      <c r="H42" s="47">
        <v>464.51</v>
      </c>
      <c r="I42" s="47">
        <v>750.03</v>
      </c>
      <c r="J42" s="47">
        <v>219.76</v>
      </c>
      <c r="K42" s="47">
        <v>322.25</v>
      </c>
      <c r="L42" s="47">
        <v>1090.46</v>
      </c>
      <c r="M42" s="47">
        <v>1053.85</v>
      </c>
      <c r="N42" s="47">
        <f>B42+C42+D42+E42+F42+G42+H42+I42+J42+K42+L42+M42</f>
        <v>9083.220000000001</v>
      </c>
    </row>
    <row r="43" spans="1:14" ht="16">
      <c r="A43" s="38" t="s">
        <v>40</v>
      </c>
      <c r="B43" s="47">
        <v>721.21</v>
      </c>
      <c r="C43" s="47">
        <v>650.11</v>
      </c>
      <c r="D43" s="47">
        <v>563.93</v>
      </c>
      <c r="E43" s="47">
        <v>710.1</v>
      </c>
      <c r="F43" s="47">
        <v>739.08</v>
      </c>
      <c r="G43" s="47">
        <v>1619.87</v>
      </c>
      <c r="H43" s="47">
        <v>1097.88</v>
      </c>
      <c r="I43" s="47">
        <v>1061.59</v>
      </c>
      <c r="J43" s="47">
        <v>1044.09</v>
      </c>
      <c r="K43" s="47">
        <v>2479.61</v>
      </c>
      <c r="L43" s="47">
        <v>753.97</v>
      </c>
      <c r="M43" s="47">
        <v>1442.72</v>
      </c>
      <c r="N43" s="47">
        <f>B43+C43+D43+E43+F43+G43+H43+I43+J43+K43+L43+M43</f>
        <v>12884.159999999998</v>
      </c>
    </row>
    <row r="44" spans="1:14" ht="16">
      <c r="A44" s="38" t="s">
        <v>41</v>
      </c>
      <c r="B44" s="46"/>
      <c r="C44" s="46"/>
      <c r="D44" s="46"/>
      <c r="E44" s="46"/>
      <c r="F44" s="46"/>
      <c r="G44" s="46"/>
      <c r="H44" s="47">
        <v>35.41</v>
      </c>
      <c r="I44" s="46"/>
      <c r="J44" s="46"/>
      <c r="K44" s="47">
        <v>7.8</v>
      </c>
      <c r="L44" s="46"/>
      <c r="M44" s="46"/>
      <c r="N44" s="47">
        <f>B44+C44+D44+E44+F44+G44+H44+I44+J44+K44+L44+M44</f>
        <v>43.209999999999994</v>
      </c>
    </row>
    <row r="45" spans="1:14" ht="16">
      <c r="A45" s="41" t="s">
        <v>42</v>
      </c>
      <c r="B45" s="48">
        <f>B36+B37+B38+B39+B40+B41+B42+B43+B44</f>
        <v>28020.83</v>
      </c>
      <c r="C45" s="48">
        <f>C36+C37+C38+C39+C40+C41+C42+C43+C44</f>
        <v>26707.170000000002</v>
      </c>
      <c r="D45" s="48">
        <f>D36+D37+D38+D39+D40+D41+D42+D43+D44</f>
        <v>17784.03</v>
      </c>
      <c r="E45" s="48">
        <f>E36+E37+E38+E39+E40+E41+E42+E43+E44</f>
        <v>34685.82</v>
      </c>
      <c r="F45" s="48">
        <f>F36+F37+F38+F39+F40+F41+F42+F43+F44</f>
        <v>57612.51</v>
      </c>
      <c r="G45" s="48">
        <f>G36+G37+G38+G39+G40+G41+G42+G43+G44</f>
        <v>28843.58</v>
      </c>
      <c r="H45" s="48">
        <f>H36+H37+H38+H39+H40+H41+H42+H43+H44</f>
        <v>34697.98</v>
      </c>
      <c r="I45" s="48">
        <f>I36+I37+I38+I39+I40+I41+I42+I43+I44</f>
        <v>38245.7</v>
      </c>
      <c r="J45" s="48">
        <f>J36+J37+J38+J39+J40+J41+J42+J43+J44</f>
        <v>48058.96</v>
      </c>
      <c r="K45" s="48">
        <f>K36+K37+K38+K39+K40+K41+K42+K43+K44</f>
        <v>49209.15</v>
      </c>
      <c r="L45" s="48">
        <f>L36+L37+L38+L39+L40+L41+L42+L43+L44</f>
        <v>32884.1</v>
      </c>
      <c r="M45" s="48">
        <f>M36+M37+M38+M39+M40+M41+M42+M43+M44</f>
        <v>39216.549999999996</v>
      </c>
      <c r="N45" s="49">
        <f>B45+C45+D45+E45+F45+G45+H45+I45+J45+K45+L45+M45</f>
        <v>435966.38</v>
      </c>
    </row>
    <row r="46" spans="1:14" ht="16">
      <c r="A46" s="37" t="s">
        <v>31</v>
      </c>
      <c r="B46" s="46"/>
      <c r="C46" s="46"/>
      <c r="D46" s="46"/>
      <c r="E46" s="46"/>
      <c r="F46" s="47">
        <v>2.71</v>
      </c>
      <c r="G46" s="46"/>
      <c r="H46" s="46"/>
      <c r="I46" s="46"/>
      <c r="J46" s="46"/>
      <c r="K46" s="46"/>
      <c r="L46" s="46"/>
      <c r="M46" s="46"/>
      <c r="N46" s="47">
        <f>B46+C46+D46+E46+F46+G46+H46+I46+J46+K46+L46+M46</f>
        <v>2.71</v>
      </c>
    </row>
    <row r="47" spans="1:14" ht="16">
      <c r="A47" s="42" t="s">
        <v>43</v>
      </c>
      <c r="B47" s="48">
        <f>B34+B35+B45+B46</f>
        <v>28009.83</v>
      </c>
      <c r="C47" s="48">
        <f>C34+C35+C45+C46</f>
        <v>26707.170000000002</v>
      </c>
      <c r="D47" s="48">
        <f>D34+D35+D45+D46</f>
        <v>17784.03</v>
      </c>
      <c r="E47" s="48">
        <f>E34+E35+E45+E46</f>
        <v>34685.82</v>
      </c>
      <c r="F47" s="48">
        <f>F34+F35+F45+F46</f>
        <v>57615.22</v>
      </c>
      <c r="G47" s="48">
        <f>G34+G35+G45+G46</f>
        <v>28843.58</v>
      </c>
      <c r="H47" s="48">
        <f>H34+H35+H45+H46</f>
        <v>34697.98</v>
      </c>
      <c r="I47" s="48">
        <f>I34+I35+I45+I46</f>
        <v>38245.7</v>
      </c>
      <c r="J47" s="48">
        <f>J34+J35+J45+J46</f>
        <v>48058.96</v>
      </c>
      <c r="K47" s="48">
        <f>K34+K35+K45+K46</f>
        <v>49209.15</v>
      </c>
      <c r="L47" s="48">
        <f>L34+L35+L45+L46</f>
        <v>32884.1</v>
      </c>
      <c r="M47" s="48">
        <f>M34+M35+M45+M46</f>
        <v>39216.549999999996</v>
      </c>
      <c r="N47" s="49">
        <f>B47+C47+D47+E47+F47+G47+H47+I47+J47+K47+L47+M47</f>
        <v>435958.09</v>
      </c>
    </row>
    <row r="48" spans="1:14" ht="16">
      <c r="A48" s="42" t="s">
        <v>44</v>
      </c>
      <c r="B48" s="48">
        <f>B33-B47</f>
        <v>10647.669999999998</v>
      </c>
      <c r="C48" s="48">
        <f>C33-C47</f>
        <v>-1122.5600000000086</v>
      </c>
      <c r="D48" s="48">
        <f>D33-D47</f>
        <v>23597.730000000003</v>
      </c>
      <c r="E48" s="48">
        <f>E33-E47</f>
        <v>24145.079999999994</v>
      </c>
      <c r="F48" s="48">
        <f>F33-F47</f>
        <v>17500.440000000017</v>
      </c>
      <c r="G48" s="48">
        <f>G33-G47</f>
        <v>33368.76999999999</v>
      </c>
      <c r="H48" s="48">
        <f>H33-H47</f>
        <v>23442.729999999996</v>
      </c>
      <c r="I48" s="48">
        <f>I33-I47</f>
        <v>18733.33</v>
      </c>
      <c r="J48" s="48">
        <f>J33-J47</f>
        <v>52901.05999999999</v>
      </c>
      <c r="K48" s="48">
        <f>K33-K47</f>
        <v>19104.129999999997</v>
      </c>
      <c r="L48" s="48">
        <f>L33-L47</f>
        <v>69634.93</v>
      </c>
      <c r="M48" s="48">
        <f>M33-M47</f>
        <v>51131.790000000015</v>
      </c>
      <c r="N48" s="49">
        <f>B48+C48+D48+E48+F48+G48+H48+I48+J48+K48+L48+M48</f>
        <v>343085.10000000003</v>
      </c>
    </row>
    <row r="49" spans="1:13" ht="16">
      <c r="A49" s="36" t="s">
        <v>45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ht="16">
      <c r="A50" s="37" t="s">
        <v>46</v>
      </c>
      <c r="B50" s="47">
        <v>25.19</v>
      </c>
      <c r="C50" s="47">
        <v>60.0</v>
      </c>
      <c r="D50" s="47">
        <v>60.0</v>
      </c>
      <c r="E50" s="47">
        <v>60.0</v>
      </c>
      <c r="F50" s="47">
        <v>66.78</v>
      </c>
      <c r="G50" s="47">
        <v>77.16</v>
      </c>
      <c r="H50" s="46"/>
      <c r="I50" s="47">
        <v>50.0</v>
      </c>
      <c r="J50" s="47">
        <v>50.0</v>
      </c>
      <c r="K50" s="47">
        <v>98.61</v>
      </c>
      <c r="L50" s="47">
        <v>63.23</v>
      </c>
      <c r="M50" s="47">
        <v>50.0</v>
      </c>
      <c r="N50" s="47">
        <f>B50+C50+D50+E50+F50+G50+H50+I50+J50+K50+L50+M50</f>
        <v>660.97</v>
      </c>
    </row>
    <row r="51" spans="1:14" ht="16">
      <c r="A51" s="38" t="s">
        <v>47</v>
      </c>
      <c r="B51" s="47">
        <v>3.78</v>
      </c>
      <c r="C51" s="47">
        <v>10.95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>
        <f>B51+C51+D51+E51+F51+G51+H51+I51+J51+K51+L51+M51</f>
        <v>14.729999999999999</v>
      </c>
    </row>
    <row r="52" spans="1:14" ht="16">
      <c r="A52" s="38" t="s">
        <v>48</v>
      </c>
      <c r="B52" s="47">
        <v>272.73</v>
      </c>
      <c r="C52" s="47">
        <v>119.18</v>
      </c>
      <c r="D52" s="47">
        <v>564.53</v>
      </c>
      <c r="E52" s="47">
        <v>519.91</v>
      </c>
      <c r="F52" s="47">
        <v>664.7</v>
      </c>
      <c r="G52" s="47">
        <v>894.52</v>
      </c>
      <c r="H52" s="47">
        <v>1436.16</v>
      </c>
      <c r="I52" s="47">
        <v>1237.56</v>
      </c>
      <c r="J52" s="47">
        <v>782.23</v>
      </c>
      <c r="K52" s="47">
        <v>1250.89</v>
      </c>
      <c r="L52" s="47">
        <v>1359.49</v>
      </c>
      <c r="M52" s="47">
        <v>1383.98</v>
      </c>
      <c r="N52" s="47">
        <f>B52+C52+D52+E52+F52+G52+H52+I52+J52+K52+L52+M52</f>
        <v>10485.880000000001</v>
      </c>
    </row>
    <row r="53" spans="1:14" ht="16">
      <c r="A53" s="38" t="s">
        <v>49</v>
      </c>
      <c r="B53" s="47">
        <v>837.53</v>
      </c>
      <c r="C53" s="47">
        <v>1155.62</v>
      </c>
      <c r="D53" s="47">
        <v>456.9</v>
      </c>
      <c r="E53" s="47">
        <v>47.2</v>
      </c>
      <c r="F53" s="47">
        <v>2918.82</v>
      </c>
      <c r="G53" s="47">
        <v>369.59</v>
      </c>
      <c r="H53" s="47">
        <v>1819.01</v>
      </c>
      <c r="I53" s="47">
        <v>5181.28</v>
      </c>
      <c r="J53" s="47">
        <v>4918.56</v>
      </c>
      <c r="K53" s="47">
        <v>1865.12</v>
      </c>
      <c r="L53" s="47">
        <v>4597.27</v>
      </c>
      <c r="M53" s="47">
        <v>1663.28</v>
      </c>
      <c r="N53" s="47">
        <f>B53+C53+D53+E53+F53+G53+H53+I53+J53+K53+L53+M53</f>
        <v>25830.18</v>
      </c>
    </row>
    <row r="54" spans="1:14" ht="16">
      <c r="A54" s="38" t="s">
        <v>50</v>
      </c>
      <c r="B54" s="47">
        <v>857.28</v>
      </c>
      <c r="C54" s="46"/>
      <c r="D54" s="47">
        <v>80.17</v>
      </c>
      <c r="E54" s="47">
        <v>1660.61</v>
      </c>
      <c r="F54" s="47">
        <v>270.5</v>
      </c>
      <c r="G54" s="47">
        <v>70.83</v>
      </c>
      <c r="H54" s="47">
        <v>325.57</v>
      </c>
      <c r="I54" s="47">
        <v>672.83</v>
      </c>
      <c r="J54" s="47">
        <v>938.95</v>
      </c>
      <c r="K54" s="47">
        <v>125.84</v>
      </c>
      <c r="L54" s="47">
        <v>498.12</v>
      </c>
      <c r="M54" s="47">
        <v>357.29</v>
      </c>
      <c r="N54" s="47">
        <f>B54+C54+D54+E54+F54+G54+H54+I54+J54+K54+L54+M54</f>
        <v>5857.99</v>
      </c>
    </row>
    <row r="55" spans="1:14" ht="16">
      <c r="A55" s="38" t="s">
        <v>51</v>
      </c>
      <c r="B55" s="47">
        <v>2423.51</v>
      </c>
      <c r="C55" s="47">
        <v>960.78</v>
      </c>
      <c r="D55" s="47">
        <v>5265.64</v>
      </c>
      <c r="E55" s="47">
        <v>912.2</v>
      </c>
      <c r="F55" s="47">
        <v>2276.13</v>
      </c>
      <c r="G55" s="47">
        <v>1410.77</v>
      </c>
      <c r="H55" s="47">
        <v>1238.87</v>
      </c>
      <c r="I55" s="47">
        <v>4169.64</v>
      </c>
      <c r="J55" s="47">
        <v>1936.73</v>
      </c>
      <c r="K55" s="47">
        <v>1918.9</v>
      </c>
      <c r="L55" s="47">
        <v>3211.97</v>
      </c>
      <c r="M55" s="47">
        <v>714.59</v>
      </c>
      <c r="N55" s="47">
        <f>B55+C55+D55+E55+F55+G55+H55+I55+J55+K55+L55+M55</f>
        <v>26439.730000000003</v>
      </c>
    </row>
    <row r="56" spans="1:14" ht="16">
      <c r="A56" s="38" t="s">
        <v>52</v>
      </c>
      <c r="B56" s="47">
        <v>1031.78</v>
      </c>
      <c r="C56" s="47">
        <v>3602.2</v>
      </c>
      <c r="D56" s="47">
        <v>262.5</v>
      </c>
      <c r="E56" s="47">
        <v>768.09</v>
      </c>
      <c r="F56" s="47">
        <v>753.64</v>
      </c>
      <c r="G56" s="47">
        <v>1344.38</v>
      </c>
      <c r="H56" s="47">
        <v>541.65</v>
      </c>
      <c r="I56" s="47">
        <v>411.56</v>
      </c>
      <c r="J56" s="47">
        <v>527.08</v>
      </c>
      <c r="K56" s="47">
        <v>2278.09</v>
      </c>
      <c r="L56" s="47">
        <v>2107.09</v>
      </c>
      <c r="M56" s="47">
        <v>1446.88</v>
      </c>
      <c r="N56" s="47">
        <f>B56+C56+D56+E56+F56+G56+H56+I56+J56+K56+L56+M56</f>
        <v>15074.939999999999</v>
      </c>
    </row>
    <row r="57" spans="1:14" ht="16">
      <c r="A57" s="39" t="s">
        <v>53</v>
      </c>
      <c r="B57" s="46"/>
      <c r="C57" s="46"/>
      <c r="D57" s="46"/>
      <c r="E57" s="46"/>
      <c r="F57" s="46"/>
      <c r="G57" s="47">
        <v>247.5</v>
      </c>
      <c r="H57" s="46"/>
      <c r="I57" s="46"/>
      <c r="J57" s="46"/>
      <c r="K57" s="46"/>
      <c r="L57" s="47">
        <v>1348.06</v>
      </c>
      <c r="M57" s="46"/>
      <c r="N57" s="47">
        <f>B57+C57+D57+E57+F57+G57+H57+I57+J57+K57+L57+M57</f>
        <v>1595.56</v>
      </c>
    </row>
    <row r="58" spans="1:14" ht="16">
      <c r="A58" s="40" t="s">
        <v>54</v>
      </c>
      <c r="B58" s="48">
        <f>B56+B57</f>
        <v>1031.78</v>
      </c>
      <c r="C58" s="48">
        <f>C56+C57</f>
        <v>3602.2</v>
      </c>
      <c r="D58" s="48">
        <f>D56+D57</f>
        <v>262.5</v>
      </c>
      <c r="E58" s="48">
        <f>E56+E57</f>
        <v>768.09</v>
      </c>
      <c r="F58" s="48">
        <f>F56+F57</f>
        <v>753.64</v>
      </c>
      <c r="G58" s="48">
        <f>G56+G57</f>
        <v>1591.88</v>
      </c>
      <c r="H58" s="48">
        <f>H56+H57</f>
        <v>541.65</v>
      </c>
      <c r="I58" s="48">
        <f>I56+I57</f>
        <v>411.56</v>
      </c>
      <c r="J58" s="48">
        <f>J56+J57</f>
        <v>527.08</v>
      </c>
      <c r="K58" s="48">
        <f>K56+K57</f>
        <v>2278.09</v>
      </c>
      <c r="L58" s="48">
        <f>L56+L57</f>
        <v>3455.15</v>
      </c>
      <c r="M58" s="48">
        <f>M56+M57</f>
        <v>1446.88</v>
      </c>
      <c r="N58" s="49">
        <f>B58+C58+D58+E58+F58+G58+H58+I58+J58+K58+L58+M58</f>
        <v>16670.5</v>
      </c>
    </row>
    <row r="59" spans="1:14" ht="16">
      <c r="A59" s="38" t="s">
        <v>55</v>
      </c>
      <c r="B59" s="47">
        <v>799.0</v>
      </c>
      <c r="C59" s="47">
        <v>799.0</v>
      </c>
      <c r="D59" s="47">
        <v>299.0</v>
      </c>
      <c r="E59" s="47">
        <v>799.0</v>
      </c>
      <c r="F59" s="47">
        <v>799.0</v>
      </c>
      <c r="G59" s="47">
        <v>934.45</v>
      </c>
      <c r="H59" s="47">
        <v>799.0</v>
      </c>
      <c r="I59" s="47">
        <v>1000.0</v>
      </c>
      <c r="J59" s="47">
        <v>750.0</v>
      </c>
      <c r="K59" s="46"/>
      <c r="L59" s="47">
        <v>779.0</v>
      </c>
      <c r="M59" s="47">
        <v>750.0</v>
      </c>
      <c r="N59" s="47">
        <f>B59+C59+D59+E59+F59+G59+H59+I59+J59+K59+L59+M59</f>
        <v>8507.45</v>
      </c>
    </row>
    <row r="60" spans="1:14" ht="16">
      <c r="A60" s="41" t="s">
        <v>56</v>
      </c>
      <c r="B60" s="48">
        <f>B50+B51+B52+B53+B54+B55+B58+B59</f>
        <v>6250.8</v>
      </c>
      <c r="C60" s="48">
        <f>C50+C51+C52+C53+C54+C55+C58+C59</f>
        <v>6707.73</v>
      </c>
      <c r="D60" s="48">
        <f>D50+D51+D52+D53+D54+D55+D58+D59</f>
        <v>6988.74</v>
      </c>
      <c r="E60" s="48">
        <f>E50+E51+E52+E53+E54+E55+E58+E59</f>
        <v>4767.01</v>
      </c>
      <c r="F60" s="48">
        <f>F50+F51+F52+F53+F54+F55+F58+F59</f>
        <v>7749.570000000001</v>
      </c>
      <c r="G60" s="48">
        <f>G50+G51+G52+G53+G54+G55+G58+G59</f>
        <v>5349.2</v>
      </c>
      <c r="H60" s="48">
        <f>H50+H51+H52+H53+H54+H55+H58+H59</f>
        <v>6160.26</v>
      </c>
      <c r="I60" s="48">
        <f>I50+I51+I52+I53+I54+I55+I58+I59</f>
        <v>12722.87</v>
      </c>
      <c r="J60" s="48">
        <f>J50+J51+J52+J53+J54+J55+J58+J59</f>
        <v>9903.550000000001</v>
      </c>
      <c r="K60" s="48">
        <f>K50+K51+K52+K53+K54+K55+K58+K59</f>
        <v>7537.450000000001</v>
      </c>
      <c r="L60" s="48">
        <f>L50+L51+L52+L53+L54+L55+L58+L59</f>
        <v>13964.23</v>
      </c>
      <c r="M60" s="48">
        <f>M50+M51+M52+M53+M54+M55+M58+M59</f>
        <v>6366.02</v>
      </c>
      <c r="N60" s="49">
        <f>B60+C60+D60+E60+F60+G60+H60+I60+J60+K60+L60+M60</f>
        <v>94467.43</v>
      </c>
    </row>
    <row r="61" spans="1:14" ht="16">
      <c r="A61" s="37" t="s">
        <v>57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</row>
    <row r="62" spans="1:14" ht="16">
      <c r="A62" s="38" t="s">
        <v>58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</row>
    <row r="63" spans="1:14" ht="16">
      <c r="A63" s="39" t="s">
        <v>59</v>
      </c>
      <c r="B63" s="47">
        <v>1147.15</v>
      </c>
      <c r="C63" s="47">
        <v>1165.0</v>
      </c>
      <c r="D63" s="47">
        <v>1165.0</v>
      </c>
      <c r="E63" s="47">
        <v>1165.0</v>
      </c>
      <c r="F63" s="47">
        <v>1165.0</v>
      </c>
      <c r="G63" s="47">
        <v>1165.0</v>
      </c>
      <c r="H63" s="47">
        <v>1165.0</v>
      </c>
      <c r="I63" s="47">
        <v>1165.0</v>
      </c>
      <c r="J63" s="47">
        <v>1165.0</v>
      </c>
      <c r="K63" s="47">
        <v>1944.46</v>
      </c>
      <c r="L63" s="47">
        <v>1223.25</v>
      </c>
      <c r="M63" s="47">
        <v>2446.48</v>
      </c>
      <c r="N63" s="47">
        <f>B63+C63+D63+E63+F63+G63+H63+I63+J63+K63+L63+M63</f>
        <v>16081.34</v>
      </c>
    </row>
    <row r="64" spans="1:14" ht="16">
      <c r="A64" s="40" t="s">
        <v>60</v>
      </c>
      <c r="B64" s="48">
        <f>B62+B63</f>
        <v>1147.15</v>
      </c>
      <c r="C64" s="48">
        <f>C62+C63</f>
        <v>1165.0</v>
      </c>
      <c r="D64" s="48">
        <f>D62+D63</f>
        <v>1165.0</v>
      </c>
      <c r="E64" s="48">
        <f>E62+E63</f>
        <v>1165.0</v>
      </c>
      <c r="F64" s="48">
        <f>F62+F63</f>
        <v>1165.0</v>
      </c>
      <c r="G64" s="48">
        <f>G62+G63</f>
        <v>1165.0</v>
      </c>
      <c r="H64" s="48">
        <f>H62+H63</f>
        <v>1165.0</v>
      </c>
      <c r="I64" s="48">
        <f>I62+I63</f>
        <v>1165.0</v>
      </c>
      <c r="J64" s="48">
        <f>J62+J63</f>
        <v>1165.0</v>
      </c>
      <c r="K64" s="48">
        <f>K62+K63</f>
        <v>1944.46</v>
      </c>
      <c r="L64" s="48">
        <f>L62+L63</f>
        <v>1223.25</v>
      </c>
      <c r="M64" s="48">
        <f>M62+M63</f>
        <v>2446.48</v>
      </c>
      <c r="N64" s="49">
        <f>B64+C64+D64+E64+F64+G64+H64+I64+J64+K64+L64+M64</f>
        <v>16081.34</v>
      </c>
    </row>
    <row r="65" spans="1:14" ht="16">
      <c r="A65" s="38" t="s">
        <v>61</v>
      </c>
      <c r="B65" s="47">
        <v>2035.94</v>
      </c>
      <c r="C65" s="46"/>
      <c r="D65" s="46"/>
      <c r="E65" s="46"/>
      <c r="F65" s="47">
        <v>114.9</v>
      </c>
      <c r="G65" s="47">
        <v>468.18</v>
      </c>
      <c r="H65" s="47">
        <v>317.2</v>
      </c>
      <c r="I65" s="47">
        <v>981.75</v>
      </c>
      <c r="J65" s="47">
        <v>531.57</v>
      </c>
      <c r="K65" s="47">
        <v>772.68</v>
      </c>
      <c r="L65" s="47">
        <v>1392.91</v>
      </c>
      <c r="M65" s="46"/>
      <c r="N65" s="47">
        <f>B65+C65+D65+E65+F65+G65+H65+I65+J65+K65+L65+M65</f>
        <v>6615.13</v>
      </c>
    </row>
    <row r="66" spans="1:14" ht="16">
      <c r="A66" s="39" t="s">
        <v>62</v>
      </c>
      <c r="B66" s="47">
        <v>472.21</v>
      </c>
      <c r="C66" s="47">
        <v>258.03</v>
      </c>
      <c r="D66" s="47">
        <v>706.32</v>
      </c>
      <c r="E66" s="47">
        <v>300.3</v>
      </c>
      <c r="F66" s="47">
        <v>315.72</v>
      </c>
      <c r="G66" s="47">
        <v>291.66</v>
      </c>
      <c r="H66" s="47">
        <v>394.13</v>
      </c>
      <c r="I66" s="47">
        <v>474.62</v>
      </c>
      <c r="J66" s="47">
        <v>637.35</v>
      </c>
      <c r="K66" s="47">
        <v>997.37</v>
      </c>
      <c r="L66" s="47">
        <v>1129.45</v>
      </c>
      <c r="M66" s="47">
        <v>653.16</v>
      </c>
      <c r="N66" s="47">
        <f>B66+C66+D66+E66+F66+G66+H66+I66+J66+K66+L66+M66</f>
        <v>6630.32</v>
      </c>
    </row>
    <row r="67" spans="1:14" ht="16">
      <c r="A67" s="40" t="s">
        <v>63</v>
      </c>
      <c r="B67" s="48">
        <f>B65+B66</f>
        <v>2508.15</v>
      </c>
      <c r="C67" s="48">
        <f>C65+C66</f>
        <v>258.03</v>
      </c>
      <c r="D67" s="48">
        <f>D65+D66</f>
        <v>706.32</v>
      </c>
      <c r="E67" s="48">
        <f>E65+E66</f>
        <v>300.3</v>
      </c>
      <c r="F67" s="48">
        <f>F65+F66</f>
        <v>430.62</v>
      </c>
      <c r="G67" s="48">
        <f>G65+G66</f>
        <v>759.84</v>
      </c>
      <c r="H67" s="48">
        <f>H65+H66</f>
        <v>711.3299999999999</v>
      </c>
      <c r="I67" s="48">
        <f>I65+I66</f>
        <v>1456.37</v>
      </c>
      <c r="J67" s="48">
        <f>J65+J66</f>
        <v>1168.92</v>
      </c>
      <c r="K67" s="48">
        <f>K65+K66</f>
        <v>1770.05</v>
      </c>
      <c r="L67" s="48">
        <f>L65+L66</f>
        <v>2522.36</v>
      </c>
      <c r="M67" s="48">
        <f>M65+M66</f>
        <v>653.16</v>
      </c>
      <c r="N67" s="49">
        <f>B67+C67+D67+E67+F67+G67+H67+I67+J67+K67+L67+M67</f>
        <v>13245.45</v>
      </c>
    </row>
    <row r="68" spans="1:14" ht="16">
      <c r="A68" s="38" t="s">
        <v>64</v>
      </c>
      <c r="B68" s="47">
        <v>618.38</v>
      </c>
      <c r="C68" s="47">
        <v>304.14</v>
      </c>
      <c r="D68" s="47">
        <v>386.46</v>
      </c>
      <c r="E68" s="47">
        <v>257.41</v>
      </c>
      <c r="F68" s="47">
        <v>429.77</v>
      </c>
      <c r="G68" s="47">
        <v>399.35</v>
      </c>
      <c r="H68" s="47">
        <v>419.48</v>
      </c>
      <c r="I68" s="47">
        <v>494.78</v>
      </c>
      <c r="J68" s="47">
        <v>515.46</v>
      </c>
      <c r="K68" s="47">
        <v>542.02</v>
      </c>
      <c r="L68" s="47">
        <v>411.48</v>
      </c>
      <c r="M68" s="47">
        <v>316.04</v>
      </c>
      <c r="N68" s="47">
        <f>B68+C68+D68+E68+F68+G68+H68+I68+J68+K68+L68+M68</f>
        <v>5094.7699999999995</v>
      </c>
    </row>
    <row r="69" spans="1:14" ht="16">
      <c r="A69" s="38" t="s">
        <v>65</v>
      </c>
      <c r="B69" s="46"/>
      <c r="C69" s="47">
        <v>50.0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>
        <f>B69+C69+D69+E69+F69+G69+H69+I69+J69+K69+L69+M69</f>
        <v>50.0</v>
      </c>
    </row>
    <row r="70" spans="1:14" ht="16">
      <c r="A70" s="39" t="s">
        <v>66</v>
      </c>
      <c r="B70" s="47">
        <v>2.5</v>
      </c>
      <c r="C70" s="46"/>
      <c r="D70" s="47">
        <v>34.35</v>
      </c>
      <c r="E70" s="47">
        <v>12.45</v>
      </c>
      <c r="F70" s="47">
        <v>25.85</v>
      </c>
      <c r="G70" s="47">
        <v>33.75</v>
      </c>
      <c r="H70" s="47">
        <v>12.45</v>
      </c>
      <c r="I70" s="47">
        <v>19.55</v>
      </c>
      <c r="J70" s="47">
        <v>30.65</v>
      </c>
      <c r="K70" s="47">
        <v>12.75</v>
      </c>
      <c r="L70" s="47">
        <v>21.95</v>
      </c>
      <c r="M70" s="47">
        <v>9.95</v>
      </c>
      <c r="N70" s="47">
        <f>B70+C70+D70+E70+F70+G70+H70+I70+J70+K70+L70+M70</f>
        <v>216.2</v>
      </c>
    </row>
    <row r="71" spans="1:14" ht="16">
      <c r="A71" s="39" t="s">
        <v>67</v>
      </c>
      <c r="B71" s="47">
        <v>-200.0</v>
      </c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>
        <f>B71+C71+D71+E71+F71+G71+H71+I71+J71+K71+L71+M71</f>
        <v>-200.0</v>
      </c>
    </row>
    <row r="72" spans="1:14" ht="16">
      <c r="A72" s="39" t="s">
        <v>68</v>
      </c>
      <c r="B72" s="46"/>
      <c r="C72" s="46"/>
      <c r="D72" s="47">
        <v>104.48</v>
      </c>
      <c r="E72" s="47">
        <v>55.0</v>
      </c>
      <c r="F72" s="46"/>
      <c r="G72" s="46"/>
      <c r="H72" s="46"/>
      <c r="I72" s="46"/>
      <c r="J72" s="46"/>
      <c r="K72" s="46"/>
      <c r="L72" s="46"/>
      <c r="M72" s="46"/>
      <c r="N72" s="47">
        <f>B72+C72+D72+E72+F72+G72+H72+I72+J72+K72+L72+M72</f>
        <v>159.48000000000002</v>
      </c>
    </row>
    <row r="73" spans="1:14" ht="16">
      <c r="A73" s="39" t="s">
        <v>69</v>
      </c>
      <c r="B73" s="47">
        <v>234.58</v>
      </c>
      <c r="C73" s="47">
        <v>323.92</v>
      </c>
      <c r="D73" s="47">
        <v>323.92</v>
      </c>
      <c r="E73" s="47">
        <v>438.54</v>
      </c>
      <c r="F73" s="47">
        <v>516.82</v>
      </c>
      <c r="G73" s="47">
        <v>453.09</v>
      </c>
      <c r="H73" s="47">
        <v>197.32</v>
      </c>
      <c r="I73" s="47">
        <v>427.94</v>
      </c>
      <c r="J73" s="47">
        <v>883.04</v>
      </c>
      <c r="K73" s="47">
        <v>1005.54</v>
      </c>
      <c r="L73" s="47">
        <v>685.72</v>
      </c>
      <c r="M73" s="47">
        <v>536.12</v>
      </c>
      <c r="N73" s="47">
        <f>B73+C73+D73+E73+F73+G73+H73+I73+J73+K73+L73+M73</f>
        <v>6026.550000000001</v>
      </c>
    </row>
    <row r="74" spans="1:14" ht="16">
      <c r="A74" s="40" t="s">
        <v>70</v>
      </c>
      <c r="B74" s="48">
        <f>B69+B70+B71+B72+B73</f>
        <v>37.08000000000001</v>
      </c>
      <c r="C74" s="48">
        <f>C69+C70+C71+C72+C73</f>
        <v>373.92</v>
      </c>
      <c r="D74" s="48">
        <f>D69+D70+D71+D72+D73</f>
        <v>462.75</v>
      </c>
      <c r="E74" s="48">
        <f>E69+E70+E71+E72+E73</f>
        <v>505.99</v>
      </c>
      <c r="F74" s="48">
        <f>F69+F70+F71+F72+F73</f>
        <v>542.6700000000001</v>
      </c>
      <c r="G74" s="48">
        <f>G69+G70+G71+G72+G73</f>
        <v>486.84</v>
      </c>
      <c r="H74" s="48">
        <f>H69+H70+H71+H72+H73</f>
        <v>209.76999999999998</v>
      </c>
      <c r="I74" s="48">
        <f>I69+I70+I71+I72+I73</f>
        <v>447.49</v>
      </c>
      <c r="J74" s="48">
        <f>J69+J70+J71+J72+J73</f>
        <v>913.6899999999999</v>
      </c>
      <c r="K74" s="48">
        <f>K69+K70+K71+K72+K73</f>
        <v>1018.29</v>
      </c>
      <c r="L74" s="48">
        <f>L69+L70+L71+L72+L73</f>
        <v>707.6700000000001</v>
      </c>
      <c r="M74" s="48">
        <f>M69+M70+M71+M72+M73</f>
        <v>546.07</v>
      </c>
      <c r="N74" s="49">
        <f>B74+C74+D74+E74+F74+G74+H74+I74+J74+K74+L74+M74</f>
        <v>6252.23</v>
      </c>
    </row>
    <row r="75" spans="1:14" ht="16">
      <c r="A75" s="38" t="s">
        <v>71</v>
      </c>
      <c r="B75" s="47">
        <v>109.99</v>
      </c>
      <c r="C75" s="47">
        <v>120.64</v>
      </c>
      <c r="D75" s="47">
        <v>315.99</v>
      </c>
      <c r="E75" s="47">
        <v>125.63</v>
      </c>
      <c r="F75" s="47">
        <v>250.0</v>
      </c>
      <c r="G75" s="47">
        <v>412.49</v>
      </c>
      <c r="H75" s="47">
        <v>85.9</v>
      </c>
      <c r="I75" s="47">
        <v>328.05</v>
      </c>
      <c r="J75" s="47">
        <v>283.08</v>
      </c>
      <c r="K75" s="47">
        <v>392.01</v>
      </c>
      <c r="L75" s="47">
        <v>187.91</v>
      </c>
      <c r="M75" s="47">
        <v>193.91</v>
      </c>
      <c r="N75" s="47">
        <f>B75+C75+D75+E75+F75+G75+H75+I75+J75+K75+L75+M75</f>
        <v>2805.5999999999995</v>
      </c>
    </row>
    <row r="76" spans="1:14" ht="16">
      <c r="A76" s="38" t="s">
        <v>72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</row>
    <row r="77" spans="1:14" ht="16">
      <c r="A77" s="39" t="s">
        <v>73</v>
      </c>
      <c r="B77" s="47">
        <v>336.2</v>
      </c>
      <c r="C77" s="47">
        <v>336.2</v>
      </c>
      <c r="D77" s="47">
        <v>336.2</v>
      </c>
      <c r="E77" s="47">
        <v>663.2</v>
      </c>
      <c r="F77" s="47">
        <v>687.4</v>
      </c>
      <c r="G77" s="46"/>
      <c r="H77" s="46"/>
      <c r="I77" s="46"/>
      <c r="J77" s="47">
        <v>680.3</v>
      </c>
      <c r="K77" s="47">
        <v>342.37</v>
      </c>
      <c r="L77" s="47">
        <v>342.37</v>
      </c>
      <c r="M77" s="47">
        <v>636.46</v>
      </c>
      <c r="N77" s="47">
        <f>B77+C77+D77+E77+F77+G77+H77+I77+J77+K77+L77+M77</f>
        <v>4360.7</v>
      </c>
    </row>
    <row r="78" spans="1:14" ht="16">
      <c r="A78" s="40" t="s">
        <v>74</v>
      </c>
      <c r="B78" s="48">
        <f>B76+B77</f>
        <v>336.2</v>
      </c>
      <c r="C78" s="48">
        <f>C76+C77</f>
        <v>336.2</v>
      </c>
      <c r="D78" s="48">
        <f>D76+D77</f>
        <v>336.2</v>
      </c>
      <c r="E78" s="48">
        <f>E76+E77</f>
        <v>663.2</v>
      </c>
      <c r="F78" s="48">
        <f>F76+F77</f>
        <v>687.4</v>
      </c>
      <c r="G78" s="49">
        <f>G76+G77</f>
        <v>0.0</v>
      </c>
      <c r="H78" s="49">
        <f>H76+H77</f>
        <v>0.0</v>
      </c>
      <c r="I78" s="49">
        <f>I76+I77</f>
        <v>0.0</v>
      </c>
      <c r="J78" s="48">
        <f>J76+J77</f>
        <v>680.3</v>
      </c>
      <c r="K78" s="48">
        <f>K76+K77</f>
        <v>342.37</v>
      </c>
      <c r="L78" s="48">
        <f>L76+L77</f>
        <v>342.37</v>
      </c>
      <c r="M78" s="48">
        <f>M76+M77</f>
        <v>636.46</v>
      </c>
      <c r="N78" s="49">
        <f>B78+C78+D78+E78+F78+G78+H78+I78+J78+K78+L78+M78</f>
        <v>4360.7</v>
      </c>
    </row>
    <row r="79" spans="1:14" ht="16">
      <c r="A79" s="38" t="s">
        <v>75</v>
      </c>
      <c r="B79" s="46"/>
      <c r="C79" s="46"/>
      <c r="D79" s="46"/>
      <c r="E79" s="46"/>
      <c r="F79" s="46"/>
      <c r="G79" s="46"/>
      <c r="H79" s="46"/>
      <c r="I79" s="47">
        <v>450.0</v>
      </c>
      <c r="J79" s="47">
        <v>927.0</v>
      </c>
      <c r="K79" s="46"/>
      <c r="L79" s="46"/>
      <c r="M79" s="46"/>
      <c r="N79" s="47">
        <f>B79+C79+D79+E79+F79+G79+H79+I79+J79+K79+L79+M79</f>
        <v>1377.0</v>
      </c>
    </row>
    <row r="80" spans="1:14" ht="16">
      <c r="A80" s="38" t="s">
        <v>76</v>
      </c>
      <c r="B80" s="46"/>
      <c r="C80" s="46"/>
      <c r="D80" s="46"/>
      <c r="E80" s="46"/>
      <c r="F80" s="47">
        <v>10.99</v>
      </c>
      <c r="G80" s="46"/>
      <c r="H80" s="47">
        <v>1369.8</v>
      </c>
      <c r="I80" s="47">
        <v>10999.0</v>
      </c>
      <c r="J80" s="46"/>
      <c r="K80" s="46"/>
      <c r="L80" s="46"/>
      <c r="M80" s="46"/>
      <c r="N80" s="47">
        <f>B80+C80+D80+E80+F80+G80+H80+I80+J80+K80+L80+M80</f>
        <v>12379.79</v>
      </c>
    </row>
    <row r="81" spans="1:14" ht="16">
      <c r="A81" s="38" t="s">
        <v>77</v>
      </c>
      <c r="B81" s="47">
        <v>2320.0</v>
      </c>
      <c r="C81" s="47">
        <v>4740.0</v>
      </c>
      <c r="D81" s="47">
        <v>8070.0</v>
      </c>
      <c r="E81" s="47">
        <v>3097.5</v>
      </c>
      <c r="F81" s="47">
        <v>7792.52</v>
      </c>
      <c r="G81" s="47">
        <v>6537.5</v>
      </c>
      <c r="H81" s="47">
        <v>6771.74</v>
      </c>
      <c r="I81" s="47">
        <v>4882.47</v>
      </c>
      <c r="J81" s="47">
        <v>5922.0</v>
      </c>
      <c r="K81" s="47">
        <v>8006.0</v>
      </c>
      <c r="L81" s="47">
        <v>11852.5</v>
      </c>
      <c r="M81" s="47">
        <v>10039.04</v>
      </c>
      <c r="N81" s="47">
        <f>B81+C81+D81+E81+F81+G81+H81+I81+J81+K81+L81+M81</f>
        <v>80031.27000000002</v>
      </c>
    </row>
    <row r="82" spans="1:14" ht="16">
      <c r="A82" s="41" t="s">
        <v>78</v>
      </c>
      <c r="B82" s="48">
        <f>B61+B64+B67+B68+B74+B75+B78+B79+B80+B81</f>
        <v>7076.95</v>
      </c>
      <c r="C82" s="48">
        <f>C61+C64+C67+C68+C74+C75+C78+C79+C80+C81</f>
        <v>7297.93</v>
      </c>
      <c r="D82" s="48">
        <f>D61+D64+D67+D68+D74+D75+D78+D79+D80+D81</f>
        <v>11442.720000000001</v>
      </c>
      <c r="E82" s="48">
        <f>E61+E64+E67+E68+E74+E75+E78+E79+E80+E81</f>
        <v>6115.03</v>
      </c>
      <c r="F82" s="48">
        <f>F61+F64+F67+F68+F74+F75+F78+F79+F80+F81</f>
        <v>11308.970000000001</v>
      </c>
      <c r="G82" s="48">
        <f>G61+G64+G67+G68+G74+G75+G78+G79+G80+G81</f>
        <v>9761.02</v>
      </c>
      <c r="H82" s="48">
        <f>H61+H64+H67+H68+H74+H75+H78+H79+H80+H81</f>
        <v>10733.02</v>
      </c>
      <c r="I82" s="48">
        <f>I61+I64+I67+I68+I74+I75+I78+I79+I80+I81</f>
        <v>20223.16</v>
      </c>
      <c r="J82" s="48">
        <f>J61+J64+J67+J68+J74+J75+J78+J79+J80+J81</f>
        <v>11575.45</v>
      </c>
      <c r="K82" s="48">
        <f>K61+K64+K67+K68+K74+K75+K78+K79+K80+K81</f>
        <v>14015.2</v>
      </c>
      <c r="L82" s="48">
        <f>L61+L64+L67+L68+L74+L75+L78+L79+L80+L81</f>
        <v>17247.54</v>
      </c>
      <c r="M82" s="48">
        <f>M61+M64+M67+M68+M74+M75+M78+M79+M80+M81</f>
        <v>14831.16</v>
      </c>
      <c r="N82" s="49">
        <f>B82+C82+D82+E82+F82+G82+H82+I82+J82+K82+L82+M82</f>
        <v>141628.15000000002</v>
      </c>
    </row>
    <row r="83" spans="1:14" ht="16">
      <c r="A83" s="37" t="s">
        <v>79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7">
        <v>12.53</v>
      </c>
      <c r="N83" s="47">
        <f>B83+C83+D83+E83+F83+G83+H83+I83+J83+K83+L83+M83</f>
        <v>12.53</v>
      </c>
    </row>
    <row r="84" spans="1:14" ht="16">
      <c r="A84" s="37" t="s">
        <v>80</v>
      </c>
      <c r="B84" s="47">
        <v>588.62</v>
      </c>
      <c r="C84" s="47">
        <v>573.43</v>
      </c>
      <c r="D84" s="47">
        <v>1095.28</v>
      </c>
      <c r="E84" s="47">
        <v>848.82</v>
      </c>
      <c r="F84" s="47">
        <v>1673.3</v>
      </c>
      <c r="G84" s="47">
        <v>699.06</v>
      </c>
      <c r="H84" s="47">
        <v>1909.24</v>
      </c>
      <c r="I84" s="47">
        <v>1370.16</v>
      </c>
      <c r="J84" s="47">
        <v>637.74</v>
      </c>
      <c r="K84" s="47">
        <v>888.37</v>
      </c>
      <c r="L84" s="47">
        <v>1772.56</v>
      </c>
      <c r="M84" s="47">
        <v>781.93</v>
      </c>
      <c r="N84" s="47">
        <f>B84+C84+D84+E84+F84+G84+H84+I84+J84+K84+L84+M84</f>
        <v>12838.51</v>
      </c>
    </row>
    <row r="85" spans="1:14" ht="16">
      <c r="A85" s="37" t="s">
        <v>81</v>
      </c>
      <c r="B85" s="47">
        <v>961.39</v>
      </c>
      <c r="C85" s="47">
        <v>795.15</v>
      </c>
      <c r="D85" s="47">
        <v>29.0</v>
      </c>
      <c r="E85" s="46"/>
      <c r="F85" s="47">
        <v>751.79</v>
      </c>
      <c r="G85" s="46"/>
      <c r="H85" s="46"/>
      <c r="I85" s="47">
        <v>121.48</v>
      </c>
      <c r="J85" s="47">
        <v>196.56</v>
      </c>
      <c r="K85" s="47">
        <v>962.04</v>
      </c>
      <c r="L85" s="46"/>
      <c r="M85" s="47">
        <v>83.08</v>
      </c>
      <c r="N85" s="47">
        <f>B85+C85+D85+E85+F85+G85+H85+I85+J85+K85+L85+M85</f>
        <v>3900.49</v>
      </c>
    </row>
    <row r="86" spans="1:14" ht="16">
      <c r="A86" s="42" t="s">
        <v>82</v>
      </c>
      <c r="B86" s="48">
        <f>B49+B60+B82+B83+B84+B85</f>
        <v>14877.76</v>
      </c>
      <c r="C86" s="48">
        <f>C49+C60+C82+C83+C84+C85</f>
        <v>15374.24</v>
      </c>
      <c r="D86" s="48">
        <f>D49+D60+D82+D83+D84+D85</f>
        <v>19555.739999999998</v>
      </c>
      <c r="E86" s="48">
        <f>E49+E60+E82+E83+E84+E85</f>
        <v>11730.86</v>
      </c>
      <c r="F86" s="48">
        <f>F49+F60+F82+F83+F84+F85</f>
        <v>21483.63</v>
      </c>
      <c r="G86" s="48">
        <f>G49+G60+G82+G83+G84+G85</f>
        <v>15809.28</v>
      </c>
      <c r="H86" s="48">
        <f>H49+H60+H82+H83+H84+H85</f>
        <v>18802.52</v>
      </c>
      <c r="I86" s="48">
        <f>I49+I60+I82+I83+I84+I85</f>
        <v>34437.670000000006</v>
      </c>
      <c r="J86" s="48">
        <f>J49+J60+J82+J83+J84+J85</f>
        <v>22313.300000000003</v>
      </c>
      <c r="K86" s="48">
        <f>K49+K60+K82+K83+K84+K85</f>
        <v>23403.06</v>
      </c>
      <c r="L86" s="48">
        <f>L49+L60+L82+L83+L84+L85</f>
        <v>32984.33</v>
      </c>
      <c r="M86" s="48">
        <f>M49+M60+M82+M83+M84+M85</f>
        <v>22074.72</v>
      </c>
      <c r="N86" s="49">
        <f>B86+C86+D86+E86+F86+G86+H86+I86+J86+K86+L86+M86</f>
        <v>252847.11000000002</v>
      </c>
    </row>
    <row r="87" spans="1:14" ht="16">
      <c r="A87" s="42" t="s">
        <v>83</v>
      </c>
      <c r="B87" s="48">
        <f>B48-B86</f>
        <v>-4230.090000000002</v>
      </c>
      <c r="C87" s="48">
        <f>C48-C86</f>
        <v>-16496.80000000001</v>
      </c>
      <c r="D87" s="48">
        <f>D48-D86</f>
        <v>4041.9900000000052</v>
      </c>
      <c r="E87" s="48">
        <f>E48-E86</f>
        <v>12414.219999999994</v>
      </c>
      <c r="F87" s="48">
        <f>F48-F86</f>
        <v>-3983.189999999984</v>
      </c>
      <c r="G87" s="48">
        <f>G48-G86</f>
        <v>17559.48999999999</v>
      </c>
      <c r="H87" s="48">
        <f>H48-H86</f>
        <v>4640.2099999999955</v>
      </c>
      <c r="I87" s="48">
        <f>I48-I86</f>
        <v>-15704.340000000004</v>
      </c>
      <c r="J87" s="48">
        <f>J48-J86</f>
        <v>30587.759999999987</v>
      </c>
      <c r="K87" s="48">
        <f>K48-K86</f>
        <v>-4298.930000000004</v>
      </c>
      <c r="L87" s="48">
        <f>L48-L86</f>
        <v>36650.59999999999</v>
      </c>
      <c r="M87" s="48">
        <f>M48-M86</f>
        <v>29057.070000000014</v>
      </c>
      <c r="N87" s="49">
        <f>B87+C87+D87+E87+F87+G87+H87+I87+J87+K87+L87+M87</f>
        <v>90237.98999999996</v>
      </c>
    </row>
    <row r="88" spans="1:13" ht="16">
      <c r="A88" s="36" t="s">
        <v>84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</row>
    <row r="89" spans="1:14" ht="16">
      <c r="A89" s="37" t="s">
        <v>85</v>
      </c>
      <c r="B89" s="47">
        <v>0.04</v>
      </c>
      <c r="C89" s="47">
        <v>0.02</v>
      </c>
      <c r="D89" s="47">
        <v>0.02</v>
      </c>
      <c r="E89" s="47">
        <v>0.01</v>
      </c>
      <c r="F89" s="47">
        <v>0.01</v>
      </c>
      <c r="G89" s="46"/>
      <c r="H89" s="46"/>
      <c r="I89" s="46"/>
      <c r="J89" s="47">
        <v>0.02</v>
      </c>
      <c r="K89" s="47">
        <v>0.04</v>
      </c>
      <c r="L89" s="47">
        <v>0.06</v>
      </c>
      <c r="M89" s="47">
        <v>0.09</v>
      </c>
      <c r="N89" s="47">
        <f>B89+C89+D89+E89+F89+G89+H89+I89+J89+K89+L89+M89</f>
        <v>0.31</v>
      </c>
    </row>
    <row r="90" spans="1:14" ht="16">
      <c r="A90" s="42" t="s">
        <v>86</v>
      </c>
      <c r="B90" s="48">
        <f>B88+B89</f>
        <v>0.04</v>
      </c>
      <c r="C90" s="48">
        <f>C88+C89</f>
        <v>0.02</v>
      </c>
      <c r="D90" s="48">
        <f>D88+D89</f>
        <v>0.02</v>
      </c>
      <c r="E90" s="48">
        <f>E88+E89</f>
        <v>0.01</v>
      </c>
      <c r="F90" s="48">
        <f>F88+F89</f>
        <v>0.01</v>
      </c>
      <c r="G90" s="49">
        <f>G88+G89</f>
        <v>0.0</v>
      </c>
      <c r="H90" s="49">
        <f>H88+H89</f>
        <v>0.0</v>
      </c>
      <c r="I90" s="49">
        <f>I88+I89</f>
        <v>0.0</v>
      </c>
      <c r="J90" s="48">
        <f>J88+J89</f>
        <v>0.02</v>
      </c>
      <c r="K90" s="48">
        <f>K88+K89</f>
        <v>0.04</v>
      </c>
      <c r="L90" s="48">
        <f>L88+L89</f>
        <v>0.06</v>
      </c>
      <c r="M90" s="48">
        <f>M88+M89</f>
        <v>0.09</v>
      </c>
      <c r="N90" s="49">
        <f>B90+C90+D90+E90+F90+G90+H90+I90+J90+K90+L90+M90</f>
        <v>0.31</v>
      </c>
    </row>
    <row r="91" spans="1:13" ht="16">
      <c r="A91" s="36" t="s">
        <v>87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</row>
    <row r="92" spans="1:14" ht="16">
      <c r="A92" s="37" t="s">
        <v>88</v>
      </c>
      <c r="B92" s="47">
        <v>24.79</v>
      </c>
      <c r="C92" s="47">
        <v>24.79</v>
      </c>
      <c r="D92" s="47">
        <v>24.79</v>
      </c>
      <c r="E92" s="47">
        <v>24.79</v>
      </c>
      <c r="F92" s="47">
        <v>24.79</v>
      </c>
      <c r="G92" s="47">
        <v>24.79</v>
      </c>
      <c r="H92" s="47">
        <v>24.79</v>
      </c>
      <c r="I92" s="47">
        <v>198.48</v>
      </c>
      <c r="J92" s="47">
        <v>24.79</v>
      </c>
      <c r="K92" s="47">
        <v>520.29</v>
      </c>
      <c r="L92" s="47">
        <v>83.14</v>
      </c>
      <c r="M92" s="47">
        <v>24.79</v>
      </c>
      <c r="N92" s="47">
        <f>B92+C92+D92+E92+F92+G92+H92+I92+J92+K92+L92+M92</f>
        <v>1025.02</v>
      </c>
    </row>
    <row r="93" spans="1:14" ht="16">
      <c r="A93" s="42" t="s">
        <v>89</v>
      </c>
      <c r="B93" s="48">
        <f>B91+B92</f>
        <v>24.79</v>
      </c>
      <c r="C93" s="48">
        <f>C91+C92</f>
        <v>24.79</v>
      </c>
      <c r="D93" s="48">
        <f>D91+D92</f>
        <v>24.79</v>
      </c>
      <c r="E93" s="48">
        <f>E91+E92</f>
        <v>24.79</v>
      </c>
      <c r="F93" s="48">
        <f>F91+F92</f>
        <v>24.79</v>
      </c>
      <c r="G93" s="48">
        <f>G91+G92</f>
        <v>24.79</v>
      </c>
      <c r="H93" s="48">
        <f>H91+H92</f>
        <v>24.79</v>
      </c>
      <c r="I93" s="48">
        <f>I91+I92</f>
        <v>198.48</v>
      </c>
      <c r="J93" s="48">
        <f>J91+J92</f>
        <v>24.79</v>
      </c>
      <c r="K93" s="48">
        <f>K91+K92</f>
        <v>520.29</v>
      </c>
      <c r="L93" s="48">
        <f>L91+L92</f>
        <v>83.14</v>
      </c>
      <c r="M93" s="48">
        <f>M91+M92</f>
        <v>24.79</v>
      </c>
      <c r="N93" s="49">
        <f>B93+C93+D93+E93+F93+G93+H93+I93+J93+K93+L93+M93</f>
        <v>1025.02</v>
      </c>
    </row>
    <row r="94" spans="1:14" ht="16">
      <c r="A94" s="42" t="s">
        <v>90</v>
      </c>
      <c r="B94" s="48">
        <f>B90-B93</f>
        <v>-24.75</v>
      </c>
      <c r="C94" s="48">
        <f>C90-C93</f>
        <v>-24.77</v>
      </c>
      <c r="D94" s="48">
        <f>D90-D93</f>
        <v>-24.77</v>
      </c>
      <c r="E94" s="48">
        <f>E90-E93</f>
        <v>-24.779999999999998</v>
      </c>
      <c r="F94" s="48">
        <f>F90-F93</f>
        <v>-24.779999999999998</v>
      </c>
      <c r="G94" s="48">
        <f>G90-G93</f>
        <v>-24.79</v>
      </c>
      <c r="H94" s="48">
        <f>H90-H93</f>
        <v>-24.79</v>
      </c>
      <c r="I94" s="48">
        <f>I90-I93</f>
        <v>-198.48</v>
      </c>
      <c r="J94" s="48">
        <f>J90-J93</f>
        <v>-24.77</v>
      </c>
      <c r="K94" s="48">
        <f>K90-K93</f>
        <v>-520.25</v>
      </c>
      <c r="L94" s="48">
        <f>L90-L93</f>
        <v>-83.08</v>
      </c>
      <c r="M94" s="48">
        <f>M90-M93</f>
        <v>-24.7</v>
      </c>
      <c r="N94" s="49">
        <f>B94+C94+D94+E94+F94+G94+H94+I94+J94+K94+L94+M94</f>
        <v>-1024.71</v>
      </c>
    </row>
    <row r="95" spans="1:14" ht="16">
      <c r="A95" s="42" t="s">
        <v>91</v>
      </c>
      <c r="B95" s="48">
        <f>B87+B94</f>
        <v>-4254.840000000002</v>
      </c>
      <c r="C95" s="48">
        <f>C87+C94</f>
        <v>-16521.57000000001</v>
      </c>
      <c r="D95" s="48">
        <f>D87+D94</f>
        <v>4017.2200000000053</v>
      </c>
      <c r="E95" s="48">
        <f>E87+E94</f>
        <v>12389.439999999993</v>
      </c>
      <c r="F95" s="48">
        <f>F87+F94</f>
        <v>-4007.9699999999843</v>
      </c>
      <c r="G95" s="48">
        <f>G87+G94</f>
        <v>17534.69999999999</v>
      </c>
      <c r="H95" s="48">
        <f>H87+H94</f>
        <v>4615.4199999999955</v>
      </c>
      <c r="I95" s="48">
        <f>I87+I94</f>
        <v>-15902.820000000003</v>
      </c>
      <c r="J95" s="48">
        <f>J87+J94</f>
        <v>30562.989999999987</v>
      </c>
      <c r="K95" s="48">
        <f>K87+K94</f>
        <v>-4819.180000000004</v>
      </c>
      <c r="L95" s="48">
        <f>L87+L94</f>
        <v>36567.51999999999</v>
      </c>
      <c r="M95" s="48">
        <f>M87+M94</f>
        <v>29032.370000000014</v>
      </c>
      <c r="N95" s="49">
        <f>B95+C95+D95+E95+F95+G95+H95+I95+J95+K95+L95+M95</f>
        <v>89213.27999999997</v>
      </c>
    </row>
    <row r="99" spans="1:1" ht="16">
      <c r="A99" s="52" t="s">
        <v>106</v>
      </c>
    </row>
  </sheetData>
  <mergeCells count="4">
    <mergeCell ref="A1:N1"/>
    <mergeCell ref="A2:N2"/>
    <mergeCell ref="A3:N3"/>
    <mergeCell ref="A99:N9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