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0" i="1" l="1"/>
</calcChain>
</file>

<file path=xl/sharedStrings.xml><?xml version="1.0" encoding="utf-8"?>
<sst xmlns="http://schemas.openxmlformats.org/spreadsheetml/2006/main" count="123" uniqueCount="122">
  <si>
    <t>BRAVADO SPICE LLC</t>
  </si>
  <si>
    <t>Profit and Loss by Month</t>
  </si>
  <si>
    <t>January 1-December 31, 2019</t>
  </si>
  <si>
    <t>Income</t>
  </si>
  <si>
    <t>61000 Sales</t>
  </si>
  <si>
    <t>61200 Hot Sauce</t>
  </si>
  <si>
    <t>61210 Pineapple &amp; Habanero Hot Sauce</t>
  </si>
  <si>
    <t>61220 Jalapeno &amp; Green Apple Hot Sauce</t>
  </si>
  <si>
    <t>61230 Ghost Pepper &amp; Blueberry Hot Sauce</t>
  </si>
  <si>
    <t>61240 Crimson Hot Sauce</t>
  </si>
  <si>
    <t>61250 Crimson Special Reserve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</si>
  <si>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</si>
  <si>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</si>
  <si>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</si>
  <si>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</si>
  <si>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</si>
  <si>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</si>
  <si>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</si>
  <si>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</si>
  <si>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</si>
  <si>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61400 Mixers</t>
  </si>
  <si>
    <t>61410 Pineapple &amp; Jalapeno &amp; Margarita Mix</t>
  </si>
  <si>
    <t>61420 Ruby Red Grapefruit Margarita Mix</t>
  </si>
  <si>
    <t>Total for 61400 Mixers</t>
  </si>
  <si>
    <t>61500 Sets</t>
  </si>
  <si>
    <t>63000 Events/Shows Sales</t>
  </si>
  <si>
    <t>63100 Refunds/Allowances</t>
  </si>
  <si>
    <t>Total for 63000 Events/Shows Sales</t>
  </si>
  <si>
    <t>64000 Online Sales</t>
  </si>
  <si>
    <t>65000 Amazon Seller Central Sales</t>
  </si>
  <si>
    <t>65100 Amazon US Market Sales</t>
  </si>
  <si>
    <t>65110 Amazon Refund/Swell US Market Place</t>
  </si>
  <si>
    <t>Total for 65100 Amazon US Market Sales</t>
  </si>
  <si>
    <t>65200 Amazon CA Market Sales</t>
  </si>
  <si>
    <t>Total for 65000 Amazon Seller Central Sales</t>
  </si>
  <si>
    <t>Total for 61000 Sales</t>
  </si>
  <si>
    <t>66000 Other Income</t>
  </si>
  <si>
    <t>Sales of Product Income</t>
  </si>
  <si>
    <t>Shipping Income</t>
  </si>
  <si>
    <t>Total for Income</t>
  </si>
  <si>
    <t>Cost of Goods Sold</t>
  </si>
  <si>
    <t>62100 Refunds/Allowances</t>
  </si>
  <si>
    <t>71000 Cost of Sales (COS)</t>
  </si>
  <si>
    <t>71100 Shipping &amp; Delivery - COS</t>
  </si>
  <si>
    <t>71300 Ingredients - COS</t>
  </si>
  <si>
    <t>71400 Co-Packer - COGS</t>
  </si>
  <si>
    <t>71500 Materials - COS</t>
  </si>
  <si>
    <t>On-Invoice Discounts</t>
  </si>
  <si>
    <t>QuickBooks Payments Fees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</si>
  <si>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</si>
  <si>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</si>
  <si>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</si>
  <si>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</si>
  <si>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</si>
  <si>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</si>
  <si>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</si>
  <si>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</si>
  <si>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</si>
  <si>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</si>
  <si>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</si>
  <si>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</si>
  <si>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72601 Marketing Scanbacks</t>
  </si>
  <si>
    <t>Total for 72600 In Store Marketing</t>
  </si>
  <si>
    <t>72700 Website/Design</t>
  </si>
  <si>
    <t>Total for 72000 Marketing/Advertising</t>
  </si>
  <si>
    <t>73000 Overhead Expenses (G&amp;A)</t>
  </si>
  <si>
    <t>73100 Rent or Lease</t>
  </si>
  <si>
    <t>73110 Office Rent</t>
  </si>
  <si>
    <t>73120 James Office</t>
  </si>
  <si>
    <t>Total for 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</si>
  <si>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</si>
  <si>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</si>
  <si>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</si>
  <si>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</si>
  <si>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</si>
  <si>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73400 Financial Fees</t>
  </si>
  <si>
    <t>73410 Bank Fees</t>
  </si>
  <si>
    <t>73420 Credit Card Fees</t>
  </si>
  <si>
    <t>73440 Square Fees</t>
  </si>
  <si>
    <t>73450 Interest Expense</t>
  </si>
  <si>
    <t>73470 Fundbox Fees</t>
  </si>
  <si>
    <t>73480 Stripe Fee</t>
  </si>
  <si>
    <t>Total for 73400 Financial Fees</t>
  </si>
  <si>
    <t>73500 Dues &amp; Subscriptions</t>
  </si>
  <si>
    <t>73600 Insurance</t>
  </si>
  <si>
    <t>73620 Insurance - Liability</t>
  </si>
  <si>
    <t>73630 Insurance - Auto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</si>
  <si>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</si>
  <si>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</si>
  <si>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</si>
  <si>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</si>
  <si>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</si>
  <si>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Total for 73000 Overhead Expenses (G&amp;A)</t>
  </si>
  <si>
    <t>74000 Bad Debts</t>
  </si>
  <si>
    <t>75000 Travel</t>
  </si>
  <si>
    <t>76000 Repair &amp; Maintenance</t>
  </si>
  <si>
    <t>Total for Expenses</t>
  </si>
  <si>
    <t>Net Operating Income</t>
  </si>
  <si>
    <t>Other Income</t>
  </si>
  <si>
    <t>80000 Interest Earned</t>
  </si>
  <si>
    <t>Total for Other Income</t>
  </si>
  <si>
    <t>Other Expenses</t>
  </si>
  <si>
    <t>90000 Other Miscellaneous Expense</t>
  </si>
  <si>
    <t>Reconciliation Discrepancies</t>
  </si>
  <si>
    <t>Total for Other Expenses</t>
  </si>
  <si>
    <t>Net Other Income</t>
  </si>
  <si>
    <t>Net Income</t>
  </si>
  <si>
    <t/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</si>
  <si>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</si>
  <si>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</si>
  <si>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</si>
  <si>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</si>
  <si>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</si>
  <si>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</si>
  <si>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</si>
  <si>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</si>
  <si>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</si>
  <si>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</si>
  <si>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</si>
  <si>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</si>
  <si>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Total</t>
  </si>
  <si>
    <t>Accrual Basis Tuesday, August 25, 2026 03:26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</si>
</sst>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14"/>
  <sheetViews>
    <sheetView tabSelected="1" workbookViewId="0" topLeftCell="A1"/>
  </sheetViews>
  <sheetFormatPr defaultColWidth="11.255" defaultRowHeight="16"/>
  <cols>
    <col min="1" max="1" width="40.125" style="49" customWidth="1"/>
    <col min="2" max="3" width="17" style="49" customWidth="1"/>
    <col min="4" max="11" width="16.125" style="49" customWidth="1"/>
    <col min="12" max="12" width="17" style="49" customWidth="1"/>
    <col min="13" max="14" width="16.125" style="49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14" ht="16">
      <c r="A5" s="51" t="s">
        <v>107</v>
      </c>
      <c r="B5" s="55" t="s">
        <v>108</v>
      </c>
      <c r="C5" s="55" t="s">
        <v>109</v>
      </c>
      <c r="D5" s="55" t="s">
        <v>110</v>
      </c>
      <c r="E5" s="55" t="s">
        <v>111</v>
      </c>
      <c r="F5" s="55" t="s">
        <v>112</v>
      </c>
      <c r="G5" s="55" t="s">
        <v>113</v>
      </c>
      <c r="H5" s="55" t="s">
        <v>114</v>
      </c>
      <c r="I5" s="55" t="s">
        <v>115</v>
      </c>
      <c r="J5" s="55" t="s">
        <v>116</v>
      </c>
      <c r="K5" s="55" t="s">
        <v>117</v>
      </c>
      <c r="L5" s="55" t="s">
        <v>118</v>
      </c>
      <c r="M5" s="55" t="s">
        <v>119</v>
      </c>
      <c r="N5" s="55" t="s">
        <v>120</v>
      </c>
    </row>
    <row r="6" spans="1:13" ht="16">
      <c r="A6" s="40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4" ht="16">
      <c r="A7" s="41" t="s">
        <v>4</v>
      </c>
      <c r="B7" s="52"/>
      <c r="C7" s="52"/>
      <c r="D7" s="52"/>
      <c r="E7" s="52"/>
      <c r="F7" s="52"/>
      <c r="G7" s="53">
        <v>21.42</v>
      </c>
      <c r="H7" s="53">
        <v>195.22</v>
      </c>
      <c r="I7" s="52"/>
      <c r="J7" s="52"/>
      <c r="K7" s="52"/>
      <c r="L7" s="52"/>
      <c r="M7" s="53">
        <v>-39399.42</v>
      </c>
      <c r="N7" s="53">
        <f>B7+C7+D7+E7+F7+G7+H7+I7+J7+K7+L7+M7</f>
        <v>-39182.78</v>
      </c>
    </row>
    <row r="8" spans="1:14" ht="16">
      <c r="A8" s="42" t="s">
        <v>5</v>
      </c>
      <c r="B8" s="52"/>
      <c r="C8" s="52"/>
      <c r="D8" s="52"/>
      <c r="E8" s="52"/>
      <c r="F8" s="52"/>
      <c r="G8" s="52"/>
      <c r="H8" s="53">
        <v>308.0</v>
      </c>
      <c r="I8" s="53">
        <v>1069.0</v>
      </c>
      <c r="J8" s="53">
        <v>406.8</v>
      </c>
      <c r="K8" s="52"/>
      <c r="L8" s="53">
        <v>173.0</v>
      </c>
      <c r="M8" s="53">
        <v>4397.0</v>
      </c>
      <c r="N8" s="53">
        <f>B8+C8+D8+E8+F8+G8+H8+I8+J8+K8+L8+M8</f>
        <v>6353.8</v>
      </c>
    </row>
    <row r="9" spans="1:14" ht="16">
      <c r="A9" s="43" t="s">
        <v>6</v>
      </c>
      <c r="B9" s="53">
        <v>8658.68</v>
      </c>
      <c r="C9" s="53">
        <v>7464.48</v>
      </c>
      <c r="D9" s="53">
        <v>17554.94</v>
      </c>
      <c r="E9" s="53">
        <v>21833.84</v>
      </c>
      <c r="F9" s="53">
        <v>18683.02</v>
      </c>
      <c r="G9" s="53">
        <v>7460.2</v>
      </c>
      <c r="H9" s="53">
        <v>12439.03</v>
      </c>
      <c r="I9" s="53">
        <v>16298.59</v>
      </c>
      <c r="J9" s="53">
        <v>18447.97</v>
      </c>
      <c r="K9" s="53">
        <v>22563.47</v>
      </c>
      <c r="L9" s="53">
        <v>14608.97</v>
      </c>
      <c r="M9" s="53">
        <v>10284.64</v>
      </c>
      <c r="N9" s="53">
        <f>B9+C9+D9+E9+F9+G9+H9+I9+J9+K9+L9+M9</f>
        <v>176297.83000000002</v>
      </c>
    </row>
    <row r="10" spans="1:14" ht="16">
      <c r="A10" s="43" t="s">
        <v>7</v>
      </c>
      <c r="B10" s="53">
        <v>5176.31</v>
      </c>
      <c r="C10" s="53">
        <v>3811.08</v>
      </c>
      <c r="D10" s="53">
        <v>2926.78</v>
      </c>
      <c r="E10" s="53">
        <v>3695.68</v>
      </c>
      <c r="F10" s="53">
        <v>3415.8</v>
      </c>
      <c r="G10" s="53">
        <v>3808.88</v>
      </c>
      <c r="H10" s="53">
        <v>3997.04</v>
      </c>
      <c r="I10" s="53">
        <v>1615.64</v>
      </c>
      <c r="J10" s="53">
        <v>4095.12</v>
      </c>
      <c r="K10" s="53">
        <v>1316.39</v>
      </c>
      <c r="L10" s="53">
        <v>3378.36</v>
      </c>
      <c r="M10" s="53">
        <v>4487.83</v>
      </c>
      <c r="N10" s="53">
        <f>B10+C10+D10+E10+F10+G10+H10+I10+J10+K10+L10+M10</f>
        <v>41724.91</v>
      </c>
    </row>
    <row r="11" spans="1:14" ht="16">
      <c r="A11" s="43" t="s">
        <v>8</v>
      </c>
      <c r="B11" s="53">
        <v>7632.75</v>
      </c>
      <c r="C11" s="53">
        <v>13932.12</v>
      </c>
      <c r="D11" s="53">
        <v>14512.08</v>
      </c>
      <c r="E11" s="53">
        <v>22615.08</v>
      </c>
      <c r="F11" s="53">
        <v>21273.74</v>
      </c>
      <c r="G11" s="53">
        <v>8419.26</v>
      </c>
      <c r="H11" s="53">
        <v>13466.98</v>
      </c>
      <c r="I11" s="53">
        <v>11769.48</v>
      </c>
      <c r="J11" s="53">
        <v>17366.0</v>
      </c>
      <c r="K11" s="53">
        <v>23776.82</v>
      </c>
      <c r="L11" s="53">
        <v>10002.24</v>
      </c>
      <c r="M11" s="53">
        <v>12684.59</v>
      </c>
      <c r="N11" s="53">
        <f>B11+C11+D11+E11+F11+G11+H11+I11+J11+K11+L11+M11</f>
        <v>177451.13999999998</v>
      </c>
    </row>
    <row r="12" spans="1:14" ht="16">
      <c r="A12" s="43" t="s">
        <v>9</v>
      </c>
      <c r="B12" s="53">
        <v>5309.54</v>
      </c>
      <c r="C12" s="53">
        <v>5822.92</v>
      </c>
      <c r="D12" s="53">
        <v>2703.08</v>
      </c>
      <c r="E12" s="53">
        <v>4645.81</v>
      </c>
      <c r="F12" s="53">
        <v>5592.75</v>
      </c>
      <c r="G12" s="53">
        <v>3507.86</v>
      </c>
      <c r="H12" s="53">
        <v>4036.64</v>
      </c>
      <c r="I12" s="53">
        <v>6046.74</v>
      </c>
      <c r="J12" s="53">
        <v>8570.98</v>
      </c>
      <c r="K12" s="53">
        <v>4026.63</v>
      </c>
      <c r="L12" s="53">
        <v>2342.04</v>
      </c>
      <c r="M12" s="53">
        <v>2551.48</v>
      </c>
      <c r="N12" s="53">
        <f>B12+C12+D12+E12+F12+G12+H12+I12+J12+K12+L12+M12</f>
        <v>55156.469999999994</v>
      </c>
    </row>
    <row r="13" spans="1:14" ht="16">
      <c r="A13" s="43" t="s">
        <v>10</v>
      </c>
      <c r="B13" s="53">
        <v>2665.66</v>
      </c>
      <c r="C13" s="53">
        <v>2148.56</v>
      </c>
      <c r="D13" s="53">
        <v>2562.95</v>
      </c>
      <c r="E13" s="53">
        <v>2085.01</v>
      </c>
      <c r="F13" s="53">
        <v>1447.83</v>
      </c>
      <c r="G13" s="53">
        <v>2422.34</v>
      </c>
      <c r="H13" s="53">
        <v>1395.1</v>
      </c>
      <c r="I13" s="53">
        <v>1758.72</v>
      </c>
      <c r="J13" s="53">
        <v>2030.41</v>
      </c>
      <c r="K13" s="53">
        <v>1783.4</v>
      </c>
      <c r="L13" s="53">
        <v>2547.76</v>
      </c>
      <c r="M13" s="53">
        <v>3046.51</v>
      </c>
      <c r="N13" s="53">
        <f>B13+C13+D13+E13+F13+G13+H13+I13+J13+K13+L13+M13</f>
        <v>25894.250000000007</v>
      </c>
    </row>
    <row r="14" spans="1:14" ht="16">
      <c r="A14" s="43" t="s">
        <v>11</v>
      </c>
      <c r="B14" s="53">
        <v>5661.72</v>
      </c>
      <c r="C14" s="53">
        <v>4585.16</v>
      </c>
      <c r="D14" s="53">
        <v>12063.22</v>
      </c>
      <c r="E14" s="53">
        <v>3085.16</v>
      </c>
      <c r="F14" s="53">
        <v>4342.25</v>
      </c>
      <c r="G14" s="53">
        <v>4858.32</v>
      </c>
      <c r="H14" s="53">
        <v>5262.52</v>
      </c>
      <c r="I14" s="53">
        <v>7110.98</v>
      </c>
      <c r="J14" s="53">
        <v>6990.26</v>
      </c>
      <c r="K14" s="53">
        <v>6118.95</v>
      </c>
      <c r="L14" s="53">
        <v>4858.72</v>
      </c>
      <c r="M14" s="53">
        <v>5130.05</v>
      </c>
      <c r="N14" s="53">
        <f>B14+C14+D14+E14+F14+G14+H14+I14+J14+K14+L14+M14</f>
        <v>70067.31</v>
      </c>
    </row>
    <row r="15" spans="1:14" ht="16">
      <c r="A15" s="43" t="s">
        <v>12</v>
      </c>
      <c r="B15" s="53">
        <v>12805.79</v>
      </c>
      <c r="C15" s="53">
        <v>10967.92</v>
      </c>
      <c r="D15" s="53">
        <v>30240.53</v>
      </c>
      <c r="E15" s="53">
        <v>25546.62</v>
      </c>
      <c r="F15" s="53">
        <v>14611.33</v>
      </c>
      <c r="G15" s="53">
        <v>28381.57</v>
      </c>
      <c r="H15" s="53">
        <v>25029.95</v>
      </c>
      <c r="I15" s="53">
        <v>10771.75</v>
      </c>
      <c r="J15" s="53">
        <v>38126.66</v>
      </c>
      <c r="K15" s="53">
        <v>49711.04</v>
      </c>
      <c r="L15" s="53">
        <v>32548.36</v>
      </c>
      <c r="M15" s="53">
        <v>22755.78</v>
      </c>
      <c r="N15" s="53">
        <f>B15+C15+D15+E15+F15+G15+H15+I15+J15+K15+L15+M15</f>
        <v>301497.30000000005</v>
      </c>
    </row>
    <row r="16" spans="1:14" ht="16">
      <c r="A16" s="43" t="s">
        <v>13</v>
      </c>
      <c r="B16" s="53">
        <v>5567.0</v>
      </c>
      <c r="C16" s="53">
        <v>1741.3</v>
      </c>
      <c r="D16" s="53">
        <v>3218.8</v>
      </c>
      <c r="E16" s="53">
        <v>1472.25</v>
      </c>
      <c r="F16" s="53">
        <v>1548.92</v>
      </c>
      <c r="G16" s="53">
        <v>2026.8</v>
      </c>
      <c r="H16" s="53">
        <v>10962.9</v>
      </c>
      <c r="I16" s="53">
        <v>1987.5</v>
      </c>
      <c r="J16" s="53">
        <v>2938.62</v>
      </c>
      <c r="K16" s="53">
        <v>1252.46</v>
      </c>
      <c r="L16" s="53">
        <v>2596.5</v>
      </c>
      <c r="M16" s="53">
        <v>1029.9</v>
      </c>
      <c r="N16" s="53">
        <f>B16+C16+D16+E16+F16+G16+H16+I16+J16+K16+L16+M16</f>
        <v>36342.950000000004</v>
      </c>
    </row>
    <row r="17" spans="1:14" ht="16">
      <c r="A17" s="43" t="s">
        <v>14</v>
      </c>
      <c r="B17" s="52"/>
      <c r="C17" s="52"/>
      <c r="D17" s="52"/>
      <c r="E17" s="52"/>
      <c r="F17" s="52"/>
      <c r="G17" s="52"/>
      <c r="H17" s="52"/>
      <c r="I17" s="53">
        <v>72240.0</v>
      </c>
      <c r="J17" s="52"/>
      <c r="K17" s="53">
        <v>10010.4</v>
      </c>
      <c r="L17" s="53">
        <v>20640.0</v>
      </c>
      <c r="M17" s="52"/>
      <c r="N17" s="53">
        <f>B17+C17+D17+E17+F17+G17+H17+I17+J17+K17+L17+M17</f>
        <v>102890.4</v>
      </c>
    </row>
    <row r="18" spans="1:14" ht="16">
      <c r="A18" s="44" t="s">
        <v>15</v>
      </c>
      <c r="B18" s="54">
        <f>B8+B9+B10+B11+B12+B13+B14+B15+B16+B17</f>
        <v>53477.450000000004</v>
      </c>
      <c r="C18" s="54">
        <f>C8+C9+C10+C11+C12+C13+C14+C15+C16+C17</f>
        <v>50473.53999999999</v>
      </c>
      <c r="D18" s="54">
        <f>D8+D9+D10+D11+D12+D13+D14+D15+D16+D17</f>
        <v>85782.37999999999</v>
      </c>
      <c r="E18" s="54">
        <f>E8+E9+E10+E11+E12+E13+E14+E15+E16+E17</f>
        <v>84979.45</v>
      </c>
      <c r="F18" s="54">
        <f>F8+F9+F10+F11+F12+F13+F14+F15+F16+F17</f>
        <v>70915.64</v>
      </c>
      <c r="G18" s="54">
        <f>G8+G9+G10+G11+G12+G13+G14+G15+G16+G17</f>
        <v>60885.23</v>
      </c>
      <c r="H18" s="54">
        <f>H8+H9+H10+H11+H12+H13+H14+H15+H16+H17</f>
        <v>76898.15999999999</v>
      </c>
      <c r="I18" s="54">
        <f>I8+I9+I10+I11+I12+I13+I14+I15+I16+I17</f>
        <v>130668.4</v>
      </c>
      <c r="J18" s="54">
        <f>J8+J9+J10+J11+J12+J13+J14+J15+J16+J17</f>
        <v>98972.82</v>
      </c>
      <c r="K18" s="54">
        <f>K8+K9+K10+K11+K12+K13+K14+K15+K16+K17</f>
        <v>120559.56</v>
      </c>
      <c r="L18" s="54">
        <f>L8+L9+L10+L11+L12+L13+L14+L15+L16+L17</f>
        <v>93695.95000000001</v>
      </c>
      <c r="M18" s="54">
        <f>M8+M9+M10+M11+M12+M13+M14+M15+M16+M17</f>
        <v>66367.78</v>
      </c>
      <c r="N18" s="57">
        <f>B18+C18+D18+E18+F18+G18+H18+I18+J18+K18+L18+M18</f>
        <v>993676.3600000001</v>
      </c>
    </row>
    <row r="19" spans="1:14" ht="16">
      <c r="A19" s="42" t="s">
        <v>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 ht="16">
      <c r="A20" s="43" t="s">
        <v>17</v>
      </c>
      <c r="B20" s="53">
        <v>1603.8</v>
      </c>
      <c r="C20" s="53">
        <v>291.9</v>
      </c>
      <c r="D20" s="53">
        <v>2196.91</v>
      </c>
      <c r="E20" s="53">
        <v>596.28</v>
      </c>
      <c r="F20" s="53">
        <v>3750.22</v>
      </c>
      <c r="G20" s="53">
        <v>660.0</v>
      </c>
      <c r="H20" s="53">
        <v>1030.8</v>
      </c>
      <c r="I20" s="53">
        <v>1394.94</v>
      </c>
      <c r="J20" s="53">
        <v>1369.4</v>
      </c>
      <c r="K20" s="53">
        <v>882.2</v>
      </c>
      <c r="L20" s="53">
        <v>1259.4</v>
      </c>
      <c r="M20" s="53">
        <v>2014.8</v>
      </c>
      <c r="N20" s="53">
        <f>B20+C20+D20+E20+F20+G20+H20+I20+J20+K20+L20+M20</f>
        <v>17050.649999999998</v>
      </c>
    </row>
    <row r="21" spans="1:14" ht="16">
      <c r="A21" s="43" t="s">
        <v>18</v>
      </c>
      <c r="B21" s="53">
        <v>1087.2</v>
      </c>
      <c r="C21" s="53">
        <v>207.9</v>
      </c>
      <c r="D21" s="53">
        <v>402.21</v>
      </c>
      <c r="E21" s="53">
        <v>237.0</v>
      </c>
      <c r="F21" s="53">
        <v>688.14</v>
      </c>
      <c r="G21" s="53">
        <v>280.8</v>
      </c>
      <c r="H21" s="53">
        <v>406.2</v>
      </c>
      <c r="I21" s="53">
        <v>376.74</v>
      </c>
      <c r="J21" s="53">
        <v>302.2</v>
      </c>
      <c r="K21" s="53">
        <v>452.8</v>
      </c>
      <c r="L21" s="53">
        <v>318.0</v>
      </c>
      <c r="M21" s="53">
        <v>616.2</v>
      </c>
      <c r="N21" s="53">
        <f>B21+C21+D21+E21+F21+G21+H21+I21+J21+K21+L21+M21</f>
        <v>5375.39</v>
      </c>
    </row>
    <row r="22" spans="1:14" ht="16">
      <c r="A22" s="44" t="s">
        <v>19</v>
      </c>
      <c r="B22" s="54">
        <f>B19+B20+B21</f>
        <v>2691.0</v>
      </c>
      <c r="C22" s="54">
        <f>C19+C20+C21</f>
        <v>499.79999999999995</v>
      </c>
      <c r="D22" s="54">
        <f>D19+D20+D21</f>
        <v>2599.12</v>
      </c>
      <c r="E22" s="54">
        <f>E19+E20+E21</f>
        <v>833.28</v>
      </c>
      <c r="F22" s="54">
        <f>F19+F20+F21</f>
        <v>4438.36</v>
      </c>
      <c r="G22" s="54">
        <f>G19+G20+G21</f>
        <v>940.8</v>
      </c>
      <c r="H22" s="54">
        <f>H19+H20+H21</f>
        <v>1437.0</v>
      </c>
      <c r="I22" s="54">
        <f>I19+I20+I21</f>
        <v>1771.68</v>
      </c>
      <c r="J22" s="54">
        <f>J19+J20+J21</f>
        <v>1671.6000000000001</v>
      </c>
      <c r="K22" s="54">
        <f>K19+K20+K21</f>
        <v>1335.0</v>
      </c>
      <c r="L22" s="54">
        <f>L19+L20+L21</f>
        <v>1577.4</v>
      </c>
      <c r="M22" s="54">
        <f>M19+M20+M21</f>
        <v>2631.0</v>
      </c>
      <c r="N22" s="57">
        <f>B22+C22+D22+E22+F22+G22+H22+I22+J22+K22+L22+M22</f>
        <v>22426.04</v>
      </c>
    </row>
    <row r="23" spans="1:14" ht="16">
      <c r="A23" s="42" t="s">
        <v>20</v>
      </c>
      <c r="B23" s="52"/>
      <c r="C23" s="52"/>
      <c r="D23" s="52"/>
      <c r="E23" s="52"/>
      <c r="F23" s="52"/>
      <c r="G23" s="52"/>
      <c r="H23" s="52"/>
      <c r="I23" s="53">
        <v>189.0</v>
      </c>
      <c r="J23" s="52"/>
      <c r="K23" s="52"/>
      <c r="L23" s="52"/>
      <c r="M23" s="52"/>
      <c r="N23" s="53">
        <f>B23+C23+D23+E23+F23+G23+H23+I23+J23+K23+L23+M23</f>
        <v>189.0</v>
      </c>
    </row>
    <row r="24" spans="1:14" ht="16">
      <c r="A24" s="43" t="s">
        <v>21</v>
      </c>
      <c r="B24" s="53">
        <v>3530.7</v>
      </c>
      <c r="C24" s="53">
        <v>2259.6</v>
      </c>
      <c r="D24" s="53">
        <v>3033.0</v>
      </c>
      <c r="E24" s="53">
        <v>3594.6</v>
      </c>
      <c r="F24" s="53">
        <v>1582.8</v>
      </c>
      <c r="G24" s="53">
        <v>3282.42</v>
      </c>
      <c r="H24" s="53">
        <v>5131.5</v>
      </c>
      <c r="I24" s="53">
        <v>1967.16</v>
      </c>
      <c r="J24" s="53">
        <v>15818.58</v>
      </c>
      <c r="K24" s="53">
        <v>4562.52</v>
      </c>
      <c r="L24" s="53">
        <v>4084.68</v>
      </c>
      <c r="M24" s="53">
        <v>6429.6</v>
      </c>
      <c r="N24" s="53">
        <f>B24+C24+D24+E24+F24+G24+H24+I24+J24+K24+L24+M24</f>
        <v>55277.16</v>
      </c>
    </row>
    <row r="25" spans="1:14" ht="16">
      <c r="A25" s="43" t="s">
        <v>22</v>
      </c>
      <c r="B25" s="52"/>
      <c r="C25" s="52"/>
      <c r="D25" s="52"/>
      <c r="E25" s="53">
        <v>1698.0</v>
      </c>
      <c r="F25" s="53">
        <v>1293.24</v>
      </c>
      <c r="G25" s="53">
        <v>1931.94</v>
      </c>
      <c r="H25" s="53">
        <v>4605.3</v>
      </c>
      <c r="I25" s="53">
        <v>1902.18</v>
      </c>
      <c r="J25" s="53">
        <v>673.14</v>
      </c>
      <c r="K25" s="53">
        <v>2027.34</v>
      </c>
      <c r="L25" s="53">
        <v>3333.18</v>
      </c>
      <c r="M25" s="53">
        <v>3405.0</v>
      </c>
      <c r="N25" s="53">
        <f>B25+C25+D25+E25+F25+G25+H25+I25+J25+K25+L25+M25</f>
        <v>20869.32</v>
      </c>
    </row>
    <row r="26" spans="1:14" ht="16">
      <c r="A26" s="44" t="s">
        <v>23</v>
      </c>
      <c r="B26" s="54">
        <f>B23+B24+B25</f>
        <v>3530.7</v>
      </c>
      <c r="C26" s="54">
        <f>C23+C24+C25</f>
        <v>2259.6</v>
      </c>
      <c r="D26" s="54">
        <f>D23+D24+D25</f>
        <v>3033.0</v>
      </c>
      <c r="E26" s="54">
        <f>E23+E24+E25</f>
        <v>5292.6</v>
      </c>
      <c r="F26" s="54">
        <f>F23+F24+F25</f>
        <v>2876.04</v>
      </c>
      <c r="G26" s="54">
        <f>G23+G24+G25</f>
        <v>5214.360000000001</v>
      </c>
      <c r="H26" s="54">
        <f>H23+H24+H25</f>
        <v>9736.8</v>
      </c>
      <c r="I26" s="54">
        <f>I23+I24+I25</f>
        <v>4058.34</v>
      </c>
      <c r="J26" s="54">
        <f>J23+J24+J25</f>
        <v>16491.72</v>
      </c>
      <c r="K26" s="54">
        <f>K23+K24+K25</f>
        <v>6589.860000000001</v>
      </c>
      <c r="L26" s="54">
        <f>L23+L24+L25</f>
        <v>7417.86</v>
      </c>
      <c r="M26" s="54">
        <f>M23+M24+M25</f>
        <v>9834.6</v>
      </c>
      <c r="N26" s="57">
        <f>B26+C26+D26+E26+F26+G26+H26+I26+J26+K26+L26+M26</f>
        <v>76335.48000000001</v>
      </c>
    </row>
    <row r="27" spans="1:14" ht="16">
      <c r="A27" s="42" t="s">
        <v>24</v>
      </c>
      <c r="B27" s="52"/>
      <c r="C27" s="52"/>
      <c r="D27" s="52"/>
      <c r="E27" s="52"/>
      <c r="F27" s="52"/>
      <c r="G27" s="52"/>
      <c r="H27" s="52"/>
      <c r="I27" s="53">
        <v>290.0</v>
      </c>
      <c r="J27" s="52"/>
      <c r="K27" s="53">
        <v>50.0</v>
      </c>
      <c r="L27" s="52"/>
      <c r="M27" s="53">
        <v>1500.75</v>
      </c>
      <c r="N27" s="53">
        <f>B27+C27+D27+E27+F27+G27+H27+I27+J27+K27+L27+M27</f>
        <v>1840.75</v>
      </c>
    </row>
    <row r="28" spans="1:14" ht="16">
      <c r="A28" s="42" t="s">
        <v>25</v>
      </c>
      <c r="B28" s="53">
        <v>2916.0</v>
      </c>
      <c r="C28" s="53">
        <v>1327.0</v>
      </c>
      <c r="D28" s="53">
        <v>5373.5</v>
      </c>
      <c r="E28" s="53">
        <v>9941.0</v>
      </c>
      <c r="F28" s="53">
        <v>4523.0</v>
      </c>
      <c r="G28" s="52"/>
      <c r="H28" s="52"/>
      <c r="I28" s="53">
        <v>9108.0</v>
      </c>
      <c r="J28" s="53">
        <v>10392.44</v>
      </c>
      <c r="K28" s="53">
        <v>3822.0</v>
      </c>
      <c r="L28" s="53">
        <v>840.0</v>
      </c>
      <c r="M28" s="53">
        <v>4175.82</v>
      </c>
      <c r="N28" s="53">
        <f>B28+C28+D28+E28+F28+G28+H28+I28+J28+K28+L28+M28</f>
        <v>52418.76</v>
      </c>
    </row>
    <row r="29" spans="1:14" ht="16">
      <c r="A29" s="43" t="s">
        <v>26</v>
      </c>
      <c r="B29" s="53">
        <v>-344.0</v>
      </c>
      <c r="C29" s="53">
        <v>-98.0</v>
      </c>
      <c r="D29" s="53">
        <v>-368.0</v>
      </c>
      <c r="E29" s="53">
        <v>-897.0</v>
      </c>
      <c r="F29" s="53">
        <v>-489.0</v>
      </c>
      <c r="G29" s="52"/>
      <c r="H29" s="52"/>
      <c r="I29" s="53">
        <v>-671.0</v>
      </c>
      <c r="J29" s="53">
        <v>-997.0</v>
      </c>
      <c r="K29" s="53">
        <v>-219.0</v>
      </c>
      <c r="L29" s="53">
        <v>-90.71</v>
      </c>
      <c r="M29" s="52"/>
      <c r="N29" s="53">
        <f>B29+C29+D29+E29+F29+G29+H29+I29+J29+K29+L29+M29</f>
        <v>-4173.71</v>
      </c>
    </row>
    <row r="30" spans="1:14" ht="16">
      <c r="A30" s="44" t="s">
        <v>27</v>
      </c>
      <c r="B30" s="54">
        <f>B28+B29</f>
        <v>2572.0</v>
      </c>
      <c r="C30" s="54">
        <f>C28+C29</f>
        <v>1229.0</v>
      </c>
      <c r="D30" s="54">
        <f>D28+D29</f>
        <v>5005.5</v>
      </c>
      <c r="E30" s="54">
        <f>E28+E29</f>
        <v>9044.0</v>
      </c>
      <c r="F30" s="54">
        <f>F28+F29</f>
        <v>4034.0</v>
      </c>
      <c r="G30" s="57">
        <f>G28+G29</f>
        <v>0.0</v>
      </c>
      <c r="H30" s="57">
        <f>H28+H29</f>
        <v>0.0</v>
      </c>
      <c r="I30" s="54">
        <f>I28+I29</f>
        <v>8437.0</v>
      </c>
      <c r="J30" s="54">
        <f>J28+J29</f>
        <v>9395.44</v>
      </c>
      <c r="K30" s="54">
        <f>K28+K29</f>
        <v>3603.0</v>
      </c>
      <c r="L30" s="54">
        <f>L28+L29</f>
        <v>749.29</v>
      </c>
      <c r="M30" s="54">
        <f>M28+M29</f>
        <v>4175.82</v>
      </c>
      <c r="N30" s="57">
        <f>B30+C30+D30+E30+F30+G30+H30+I30+J30+K30+L30+M30</f>
        <v>48245.05</v>
      </c>
    </row>
    <row r="31" spans="1:14" ht="16">
      <c r="A31" s="42" t="s">
        <v>28</v>
      </c>
      <c r="B31" s="53">
        <v>6533.5</v>
      </c>
      <c r="C31" s="53">
        <v>2936.76</v>
      </c>
      <c r="D31" s="53">
        <v>3756.97</v>
      </c>
      <c r="E31" s="53">
        <v>3840.96</v>
      </c>
      <c r="F31" s="53">
        <v>3124.74</v>
      </c>
      <c r="G31" s="53">
        <v>3596.25</v>
      </c>
      <c r="H31" s="53">
        <v>3747.37</v>
      </c>
      <c r="I31" s="53">
        <v>2963.53</v>
      </c>
      <c r="J31" s="53">
        <v>7676.65</v>
      </c>
      <c r="K31" s="53">
        <v>6035.03</v>
      </c>
      <c r="L31" s="53">
        <v>12018.17</v>
      </c>
      <c r="M31" s="53">
        <v>28354.22</v>
      </c>
      <c r="N31" s="53">
        <f>B31+C31+D31+E31+F31+G31+H31+I31+J31+K31+L31+M31</f>
        <v>84584.15</v>
      </c>
    </row>
    <row r="32" spans="1:14" ht="16">
      <c r="A32" s="42" t="s">
        <v>29</v>
      </c>
      <c r="B32" s="52"/>
      <c r="C32" s="52"/>
      <c r="D32" s="52"/>
      <c r="E32" s="52"/>
      <c r="F32" s="52"/>
      <c r="G32" s="53">
        <v>3671.27</v>
      </c>
      <c r="H32" s="52"/>
      <c r="I32" s="52"/>
      <c r="J32" s="52"/>
      <c r="K32" s="52"/>
      <c r="L32" s="52"/>
      <c r="M32" s="52"/>
      <c r="N32" s="53">
        <f>B32+C32+D32+E32+F32+G32+H32+I32+J32+K32+L32+M32</f>
        <v>3671.27</v>
      </c>
    </row>
    <row r="33" spans="1:14" ht="16">
      <c r="A33" s="43" t="s">
        <v>30</v>
      </c>
      <c r="B33" s="53">
        <v>3285.14</v>
      </c>
      <c r="C33" s="53">
        <v>5275.37</v>
      </c>
      <c r="D33" s="53">
        <v>3330.91</v>
      </c>
      <c r="E33" s="53">
        <v>12145.4</v>
      </c>
      <c r="F33" s="53">
        <v>8123.73</v>
      </c>
      <c r="G33" s="53">
        <v>2886.24</v>
      </c>
      <c r="H33" s="53">
        <v>8414.02</v>
      </c>
      <c r="I33" s="53">
        <v>9915.96</v>
      </c>
      <c r="J33" s="53">
        <v>5693.3</v>
      </c>
      <c r="K33" s="53">
        <v>9440.51</v>
      </c>
      <c r="L33" s="53">
        <v>8102.73</v>
      </c>
      <c r="M33" s="53">
        <v>5196.05</v>
      </c>
      <c r="N33" s="53">
        <f>B33+C33+D33+E33+F33+G33+H33+I33+J33+K33+L33+M33</f>
        <v>81809.36</v>
      </c>
    </row>
    <row r="34" spans="1:14" ht="16">
      <c r="A34" s="45" t="s">
        <v>31</v>
      </c>
      <c r="B34" s="52"/>
      <c r="C34" s="52"/>
      <c r="D34" s="53">
        <v>4.5</v>
      </c>
      <c r="E34" s="53">
        <v>-12.92</v>
      </c>
      <c r="F34" s="52"/>
      <c r="G34" s="52"/>
      <c r="H34" s="52"/>
      <c r="I34" s="52"/>
      <c r="J34" s="52"/>
      <c r="K34" s="52"/>
      <c r="L34" s="52"/>
      <c r="M34" s="52"/>
      <c r="N34" s="53">
        <f>B34+C34+D34+E34+F34+G34+H34+I34+J34+K34+L34+M34</f>
        <v>-8.42</v>
      </c>
    </row>
    <row r="35" spans="1:14" ht="16">
      <c r="A35" s="46" t="s">
        <v>32</v>
      </c>
      <c r="B35" s="54">
        <f>B33+B34</f>
        <v>3285.14</v>
      </c>
      <c r="C35" s="54">
        <f>C33+C34</f>
        <v>5275.37</v>
      </c>
      <c r="D35" s="54">
        <f>D33+D34</f>
        <v>3335.41</v>
      </c>
      <c r="E35" s="54">
        <f>E33+E34</f>
        <v>12132.48</v>
      </c>
      <c r="F35" s="54">
        <f>F33+F34</f>
        <v>8123.73</v>
      </c>
      <c r="G35" s="54">
        <f>G33+G34</f>
        <v>2886.24</v>
      </c>
      <c r="H35" s="54">
        <f>H33+H34</f>
        <v>8414.02</v>
      </c>
      <c r="I35" s="54">
        <f>I33+I34</f>
        <v>9915.96</v>
      </c>
      <c r="J35" s="54">
        <f>J33+J34</f>
        <v>5693.3</v>
      </c>
      <c r="K35" s="54">
        <f>K33+K34</f>
        <v>9440.51</v>
      </c>
      <c r="L35" s="54">
        <f>L33+L34</f>
        <v>8102.73</v>
      </c>
      <c r="M35" s="54">
        <f>M33+M34</f>
        <v>5196.05</v>
      </c>
      <c r="N35" s="57">
        <f>B35+C35+D35+E35+F35+G35+H35+I35+J35+K35+L35+M35</f>
        <v>81800.94</v>
      </c>
    </row>
    <row r="36" spans="1:14" ht="16">
      <c r="A36" s="43" t="s">
        <v>33</v>
      </c>
      <c r="B36" s="52"/>
      <c r="C36" s="52"/>
      <c r="D36" s="52"/>
      <c r="E36" s="53">
        <v>145.14</v>
      </c>
      <c r="F36" s="53">
        <v>405.24</v>
      </c>
      <c r="G36" s="53">
        <v>146.14</v>
      </c>
      <c r="H36" s="53">
        <v>520.54</v>
      </c>
      <c r="I36" s="53">
        <v>93.3</v>
      </c>
      <c r="J36" s="53">
        <v>42.14</v>
      </c>
      <c r="K36" s="53">
        <v>14.24</v>
      </c>
      <c r="L36" s="53">
        <v>22.95</v>
      </c>
      <c r="M36" s="53">
        <v>136.64</v>
      </c>
      <c r="N36" s="53">
        <f>B36+C36+D36+E36+F36+G36+H36+I36+J36+K36+L36+M36</f>
        <v>1526.33</v>
      </c>
    </row>
    <row r="37" spans="1:14" ht="16">
      <c r="A37" s="44" t="s">
        <v>34</v>
      </c>
      <c r="B37" s="54">
        <f>B32+B35+B36</f>
        <v>3285.14</v>
      </c>
      <c r="C37" s="54">
        <f>C32+C35+C36</f>
        <v>5275.37</v>
      </c>
      <c r="D37" s="54">
        <f>D32+D35+D36</f>
        <v>3335.41</v>
      </c>
      <c r="E37" s="54">
        <f>E32+E35+E36</f>
        <v>12277.619999999999</v>
      </c>
      <c r="F37" s="54">
        <f>F32+F35+F36</f>
        <v>8528.97</v>
      </c>
      <c r="G37" s="54">
        <f>G32+G35+G36</f>
        <v>6703.650000000001</v>
      </c>
      <c r="H37" s="54">
        <f>H32+H35+H36</f>
        <v>8934.560000000001</v>
      </c>
      <c r="I37" s="54">
        <f>I32+I35+I36</f>
        <v>10009.259999999998</v>
      </c>
      <c r="J37" s="54">
        <f>J32+J35+J36</f>
        <v>5735.4400000000005</v>
      </c>
      <c r="K37" s="54">
        <f>K32+K35+K36</f>
        <v>9454.75</v>
      </c>
      <c r="L37" s="54">
        <f>L32+L35+L36</f>
        <v>8125.679999999999</v>
      </c>
      <c r="M37" s="54">
        <f>M32+M35+M36</f>
        <v>5332.6900000000005</v>
      </c>
      <c r="N37" s="57">
        <f>B37+C37+D37+E37+F37+G37+H37+I37+J37+K37+L37+M37</f>
        <v>86998.54</v>
      </c>
    </row>
    <row r="38" spans="1:14" ht="16">
      <c r="A38" s="47" t="s">
        <v>35</v>
      </c>
      <c r="B38" s="54">
        <f>B7+B18+B22+B26+B27+B30+B31+B37</f>
        <v>72089.79</v>
      </c>
      <c r="C38" s="54">
        <f>C7+C18+C22+C26+C27+C30+C31+C37</f>
        <v>62674.07</v>
      </c>
      <c r="D38" s="54">
        <f>D7+D18+D22+D26+D27+D30+D31+D37</f>
        <v>103512.37999999999</v>
      </c>
      <c r="E38" s="54">
        <f>E7+E18+E22+E26+E27+E30+E31+E37</f>
        <v>116267.91</v>
      </c>
      <c r="F38" s="54">
        <f>F7+F18+F22+F26+F27+F30+F31+F37</f>
        <v>93917.75</v>
      </c>
      <c r="G38" s="54">
        <f>G7+G18+G22+G26+G27+G30+G31+G37</f>
        <v>77361.70999999999</v>
      </c>
      <c r="H38" s="54">
        <f>H7+H18+H22+H26+H27+H30+H31+H37</f>
        <v>100949.10999999999</v>
      </c>
      <c r="I38" s="54">
        <f>I7+I18+I22+I26+I27+I30+I31+I37</f>
        <v>158198.21</v>
      </c>
      <c r="J38" s="54">
        <f>J7+J18+J22+J26+J27+J30+J31+J37</f>
        <v>139943.67</v>
      </c>
      <c r="K38" s="54">
        <f>K7+K18+K22+K26+K27+K30+K31+K37</f>
        <v>147627.19999999998</v>
      </c>
      <c r="L38" s="54">
        <f>L7+L18+L22+L26+L27+L30+L31+L37</f>
        <v>123584.34999999999</v>
      </c>
      <c r="M38" s="54">
        <f>M7+M18+M22+M26+M27+M30+M31+M37</f>
        <v>78797.44</v>
      </c>
      <c r="N38" s="57">
        <f>B38+C38+D38+E38+F38+G38+H38+I38+J38+K38+L38+M38</f>
        <v>1274923.59</v>
      </c>
    </row>
    <row r="39" spans="1:14" ht="16">
      <c r="A39" s="41" t="s">
        <v>36</v>
      </c>
      <c r="B39" s="53">
        <v>339.77</v>
      </c>
      <c r="C39" s="53">
        <v>338.07</v>
      </c>
      <c r="D39" s="53">
        <v>233.31</v>
      </c>
      <c r="E39" s="53">
        <v>205.78</v>
      </c>
      <c r="F39" s="53">
        <v>312.04</v>
      </c>
      <c r="G39" s="53">
        <v>286.04</v>
      </c>
      <c r="H39" s="53">
        <v>129.96</v>
      </c>
      <c r="I39" s="53">
        <v>338.24</v>
      </c>
      <c r="J39" s="53">
        <v>290.22</v>
      </c>
      <c r="K39" s="53">
        <v>217.21</v>
      </c>
      <c r="L39" s="53">
        <v>417.2</v>
      </c>
      <c r="M39" s="53">
        <v>1067.24</v>
      </c>
      <c r="N39" s="53">
        <f>B39+C39+D39+E39+F39+G39+H39+I39+J39+K39+L39+M39</f>
        <v>4175.08</v>
      </c>
    </row>
    <row r="40" spans="1:14" ht="16">
      <c r="A40" s="41" t="s">
        <v>37</v>
      </c>
      <c r="B40" s="52"/>
      <c r="C40" s="52"/>
      <c r="D40" s="52"/>
      <c r="E40" s="52"/>
      <c r="F40" s="52"/>
      <c r="G40" s="53">
        <v>1750.2</v>
      </c>
      <c r="H40" s="52"/>
      <c r="I40" s="52"/>
      <c r="J40" s="52"/>
      <c r="K40" s="52"/>
      <c r="L40" s="52"/>
      <c r="M40" s="52"/>
      <c r="N40" s="53">
        <f>B40+C40+D40+E40+F40+G40+H40+I40+J40+K40+L40+M40</f>
        <v>1750.2</v>
      </c>
    </row>
    <row r="41" spans="1:14" ht="16">
      <c r="A41" s="41" t="s">
        <v>38</v>
      </c>
      <c r="B41" s="52"/>
      <c r="C41" s="53">
        <v>20.0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3">
        <f>B41+C41+D41+E41+F41+G41+H41+I41+J41+K41+L41+M41</f>
        <v>20.0</v>
      </c>
    </row>
    <row r="42" spans="1:14" ht="16">
      <c r="A42" s="48" t="s">
        <v>39</v>
      </c>
      <c r="B42" s="54">
        <f>B6+B38+B39+B40+B41</f>
        <v>72429.56</v>
      </c>
      <c r="C42" s="54">
        <f>C6+C38+C39+C40+C41</f>
        <v>63032.14</v>
      </c>
      <c r="D42" s="54">
        <f>D6+D38+D39+D40+D41</f>
        <v>103745.68999999999</v>
      </c>
      <c r="E42" s="54">
        <f>E6+E38+E39+E40+E41</f>
        <v>116473.69</v>
      </c>
      <c r="F42" s="54">
        <f>F6+F38+F39+F40+F41</f>
        <v>94229.79</v>
      </c>
      <c r="G42" s="54">
        <f>G6+G38+G39+G40+G41</f>
        <v>79397.94999999998</v>
      </c>
      <c r="H42" s="54">
        <f>H6+H38+H39+H40+H41</f>
        <v>101079.06999999999</v>
      </c>
      <c r="I42" s="54">
        <f>I6+I38+I39+I40+I41</f>
        <v>158536.44999999998</v>
      </c>
      <c r="J42" s="54">
        <f>J6+J38+J39+J40+J41</f>
        <v>140233.89</v>
      </c>
      <c r="K42" s="54">
        <f>K6+K38+K39+K40+K41</f>
        <v>147844.40999999997</v>
      </c>
      <c r="L42" s="54">
        <f>L6+L38+L39+L40+L41</f>
        <v>124001.54999999999</v>
      </c>
      <c r="M42" s="54">
        <f>M6+M38+M39+M40+M41</f>
        <v>79864.68000000001</v>
      </c>
      <c r="N42" s="57">
        <f>B42+C42+D42+E42+F42+G42+H42+I42+J42+K42+L42+M42</f>
        <v>1280868.8699999999</v>
      </c>
    </row>
    <row r="43" spans="1:13" ht="16">
      <c r="A43" s="40" t="s">
        <v>40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</row>
    <row r="44" spans="1:14" ht="16">
      <c r="A44" s="41" t="s">
        <v>41</v>
      </c>
      <c r="B44" s="52"/>
      <c r="C44" s="52"/>
      <c r="D44" s="52"/>
      <c r="E44" s="52"/>
      <c r="F44" s="52"/>
      <c r="G44" s="52"/>
      <c r="H44" s="53">
        <v>7.29</v>
      </c>
      <c r="I44" s="52"/>
      <c r="J44" s="53">
        <v>7.44</v>
      </c>
      <c r="K44" s="52"/>
      <c r="L44" s="52"/>
      <c r="M44" s="52"/>
      <c r="N44" s="53">
        <f>B44+C44+D44+E44+F44+G44+H44+I44+J44+K44+L44+M44</f>
        <v>14.73</v>
      </c>
    </row>
    <row r="45" spans="1:14" ht="16">
      <c r="A45" s="41" t="s">
        <v>42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 spans="1:14" ht="16">
      <c r="A46" s="42" t="s">
        <v>43</v>
      </c>
      <c r="B46" s="53">
        <v>9082.23</v>
      </c>
      <c r="C46" s="53">
        <v>9767.92</v>
      </c>
      <c r="D46" s="53">
        <v>8714.41</v>
      </c>
      <c r="E46" s="53">
        <v>8695.9</v>
      </c>
      <c r="F46" s="53">
        <v>10504.51</v>
      </c>
      <c r="G46" s="53">
        <v>5746.3</v>
      </c>
      <c r="H46" s="53">
        <v>6240.36</v>
      </c>
      <c r="I46" s="53">
        <v>12109.92</v>
      </c>
      <c r="J46" s="53">
        <v>10132.99</v>
      </c>
      <c r="K46" s="53">
        <v>8427.51</v>
      </c>
      <c r="L46" s="53">
        <v>12087.05</v>
      </c>
      <c r="M46" s="53">
        <v>13799.78</v>
      </c>
      <c r="N46" s="53">
        <f>B46+C46+D46+E46+F46+G46+H46+I46+J46+K46+L46+M46</f>
        <v>115308.88</v>
      </c>
    </row>
    <row r="47" spans="1:14" ht="16">
      <c r="A47" s="42" t="s">
        <v>44</v>
      </c>
      <c r="B47" s="53">
        <v>15035.25</v>
      </c>
      <c r="C47" s="53">
        <v>3969.96</v>
      </c>
      <c r="D47" s="53">
        <v>13748.02</v>
      </c>
      <c r="E47" s="53">
        <v>17380.53</v>
      </c>
      <c r="F47" s="53">
        <v>9002.44</v>
      </c>
      <c r="G47" s="53">
        <v>7928.28</v>
      </c>
      <c r="H47" s="53">
        <v>28596.93</v>
      </c>
      <c r="I47" s="53">
        <v>36070.86</v>
      </c>
      <c r="J47" s="53">
        <v>19581.44</v>
      </c>
      <c r="K47" s="53">
        <v>15389.31</v>
      </c>
      <c r="L47" s="53">
        <v>27576.38</v>
      </c>
      <c r="M47" s="53">
        <v>-222.62</v>
      </c>
      <c r="N47" s="53">
        <f>B47+C47+D47+E47+F47+G47+H47+I47+J47+K47+L47+M47</f>
        <v>194056.78000000003</v>
      </c>
    </row>
    <row r="48" spans="1:14" ht="16">
      <c r="A48" s="42" t="s">
        <v>45</v>
      </c>
      <c r="B48" s="53">
        <v>26152.15</v>
      </c>
      <c r="C48" s="53">
        <v>19568.67</v>
      </c>
      <c r="D48" s="53">
        <v>20291.86</v>
      </c>
      <c r="E48" s="53">
        <v>31254.01</v>
      </c>
      <c r="F48" s="53">
        <v>22398.25</v>
      </c>
      <c r="G48" s="53">
        <v>20629.78</v>
      </c>
      <c r="H48" s="53">
        <v>14655.25</v>
      </c>
      <c r="I48" s="53">
        <v>40654.82</v>
      </c>
      <c r="J48" s="53">
        <v>26408.15</v>
      </c>
      <c r="K48" s="53">
        <v>32214.38</v>
      </c>
      <c r="L48" s="53">
        <v>28226.11</v>
      </c>
      <c r="M48" s="53">
        <v>21213.99</v>
      </c>
      <c r="N48" s="53">
        <f>B48+C48+D48+E48+F48+G48+H48+I48+J48+K48+L48+M48</f>
        <v>303667.42</v>
      </c>
    </row>
    <row r="49" spans="1:14" ht="16">
      <c r="A49" s="42" t="s">
        <v>46</v>
      </c>
      <c r="B49" s="53">
        <v>4641.4</v>
      </c>
      <c r="C49" s="53">
        <v>18444.29</v>
      </c>
      <c r="D49" s="53">
        <v>3086.76</v>
      </c>
      <c r="E49" s="53">
        <v>10517.34</v>
      </c>
      <c r="F49" s="53">
        <v>4150.62</v>
      </c>
      <c r="G49" s="53">
        <v>7770.45</v>
      </c>
      <c r="H49" s="53">
        <v>15518.7</v>
      </c>
      <c r="I49" s="53">
        <v>10215.71</v>
      </c>
      <c r="J49" s="53">
        <v>7364.87</v>
      </c>
      <c r="K49" s="53">
        <v>11920.37</v>
      </c>
      <c r="L49" s="53">
        <v>8688.08</v>
      </c>
      <c r="M49" s="53">
        <v>25735.45</v>
      </c>
      <c r="N49" s="53">
        <f>B49+C49+D49+E49+F49+G49+H49+I49+J49+K49+L49+M49</f>
        <v>128054.04000000001</v>
      </c>
    </row>
    <row r="50" spans="1:14" ht="16">
      <c r="A50" s="42" t="s">
        <v>47</v>
      </c>
      <c r="B50" s="53">
        <v>1170.41</v>
      </c>
      <c r="C50" s="53">
        <v>833.06</v>
      </c>
      <c r="D50" s="53">
        <v>1819.05</v>
      </c>
      <c r="E50" s="53">
        <v>486.42</v>
      </c>
      <c r="F50" s="53">
        <v>558.1</v>
      </c>
      <c r="G50" s="53">
        <v>303.56</v>
      </c>
      <c r="H50" s="53">
        <v>879.69</v>
      </c>
      <c r="I50" s="53">
        <v>303.57</v>
      </c>
      <c r="J50" s="53">
        <v>650.16</v>
      </c>
      <c r="K50" s="53">
        <v>461.84</v>
      </c>
      <c r="L50" s="53">
        <v>241.51</v>
      </c>
      <c r="M50" s="53">
        <v>395.49</v>
      </c>
      <c r="N50" s="53">
        <f>B50+C50+D50+E50+F50+G50+H50+I50+J50+K50+L50+M50</f>
        <v>8102.860000000001</v>
      </c>
    </row>
    <row r="51" spans="1:14" ht="16">
      <c r="A51" s="42" t="s">
        <v>48</v>
      </c>
      <c r="B51" s="53">
        <v>570.52</v>
      </c>
      <c r="C51" s="53">
        <v>748.88</v>
      </c>
      <c r="D51" s="53">
        <v>1220.44</v>
      </c>
      <c r="E51" s="53">
        <v>749.89</v>
      </c>
      <c r="F51" s="53">
        <v>853.25</v>
      </c>
      <c r="G51" s="53">
        <v>657.72</v>
      </c>
      <c r="H51" s="53">
        <v>761.54</v>
      </c>
      <c r="I51" s="53">
        <v>569.81</v>
      </c>
      <c r="J51" s="53">
        <v>998.37</v>
      </c>
      <c r="K51" s="53">
        <v>555.94</v>
      </c>
      <c r="L51" s="53">
        <v>1322.87</v>
      </c>
      <c r="M51" s="53">
        <v>1414.63</v>
      </c>
      <c r="N51" s="53">
        <f>B51+C51+D51+E51+F51+G51+H51+I51+J51+K51+L51+M51</f>
        <v>10423.86</v>
      </c>
    </row>
    <row r="52" spans="1:14" ht="16">
      <c r="A52" s="42" t="s">
        <v>49</v>
      </c>
      <c r="B52" s="52"/>
      <c r="C52" s="52"/>
      <c r="D52" s="52"/>
      <c r="E52" s="53">
        <v>577.78</v>
      </c>
      <c r="F52" s="53">
        <v>5640.89</v>
      </c>
      <c r="G52" s="53">
        <v>10.33</v>
      </c>
      <c r="H52" s="53">
        <v>38.04</v>
      </c>
      <c r="I52" s="53">
        <v>720.53</v>
      </c>
      <c r="J52" s="53">
        <v>40.76</v>
      </c>
      <c r="K52" s="53">
        <v>113.99</v>
      </c>
      <c r="L52" s="53">
        <v>125.19</v>
      </c>
      <c r="M52" s="53">
        <v>28.04</v>
      </c>
      <c r="N52" s="53">
        <f>B52+C52+D52+E52+F52+G52+H52+I52+J52+K52+L52+M52</f>
        <v>7295.549999999999</v>
      </c>
    </row>
    <row r="53" spans="1:14" ht="16">
      <c r="A53" s="47" t="s">
        <v>50</v>
      </c>
      <c r="B53" s="54">
        <f>B45+B46+B47+B48+B49+B50+B51+B52</f>
        <v>56651.96000000001</v>
      </c>
      <c r="C53" s="54">
        <f>C45+C46+C47+C48+C49+C50+C51+C52</f>
        <v>53332.78</v>
      </c>
      <c r="D53" s="54">
        <f>D45+D46+D47+D48+D49+D50+D51+D52</f>
        <v>48880.54000000001</v>
      </c>
      <c r="E53" s="54">
        <f>E45+E46+E47+E48+E49+E50+E51+E52</f>
        <v>69661.87</v>
      </c>
      <c r="F53" s="54">
        <f>F45+F46+F47+F48+F49+F50+F51+F52</f>
        <v>53108.06</v>
      </c>
      <c r="G53" s="54">
        <f>G45+G46+G47+G48+G49+G50+G51+G52</f>
        <v>43046.42</v>
      </c>
      <c r="H53" s="54">
        <f>H45+H46+H47+H48+H49+H50+H51+H52</f>
        <v>66690.51</v>
      </c>
      <c r="I53" s="54">
        <f>I45+I46+I47+I48+I49+I50+I51+I52</f>
        <v>100645.22</v>
      </c>
      <c r="J53" s="54">
        <f>J45+J46+J47+J48+J49+J50+J51+J52</f>
        <v>65176.74000000001</v>
      </c>
      <c r="K53" s="54">
        <f>K45+K46+K47+K48+K49+K50+K51+K52</f>
        <v>69083.34</v>
      </c>
      <c r="L53" s="54">
        <f>L45+L46+L47+L48+L49+L50+L51+L52</f>
        <v>78267.19</v>
      </c>
      <c r="M53" s="54">
        <f>M45+M46+M47+M48+M49+M50+M51+M52</f>
        <v>62364.76</v>
      </c>
      <c r="N53" s="57">
        <f>B53+C53+D53+E53+F53+G53+H53+I53+J53+K53+L53+M53</f>
        <v>766909.3899999999</v>
      </c>
    </row>
    <row r="54" spans="1:14" ht="16">
      <c r="A54" s="41" t="s">
        <v>40</v>
      </c>
      <c r="B54" s="52"/>
      <c r="C54" s="52"/>
      <c r="D54" s="52"/>
      <c r="E54" s="52"/>
      <c r="F54" s="52"/>
      <c r="G54" s="56">
        <v>0</v>
      </c>
      <c r="H54" s="56">
        <v>0</v>
      </c>
      <c r="I54" s="52"/>
      <c r="J54" s="52"/>
      <c r="K54" s="52"/>
      <c r="L54" s="52"/>
      <c r="M54" s="52"/>
      <c r="N54" s="56">
        <f>B54+C54+D54+E54+F54+G54+H54+I54+J54+K54+L54+M54</f>
        <v>0.0</v>
      </c>
    </row>
    <row r="55" spans="1:14" ht="16">
      <c r="A55" s="48" t="s">
        <v>51</v>
      </c>
      <c r="B55" s="54">
        <f>B43+B44+B53+B54</f>
        <v>56651.96000000001</v>
      </c>
      <c r="C55" s="54">
        <f>C43+C44+C53+C54</f>
        <v>53332.78</v>
      </c>
      <c r="D55" s="54">
        <f>D43+D44+D53+D54</f>
        <v>48880.54000000001</v>
      </c>
      <c r="E55" s="54">
        <f>E43+E44+E53+E54</f>
        <v>69661.87</v>
      </c>
      <c r="F55" s="54">
        <f>F43+F44+F53+F54</f>
        <v>53108.06</v>
      </c>
      <c r="G55" s="54">
        <f>G43+G44+G53+G54</f>
        <v>43046.42</v>
      </c>
      <c r="H55" s="54">
        <f>H43+H44+H53+H54</f>
        <v>66697.79999999999</v>
      </c>
      <c r="I55" s="54">
        <f>I43+I44+I53+I54</f>
        <v>100645.22</v>
      </c>
      <c r="J55" s="54">
        <f>J43+J44+J53+J54</f>
        <v>65184.180000000015</v>
      </c>
      <c r="K55" s="54">
        <f>K43+K44+K53+K54</f>
        <v>69083.34</v>
      </c>
      <c r="L55" s="54">
        <f>L43+L44+L53+L54</f>
        <v>78267.19</v>
      </c>
      <c r="M55" s="54">
        <f>M43+M44+M53+M54</f>
        <v>62364.76</v>
      </c>
      <c r="N55" s="57">
        <f>B55+C55+D55+E55+F55+G55+H55+I55+J55+K55+L55+M55</f>
        <v>766924.1200000001</v>
      </c>
    </row>
    <row r="56" spans="1:14" ht="16">
      <c r="A56" s="48" t="s">
        <v>52</v>
      </c>
      <c r="B56" s="54">
        <f>B42-B55</f>
        <v>15777.599999999991</v>
      </c>
      <c r="C56" s="54">
        <f>C42-C55</f>
        <v>9699.36</v>
      </c>
      <c r="D56" s="54">
        <f>D42-D55</f>
        <v>54865.14999999998</v>
      </c>
      <c r="E56" s="54">
        <f>E42-E55</f>
        <v>46811.82000000001</v>
      </c>
      <c r="F56" s="54">
        <f>F42-F55</f>
        <v>41121.729999999996</v>
      </c>
      <c r="G56" s="54">
        <f>G42-G55</f>
        <v>36351.529999999984</v>
      </c>
      <c r="H56" s="54">
        <f>H42-H55</f>
        <v>34381.270000000004</v>
      </c>
      <c r="I56" s="54">
        <f>I42-I55</f>
        <v>57891.22999999998</v>
      </c>
      <c r="J56" s="54">
        <f>J42-J55</f>
        <v>75049.70999999999</v>
      </c>
      <c r="K56" s="54">
        <f>K42-K55</f>
        <v>78761.06999999998</v>
      </c>
      <c r="L56" s="54">
        <f>L42-L55</f>
        <v>45734.359999999986</v>
      </c>
      <c r="M56" s="54">
        <f>M42-M55</f>
        <v>17499.920000000006</v>
      </c>
      <c r="N56" s="57">
        <f>B56+C56+D56+E56+F56+G56+H56+I56+J56+K56+L56+M56</f>
        <v>513944.7499999998</v>
      </c>
    </row>
    <row r="57" spans="1:13" ht="16">
      <c r="A57" s="40" t="s">
        <v>53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</row>
    <row r="58" spans="1:14" ht="16">
      <c r="A58" s="41" t="s">
        <v>54</v>
      </c>
      <c r="B58" s="53">
        <v>50.0</v>
      </c>
      <c r="C58" s="53">
        <v>335.0</v>
      </c>
      <c r="D58" s="53">
        <v>109.48</v>
      </c>
      <c r="E58" s="52"/>
      <c r="F58" s="53">
        <v>172.63</v>
      </c>
      <c r="G58" s="53">
        <v>48.63</v>
      </c>
      <c r="H58" s="53">
        <v>3.31</v>
      </c>
      <c r="I58" s="53">
        <v>750.0</v>
      </c>
      <c r="J58" s="53">
        <v>773.29</v>
      </c>
      <c r="K58" s="52"/>
      <c r="L58" s="53">
        <v>1100.0</v>
      </c>
      <c r="M58" s="53">
        <v>2750.0</v>
      </c>
      <c r="N58" s="53">
        <f>B58+C58+D58+E58+F58+G58+H58+I58+J58+K58+L58+M58</f>
        <v>6092.34</v>
      </c>
    </row>
    <row r="59" spans="1:14" ht="16">
      <c r="A59" s="42" t="s">
        <v>55</v>
      </c>
      <c r="B59" s="53">
        <v>804.02</v>
      </c>
      <c r="C59" s="52"/>
      <c r="D59" s="53">
        <v>197.77</v>
      </c>
      <c r="E59" s="53">
        <v>275.71</v>
      </c>
      <c r="F59" s="52"/>
      <c r="G59" s="53">
        <v>218.6</v>
      </c>
      <c r="H59" s="52"/>
      <c r="I59" s="52"/>
      <c r="J59" s="52"/>
      <c r="K59" s="52"/>
      <c r="L59" s="52"/>
      <c r="M59" s="52"/>
      <c r="N59" s="53">
        <f>B59+C59+D59+E59+F59+G59+H59+I59+J59+K59+L59+M59</f>
        <v>1496.1</v>
      </c>
    </row>
    <row r="60" spans="1:14" ht="16">
      <c r="A60" s="42" t="s">
        <v>56</v>
      </c>
      <c r="B60" s="53">
        <v>977.87</v>
      </c>
      <c r="C60" s="53">
        <v>966.77</v>
      </c>
      <c r="D60" s="53">
        <v>1005.72</v>
      </c>
      <c r="E60" s="53">
        <v>1008.33</v>
      </c>
      <c r="F60" s="53">
        <v>1877.06</v>
      </c>
      <c r="G60" s="53">
        <v>1009.72</v>
      </c>
      <c r="H60" s="53">
        <v>779.95</v>
      </c>
      <c r="I60" s="53">
        <v>931.72</v>
      </c>
      <c r="J60" s="53">
        <v>1026.36</v>
      </c>
      <c r="K60" s="53">
        <v>703.83</v>
      </c>
      <c r="L60" s="53">
        <v>1159.61</v>
      </c>
      <c r="M60" s="53">
        <v>1598.93</v>
      </c>
      <c r="N60" s="53">
        <f>B60+C60+D60+E60+F60+G60+H60+I60+J60+K60+L60+M60</f>
        <v>13045.87</v>
      </c>
    </row>
    <row r="61" spans="1:14" ht="16">
      <c r="A61" s="42" t="s">
        <v>57</v>
      </c>
      <c r="B61" s="53">
        <v>3313.43</v>
      </c>
      <c r="C61" s="53">
        <v>36.86</v>
      </c>
      <c r="D61" s="53">
        <v>617.01</v>
      </c>
      <c r="E61" s="53">
        <v>626.08</v>
      </c>
      <c r="F61" s="53">
        <v>3611.22</v>
      </c>
      <c r="G61" s="53">
        <v>460.82</v>
      </c>
      <c r="H61" s="53">
        <v>646.72</v>
      </c>
      <c r="I61" s="53">
        <v>552.0</v>
      </c>
      <c r="J61" s="53">
        <v>3522.5</v>
      </c>
      <c r="K61" s="53">
        <v>144.1</v>
      </c>
      <c r="L61" s="53">
        <v>4460.3</v>
      </c>
      <c r="M61" s="53">
        <v>334.94</v>
      </c>
      <c r="N61" s="53">
        <f>B61+C61+D61+E61+F61+G61+H61+I61+J61+K61+L61+M61</f>
        <v>18325.98</v>
      </c>
    </row>
    <row r="62" spans="1:14" ht="16">
      <c r="A62" s="42" t="s">
        <v>58</v>
      </c>
      <c r="B62" s="53">
        <v>1096.67</v>
      </c>
      <c r="C62" s="53">
        <v>189.88</v>
      </c>
      <c r="D62" s="53">
        <v>350.46</v>
      </c>
      <c r="E62" s="53">
        <v>110.4</v>
      </c>
      <c r="F62" s="53">
        <v>337.39</v>
      </c>
      <c r="G62" s="53">
        <v>93.56</v>
      </c>
      <c r="H62" s="52"/>
      <c r="I62" s="52"/>
      <c r="J62" s="52"/>
      <c r="K62" s="53">
        <v>466.86</v>
      </c>
      <c r="L62" s="52"/>
      <c r="M62" s="52"/>
      <c r="N62" s="53">
        <f>B62+C62+D62+E62+F62+G62+H62+I62+J62+K62+L62+M62</f>
        <v>2645.2200000000003</v>
      </c>
    </row>
    <row r="63" spans="1:14" ht="16">
      <c r="A63" s="42" t="s">
        <v>59</v>
      </c>
      <c r="B63" s="53">
        <v>2928.85</v>
      </c>
      <c r="C63" s="53">
        <v>4973.58</v>
      </c>
      <c r="D63" s="53">
        <v>4711.73</v>
      </c>
      <c r="E63" s="53">
        <v>1713.99</v>
      </c>
      <c r="F63" s="53">
        <v>2662.88</v>
      </c>
      <c r="G63" s="53">
        <v>1683.14</v>
      </c>
      <c r="H63" s="53">
        <v>2870.89</v>
      </c>
      <c r="I63" s="53">
        <v>3474.01</v>
      </c>
      <c r="J63" s="53">
        <v>3503.89</v>
      </c>
      <c r="K63" s="53">
        <v>3191.6</v>
      </c>
      <c r="L63" s="53">
        <v>8436.55</v>
      </c>
      <c r="M63" s="53">
        <v>3204.27</v>
      </c>
      <c r="N63" s="53">
        <f>B63+C63+D63+E63+F63+G63+H63+I63+J63+K63+L63+M63</f>
        <v>43355.38</v>
      </c>
    </row>
    <row r="64" spans="1:14" ht="16">
      <c r="A64" s="42" t="s">
        <v>60</v>
      </c>
      <c r="B64" s="53">
        <v>3389.61</v>
      </c>
      <c r="C64" s="53">
        <v>2467.5</v>
      </c>
      <c r="D64" s="53">
        <v>286.95</v>
      </c>
      <c r="E64" s="53">
        <v>1056.2</v>
      </c>
      <c r="F64" s="53">
        <v>764.06</v>
      </c>
      <c r="G64" s="53">
        <v>1293.48</v>
      </c>
      <c r="H64" s="53">
        <v>965.32</v>
      </c>
      <c r="I64" s="53">
        <v>1314.97</v>
      </c>
      <c r="J64" s="53">
        <v>913.27</v>
      </c>
      <c r="K64" s="53">
        <v>1664.12</v>
      </c>
      <c r="L64" s="53">
        <v>1214.98</v>
      </c>
      <c r="M64" s="53">
        <v>1015.61</v>
      </c>
      <c r="N64" s="53">
        <f>B64+C64+D64+E64+F64+G64+H64+I64+J64+K64+L64+M64</f>
        <v>16346.07</v>
      </c>
    </row>
    <row r="65" spans="1:14" ht="16">
      <c r="A65" s="43" t="s">
        <v>61</v>
      </c>
      <c r="B65" s="53">
        <v>375.2</v>
      </c>
      <c r="C65" s="52"/>
      <c r="D65" s="53">
        <v>197.05</v>
      </c>
      <c r="E65" s="53">
        <v>349.28</v>
      </c>
      <c r="F65" s="53">
        <v>425.68</v>
      </c>
      <c r="G65" s="53">
        <v>490.13</v>
      </c>
      <c r="H65" s="53">
        <v>451.55</v>
      </c>
      <c r="I65" s="53">
        <v>874.38</v>
      </c>
      <c r="J65" s="53">
        <v>417.0</v>
      </c>
      <c r="K65" s="53">
        <v>911.3</v>
      </c>
      <c r="L65" s="53">
        <v>213.11</v>
      </c>
      <c r="M65" s="53">
        <v>-90.67</v>
      </c>
      <c r="N65" s="53">
        <f>B65+C65+D65+E65+F65+G65+H65+I65+J65+K65+L65+M65</f>
        <v>4614.01</v>
      </c>
    </row>
    <row r="66" spans="1:14" ht="16">
      <c r="A66" s="44" t="s">
        <v>62</v>
      </c>
      <c r="B66" s="54">
        <f>B64+B65</f>
        <v>3764.81</v>
      </c>
      <c r="C66" s="54">
        <f>C64+C65</f>
        <v>2467.5</v>
      </c>
      <c r="D66" s="54">
        <f>D64+D65</f>
        <v>484.0</v>
      </c>
      <c r="E66" s="54">
        <f>E64+E65</f>
        <v>1405.48</v>
      </c>
      <c r="F66" s="54">
        <f>F64+F65</f>
        <v>1189.74</v>
      </c>
      <c r="G66" s="54">
        <f>G64+G65</f>
        <v>1783.6100000000001</v>
      </c>
      <c r="H66" s="54">
        <f>H64+H65</f>
        <v>1416.8700000000001</v>
      </c>
      <c r="I66" s="54">
        <f>I64+I65</f>
        <v>2189.35</v>
      </c>
      <c r="J66" s="54">
        <f>J64+J65</f>
        <v>1330.27</v>
      </c>
      <c r="K66" s="54">
        <f>K64+K65</f>
        <v>2575.42</v>
      </c>
      <c r="L66" s="54">
        <f>L64+L65</f>
        <v>1428.0900000000001</v>
      </c>
      <c r="M66" s="54">
        <f>M64+M65</f>
        <v>924.94</v>
      </c>
      <c r="N66" s="57">
        <f>B66+C66+D66+E66+F66+G66+H66+I66+J66+K66+L66+M66</f>
        <v>20960.08</v>
      </c>
    </row>
    <row r="67" spans="1:14" ht="16">
      <c r="A67" s="42" t="s">
        <v>63</v>
      </c>
      <c r="B67" s="53">
        <v>750.0</v>
      </c>
      <c r="C67" s="53">
        <v>554.92</v>
      </c>
      <c r="D67" s="53">
        <v>920.0</v>
      </c>
      <c r="E67" s="53">
        <v>920.0</v>
      </c>
      <c r="F67" s="53">
        <v>1090.0</v>
      </c>
      <c r="G67" s="53">
        <v>2269.0</v>
      </c>
      <c r="H67" s="53">
        <v>2249.0</v>
      </c>
      <c r="I67" s="53">
        <v>232.78</v>
      </c>
      <c r="J67" s="53">
        <v>399.97</v>
      </c>
      <c r="K67" s="53">
        <v>999.57</v>
      </c>
      <c r="L67" s="53">
        <v>879.23</v>
      </c>
      <c r="M67" s="53">
        <v>2903.49</v>
      </c>
      <c r="N67" s="53">
        <f>B67+C67+D67+E67+F67+G67+H67+I67+J67+K67+L67+M67</f>
        <v>14167.96</v>
      </c>
    </row>
    <row r="68" spans="1:14" ht="16">
      <c r="A68" s="47" t="s">
        <v>64</v>
      </c>
      <c r="B68" s="54">
        <f>B58+B59+B60+B61+B62+B63+B66+B67</f>
        <v>13685.65</v>
      </c>
      <c r="C68" s="54">
        <f>C58+C59+C60+C61+C62+C63+C66+C67</f>
        <v>9524.51</v>
      </c>
      <c r="D68" s="54">
        <f>D58+D59+D60+D61+D62+D63+D66+D67</f>
        <v>8396.17</v>
      </c>
      <c r="E68" s="54">
        <f>E58+E59+E60+E61+E62+E63+E66+E67</f>
        <v>6059.99</v>
      </c>
      <c r="F68" s="54">
        <f>F58+F59+F60+F61+F62+F63+F66+F67</f>
        <v>10940.92</v>
      </c>
      <c r="G68" s="54">
        <f>G58+G59+G60+G61+G62+G63+G66+G67</f>
        <v>7567.08</v>
      </c>
      <c r="H68" s="54">
        <f>H58+H59+H60+H61+H62+H63+H66+H67</f>
        <v>7966.74</v>
      </c>
      <c r="I68" s="54">
        <f>I58+I59+I60+I61+I62+I63+I66+I67</f>
        <v>8129.86</v>
      </c>
      <c r="J68" s="54">
        <f>J58+J59+J60+J61+J62+J63+J66+J67</f>
        <v>10556.279999999999</v>
      </c>
      <c r="K68" s="54">
        <f>K58+K59+K60+K61+K62+K63+K66+K67</f>
        <v>8081.379999999999</v>
      </c>
      <c r="L68" s="54">
        <f>L58+L59+L60+L61+L62+L63+L66+L67</f>
        <v>17463.78</v>
      </c>
      <c r="M68" s="54">
        <f>M58+M59+M60+M61+M62+M63+M66+M67</f>
        <v>11716.57</v>
      </c>
      <c r="N68" s="57">
        <f>B68+C68+D68+E68+F68+G68+H68+I68+J68+K68+L68+M68</f>
        <v>120088.93</v>
      </c>
    </row>
    <row r="69" spans="1:14" ht="16">
      <c r="A69" s="41" t="s">
        <v>65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</row>
    <row r="70" spans="1:14" ht="16">
      <c r="A70" s="42" t="s">
        <v>66</v>
      </c>
      <c r="B70" s="53">
        <v>2750.25</v>
      </c>
      <c r="C70" s="53">
        <v>2560.0</v>
      </c>
      <c r="D70" s="53">
        <v>2560.0</v>
      </c>
      <c r="E70" s="53">
        <v>2560.0</v>
      </c>
      <c r="F70" s="53">
        <v>2560.0</v>
      </c>
      <c r="G70" s="53">
        <v>3058.0</v>
      </c>
      <c r="H70" s="53">
        <v>6467.18</v>
      </c>
      <c r="I70" s="53">
        <v>5143.0</v>
      </c>
      <c r="J70" s="52"/>
      <c r="K70" s="53">
        <v>2560.0</v>
      </c>
      <c r="L70" s="53">
        <v>2560.0</v>
      </c>
      <c r="M70" s="53">
        <v>5120.0</v>
      </c>
      <c r="N70" s="53">
        <f>B70+C70+D70+E70+F70+G70+H70+I70+J70+K70+L70+M70</f>
        <v>37898.43</v>
      </c>
    </row>
    <row r="71" spans="1:14" ht="16">
      <c r="A71" s="43" t="s">
        <v>67</v>
      </c>
      <c r="B71" s="52"/>
      <c r="C71" s="52"/>
      <c r="D71" s="52"/>
      <c r="E71" s="52"/>
      <c r="F71" s="53">
        <v>50.0</v>
      </c>
      <c r="G71" s="52"/>
      <c r="H71" s="52"/>
      <c r="I71" s="52"/>
      <c r="J71" s="52"/>
      <c r="K71" s="52"/>
      <c r="L71" s="52"/>
      <c r="M71" s="52"/>
      <c r="N71" s="53">
        <f>B71+C71+D71+E71+F71+G71+H71+I71+J71+K71+L71+M71</f>
        <v>50.0</v>
      </c>
    </row>
    <row r="72" spans="1:14" ht="16">
      <c r="A72" s="43" t="s">
        <v>68</v>
      </c>
      <c r="B72" s="52"/>
      <c r="C72" s="52"/>
      <c r="D72" s="52"/>
      <c r="E72" s="53">
        <v>52.27</v>
      </c>
      <c r="F72" s="52"/>
      <c r="G72" s="52"/>
      <c r="H72" s="52"/>
      <c r="I72" s="52"/>
      <c r="J72" s="52"/>
      <c r="K72" s="52"/>
      <c r="L72" s="52"/>
      <c r="M72" s="52"/>
      <c r="N72" s="53">
        <f>B72+C72+D72+E72+F72+G72+H72+I72+J72+K72+L72+M72</f>
        <v>52.27</v>
      </c>
    </row>
    <row r="73" spans="1:14" ht="16">
      <c r="A73" s="44" t="s">
        <v>69</v>
      </c>
      <c r="B73" s="54">
        <f>B70+B71+B72</f>
        <v>2750.25</v>
      </c>
      <c r="C73" s="54">
        <f>C70+C71+C72</f>
        <v>2560.0</v>
      </c>
      <c r="D73" s="54">
        <f>D70+D71+D72</f>
        <v>2560.0</v>
      </c>
      <c r="E73" s="54">
        <f>E70+E71+E72</f>
        <v>2612.27</v>
      </c>
      <c r="F73" s="54">
        <f>F70+F71+F72</f>
        <v>2610.0</v>
      </c>
      <c r="G73" s="54">
        <f>G70+G71+G72</f>
        <v>3058.0</v>
      </c>
      <c r="H73" s="54">
        <f>H70+H71+H72</f>
        <v>6467.18</v>
      </c>
      <c r="I73" s="54">
        <f>I70+I71+I72</f>
        <v>5143.0</v>
      </c>
      <c r="J73" s="57">
        <f>J70+J71+J72</f>
        <v>0.0</v>
      </c>
      <c r="K73" s="54">
        <f>K70+K71+K72</f>
        <v>2560.0</v>
      </c>
      <c r="L73" s="54">
        <f>L70+L71+L72</f>
        <v>2560.0</v>
      </c>
      <c r="M73" s="54">
        <f>M70+M71+M72</f>
        <v>5120.0</v>
      </c>
      <c r="N73" s="57">
        <f>B73+C73+D73+E73+F73+G73+H73+I73+J73+K73+L73+M73</f>
        <v>38000.7</v>
      </c>
    </row>
    <row r="74" spans="1:14" ht="16">
      <c r="A74" s="42" t="s">
        <v>70</v>
      </c>
      <c r="B74" s="53">
        <v>8.42</v>
      </c>
      <c r="C74" s="53">
        <v>219.05</v>
      </c>
      <c r="D74" s="53">
        <v>35.36</v>
      </c>
      <c r="E74" s="53">
        <v>80.62</v>
      </c>
      <c r="F74" s="53">
        <v>8.65</v>
      </c>
      <c r="G74" s="53">
        <v>251.77</v>
      </c>
      <c r="H74" s="53">
        <v>-14.84</v>
      </c>
      <c r="I74" s="53">
        <v>1326.62</v>
      </c>
      <c r="J74" s="53">
        <v>11.9</v>
      </c>
      <c r="K74" s="53">
        <v>407.46</v>
      </c>
      <c r="L74" s="53">
        <v>787.13</v>
      </c>
      <c r="M74" s="53">
        <v>2356.8</v>
      </c>
      <c r="N74" s="53">
        <f>B74+C74+D74+E74+F74+G74+H74+I74+J74+K74+L74+M74</f>
        <v>5478.9400000000005</v>
      </c>
    </row>
    <row r="75" spans="1:14" ht="16">
      <c r="A75" s="43" t="s">
        <v>71</v>
      </c>
      <c r="B75" s="53">
        <v>626.68</v>
      </c>
      <c r="C75" s="53">
        <v>1200.72</v>
      </c>
      <c r="D75" s="53">
        <v>618.0</v>
      </c>
      <c r="E75" s="52"/>
      <c r="F75" s="53">
        <v>522.69</v>
      </c>
      <c r="G75" s="53">
        <v>3078.4</v>
      </c>
      <c r="H75" s="53">
        <v>1351.23</v>
      </c>
      <c r="I75" s="53">
        <v>594.26</v>
      </c>
      <c r="J75" s="53">
        <v>41.98</v>
      </c>
      <c r="K75" s="53">
        <v>174.13</v>
      </c>
      <c r="L75" s="53">
        <v>920.76</v>
      </c>
      <c r="M75" s="53">
        <v>1076.44</v>
      </c>
      <c r="N75" s="53">
        <f>B75+C75+D75+E75+F75+G75+H75+I75+J75+K75+L75+M75</f>
        <v>10205.289999999999</v>
      </c>
    </row>
    <row r="76" spans="1:14" ht="16">
      <c r="A76" s="43" t="s">
        <v>72</v>
      </c>
      <c r="B76" s="53">
        <v>658.59</v>
      </c>
      <c r="C76" s="53">
        <v>1469.91</v>
      </c>
      <c r="D76" s="53">
        <v>169.51</v>
      </c>
      <c r="E76" s="53">
        <v>342.49</v>
      </c>
      <c r="F76" s="53">
        <v>279.75</v>
      </c>
      <c r="G76" s="53">
        <v>56.58</v>
      </c>
      <c r="H76" s="53">
        <v>74.02</v>
      </c>
      <c r="I76" s="53">
        <v>226.66</v>
      </c>
      <c r="J76" s="53">
        <v>555.67</v>
      </c>
      <c r="K76" s="53">
        <v>407.85</v>
      </c>
      <c r="L76" s="53">
        <v>341.22</v>
      </c>
      <c r="M76" s="53">
        <v>601.01</v>
      </c>
      <c r="N76" s="53">
        <f>B76+C76+D76+E76+F76+G76+H76+I76+J76+K76+L76+M76</f>
        <v>5183.26</v>
      </c>
    </row>
    <row r="77" spans="1:14" ht="16">
      <c r="A77" s="44" t="s">
        <v>73</v>
      </c>
      <c r="B77" s="54">
        <f>B74+B75+B76</f>
        <v>1293.69</v>
      </c>
      <c r="C77" s="54">
        <f>C74+C75+C76</f>
        <v>2889.6800000000003</v>
      </c>
      <c r="D77" s="54">
        <f>D74+D75+D76</f>
        <v>822.87</v>
      </c>
      <c r="E77" s="54">
        <f>E74+E75+E76</f>
        <v>423.11</v>
      </c>
      <c r="F77" s="54">
        <f>F74+F75+F76</f>
        <v>811.09</v>
      </c>
      <c r="G77" s="54">
        <f>G74+G75+G76</f>
        <v>3386.75</v>
      </c>
      <c r="H77" s="54">
        <f>H74+H75+H76</f>
        <v>1410.41</v>
      </c>
      <c r="I77" s="54">
        <f>I74+I75+I76</f>
        <v>2147.54</v>
      </c>
      <c r="J77" s="54">
        <f>J74+J75+J76</f>
        <v>609.55</v>
      </c>
      <c r="K77" s="54">
        <f>K74+K75+K76</f>
        <v>989.4399999999999</v>
      </c>
      <c r="L77" s="54">
        <f>L74+L75+L76</f>
        <v>2049.1099999999997</v>
      </c>
      <c r="M77" s="54">
        <f>M74+M75+M76</f>
        <v>4034.25</v>
      </c>
      <c r="N77" s="57">
        <f>B77+C77+D77+E77+F77+G77+H77+I77+J77+K77+L77+M77</f>
        <v>20867.489999999998</v>
      </c>
    </row>
    <row r="78" spans="1:14" ht="16">
      <c r="A78" s="42" t="s">
        <v>74</v>
      </c>
      <c r="B78" s="53">
        <v>396.4</v>
      </c>
      <c r="C78" s="53">
        <v>262.08</v>
      </c>
      <c r="D78" s="53">
        <v>441.21</v>
      </c>
      <c r="E78" s="53">
        <v>298.69</v>
      </c>
      <c r="F78" s="53">
        <v>298.69</v>
      </c>
      <c r="G78" s="53">
        <v>298.53</v>
      </c>
      <c r="H78" s="53">
        <v>298.53</v>
      </c>
      <c r="I78" s="53">
        <v>298.53</v>
      </c>
      <c r="J78" s="53">
        <v>298.94</v>
      </c>
      <c r="K78" s="53">
        <v>298.94</v>
      </c>
      <c r="L78" s="53">
        <v>336.24</v>
      </c>
      <c r="M78" s="53">
        <v>300.76</v>
      </c>
      <c r="N78" s="53">
        <f>B78+C78+D78+E78+F78+G78+H78+I78+J78+K78+L78+M78</f>
        <v>3827.54</v>
      </c>
    </row>
    <row r="79" spans="1:14" ht="16">
      <c r="A79" s="42" t="s">
        <v>75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</row>
    <row r="80" spans="1:14" ht="16">
      <c r="A80" s="43" t="s">
        <v>76</v>
      </c>
      <c r="B80" s="53">
        <v>9.95</v>
      </c>
      <c r="C80" s="53">
        <v>9.95</v>
      </c>
      <c r="D80" s="53">
        <v>66.95</v>
      </c>
      <c r="E80" s="53">
        <v>9.95</v>
      </c>
      <c r="F80" s="53">
        <v>24.95</v>
      </c>
      <c r="G80" s="53">
        <v>54.95</v>
      </c>
      <c r="H80" s="53">
        <v>9.02</v>
      </c>
      <c r="I80" s="53">
        <v>28.95</v>
      </c>
      <c r="J80" s="53">
        <v>54.95</v>
      </c>
      <c r="K80" s="53">
        <v>140.86</v>
      </c>
      <c r="L80" s="53">
        <v>60.59</v>
      </c>
      <c r="M80" s="53">
        <v>38.51</v>
      </c>
      <c r="N80" s="53">
        <f>B80+C80+D80+E80+F80+G80+H80+I80+J80+K80+L80+M80</f>
        <v>509.58000000000004</v>
      </c>
    </row>
    <row r="81" spans="1:14" ht="16">
      <c r="A81" s="43" t="s">
        <v>77</v>
      </c>
      <c r="B81" s="52"/>
      <c r="C81" s="52"/>
      <c r="D81" s="52"/>
      <c r="E81" s="52"/>
      <c r="F81" s="53">
        <v>16.01</v>
      </c>
      <c r="G81" s="53">
        <v>187.17</v>
      </c>
      <c r="H81" s="53">
        <v>12.0</v>
      </c>
      <c r="I81" s="53">
        <v>9.0</v>
      </c>
      <c r="J81" s="53">
        <v>9.0</v>
      </c>
      <c r="K81" s="53">
        <v>12.0</v>
      </c>
      <c r="L81" s="53">
        <v>15.0</v>
      </c>
      <c r="M81" s="53">
        <v>9.0</v>
      </c>
      <c r="N81" s="53">
        <f>B81+C81+D81+E81+F81+G81+H81+I81+J81+K81+L81+M81</f>
        <v>269.17999999999995</v>
      </c>
    </row>
    <row r="82" spans="1:14" ht="16">
      <c r="A82" s="43" t="s">
        <v>78</v>
      </c>
      <c r="B82" s="53">
        <v>45.1</v>
      </c>
      <c r="C82" s="53">
        <v>14.97</v>
      </c>
      <c r="D82" s="53">
        <v>57.71</v>
      </c>
      <c r="E82" s="53">
        <v>145.38</v>
      </c>
      <c r="F82" s="53">
        <v>87.02</v>
      </c>
      <c r="G82" s="52"/>
      <c r="H82" s="52"/>
      <c r="I82" s="53">
        <v>156.14</v>
      </c>
      <c r="J82" s="53">
        <v>172.67</v>
      </c>
      <c r="K82" s="53">
        <v>74.76</v>
      </c>
      <c r="L82" s="52"/>
      <c r="M82" s="52"/>
      <c r="N82" s="53">
        <f>B82+C82+D82+E82+F82+G82+H82+I82+J82+K82+L82+M82</f>
        <v>753.7499999999999</v>
      </c>
    </row>
    <row r="83" spans="1:14" ht="16">
      <c r="A83" s="43" t="s">
        <v>79</v>
      </c>
      <c r="B83" s="52"/>
      <c r="C83" s="52"/>
      <c r="D83" s="53">
        <v>18.29</v>
      </c>
      <c r="E83" s="53">
        <v>30.39</v>
      </c>
      <c r="F83" s="52"/>
      <c r="G83" s="52"/>
      <c r="H83" s="52"/>
      <c r="I83" s="53">
        <v>121.47</v>
      </c>
      <c r="J83" s="52"/>
      <c r="K83" s="53">
        <v>184.17</v>
      </c>
      <c r="L83" s="53">
        <v>62.11</v>
      </c>
      <c r="M83" s="53">
        <v>5675.61</v>
      </c>
      <c r="N83" s="53">
        <f>B83+C83+D83+E83+F83+G83+H83+I83+J83+K83+L83+M83</f>
        <v>6092.04</v>
      </c>
    </row>
    <row r="84" spans="1:14" ht="16">
      <c r="A84" s="43" t="s">
        <v>80</v>
      </c>
      <c r="B84" s="53">
        <v>96.63</v>
      </c>
      <c r="C84" s="56">
        <v>0</v>
      </c>
      <c r="D84" s="53">
        <v>271.54</v>
      </c>
      <c r="E84" s="53">
        <v>543.08</v>
      </c>
      <c r="F84" s="53">
        <v>678.85</v>
      </c>
      <c r="G84" s="53">
        <v>407.31</v>
      </c>
      <c r="H84" s="53">
        <v>21.12</v>
      </c>
      <c r="I84" s="52"/>
      <c r="J84" s="52"/>
      <c r="K84" s="52"/>
      <c r="L84" s="52"/>
      <c r="M84" s="52"/>
      <c r="N84" s="53">
        <f>B84+C84+D84+E84+F84+G84+H84+I84+J84+K84+L84+M84</f>
        <v>2018.5299999999997</v>
      </c>
    </row>
    <row r="85" spans="1:14" ht="16">
      <c r="A85" s="43" t="s">
        <v>81</v>
      </c>
      <c r="B85" s="52"/>
      <c r="C85" s="52"/>
      <c r="D85" s="52"/>
      <c r="E85" s="53">
        <v>106.99</v>
      </c>
      <c r="F85" s="53">
        <v>87.59</v>
      </c>
      <c r="G85" s="53">
        <v>96.95</v>
      </c>
      <c r="H85" s="53">
        <v>111.53</v>
      </c>
      <c r="I85" s="53">
        <v>64.53</v>
      </c>
      <c r="J85" s="53">
        <v>36.3</v>
      </c>
      <c r="K85" s="52"/>
      <c r="L85" s="52"/>
      <c r="M85" s="52"/>
      <c r="N85" s="53">
        <f>B85+C85+D85+E85+F85+G85+H85+I85+J85+K85+L85+M85</f>
        <v>503.88999999999993</v>
      </c>
    </row>
    <row r="86" spans="1:14" ht="16">
      <c r="A86" s="44" t="s">
        <v>82</v>
      </c>
      <c r="B86" s="54">
        <f>B79+B80+B81+B82+B83+B84+B85</f>
        <v>151.68</v>
      </c>
      <c r="C86" s="54">
        <f>C79+C80+C81+C82+C83+C84+C85</f>
        <v>24.92</v>
      </c>
      <c r="D86" s="54">
        <f>D79+D80+D81+D82+D83+D84+D85</f>
        <v>414.49</v>
      </c>
      <c r="E86" s="54">
        <f>E79+E80+E81+E82+E83+E84+E85</f>
        <v>835.79</v>
      </c>
      <c r="F86" s="54">
        <f>F79+F80+F81+F82+F83+F84+F85</f>
        <v>894.4200000000001</v>
      </c>
      <c r="G86" s="54">
        <f>G79+G80+G81+G82+G83+G84+G85</f>
        <v>746.3800000000001</v>
      </c>
      <c r="H86" s="54">
        <f>H79+H80+H81+H82+H83+H84+H85</f>
        <v>153.67000000000002</v>
      </c>
      <c r="I86" s="54">
        <f>I79+I80+I81+I82+I83+I84+I85</f>
        <v>380.0899999999999</v>
      </c>
      <c r="J86" s="54">
        <f>J79+J80+J81+J82+J83+J84+J85</f>
        <v>272.92</v>
      </c>
      <c r="K86" s="54">
        <f>K79+K80+K81+K82+K83+K84+K85</f>
        <v>411.78999999999996</v>
      </c>
      <c r="L86" s="54">
        <f>L79+L80+L81+L82+L83+L84+L85</f>
        <v>137.7</v>
      </c>
      <c r="M86" s="54">
        <f>M79+M80+M81+M82+M83+M84+M85</f>
        <v>5723.12</v>
      </c>
      <c r="N86" s="57">
        <f>B86+C86+D86+E86+F86+G86+H86+I86+J86+K86+L86+M86</f>
        <v>10146.970000000001</v>
      </c>
    </row>
    <row r="87" spans="1:14" ht="16">
      <c r="A87" s="42" t="s">
        <v>83</v>
      </c>
      <c r="B87" s="53">
        <v>1430.4</v>
      </c>
      <c r="C87" s="53">
        <v>2797.0</v>
      </c>
      <c r="D87" s="53">
        <v>269.68</v>
      </c>
      <c r="E87" s="53">
        <v>255.13</v>
      </c>
      <c r="F87" s="53">
        <v>441.94</v>
      </c>
      <c r="G87" s="53">
        <v>147.61</v>
      </c>
      <c r="H87" s="53">
        <v>2200.16</v>
      </c>
      <c r="I87" s="53">
        <v>165.07</v>
      </c>
      <c r="J87" s="53">
        <v>340.58</v>
      </c>
      <c r="K87" s="53">
        <v>233.43</v>
      </c>
      <c r="L87" s="53">
        <v>200.27</v>
      </c>
      <c r="M87" s="53">
        <v>585.35</v>
      </c>
      <c r="N87" s="53">
        <f>B87+C87+D87+E87+F87+G87+H87+I87+J87+K87+L87+M87</f>
        <v>9066.619999999999</v>
      </c>
    </row>
    <row r="88" spans="1:14" ht="16">
      <c r="A88" s="42" t="s">
        <v>84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</row>
    <row r="89" spans="1:14" ht="16">
      <c r="A89" s="43" t="s">
        <v>85</v>
      </c>
      <c r="B89" s="53">
        <v>433.5</v>
      </c>
      <c r="C89" s="53">
        <v>893.5</v>
      </c>
      <c r="D89" s="53">
        <v>433.5</v>
      </c>
      <c r="E89" s="53">
        <v>433.5</v>
      </c>
      <c r="F89" s="53">
        <v>433.5</v>
      </c>
      <c r="G89" s="53">
        <v>467.5</v>
      </c>
      <c r="H89" s="53">
        <v>433.5</v>
      </c>
      <c r="I89" s="52"/>
      <c r="J89" s="53">
        <v>462.4</v>
      </c>
      <c r="K89" s="53">
        <v>461.86</v>
      </c>
      <c r="L89" s="53">
        <v>2714.86</v>
      </c>
      <c r="M89" s="53">
        <v>599.36</v>
      </c>
      <c r="N89" s="53">
        <f>B89+C89+D89+E89+F89+G89+H89+I89+J89+K89+L89+M89</f>
        <v>7766.9800000000005</v>
      </c>
    </row>
    <row r="90" spans="1:14" ht="16">
      <c r="A90" s="43" t="s">
        <v>86</v>
      </c>
      <c r="B90" s="52"/>
      <c r="C90" s="52"/>
      <c r="D90" s="52"/>
      <c r="E90" s="52"/>
      <c r="F90" s="53">
        <v>20.0</v>
      </c>
      <c r="G90" s="52"/>
      <c r="H90" s="52"/>
      <c r="I90" s="52"/>
      <c r="J90" s="52"/>
      <c r="K90" s="52"/>
      <c r="L90" s="52"/>
      <c r="M90" s="52"/>
      <c r="N90" s="53">
        <f>B90+C90+D90+E90+F90+G90+H90+I90+J90+K90+L90+M90</f>
        <v>20.0</v>
      </c>
    </row>
    <row r="91" spans="1:14" ht="16">
      <c r="A91" s="43" t="s">
        <v>87</v>
      </c>
      <c r="B91" s="53">
        <v>531.06</v>
      </c>
      <c r="C91" s="52"/>
      <c r="D91" s="52"/>
      <c r="E91" s="53">
        <v>2124.24</v>
      </c>
      <c r="F91" s="53">
        <v>531.06</v>
      </c>
      <c r="G91" s="53">
        <v>531.06</v>
      </c>
      <c r="H91" s="53">
        <v>531.06</v>
      </c>
      <c r="I91" s="53">
        <v>531.06</v>
      </c>
      <c r="J91" s="53">
        <v>531.06</v>
      </c>
      <c r="K91" s="53">
        <v>531.06</v>
      </c>
      <c r="L91" s="53">
        <v>531.06</v>
      </c>
      <c r="M91" s="53">
        <v>601.84</v>
      </c>
      <c r="N91" s="53">
        <f>B91+C91+D91+E91+F91+G91+H91+I91+J91+K91+L91+M91</f>
        <v>6974.559999999998</v>
      </c>
    </row>
    <row r="92" spans="1:14" ht="16">
      <c r="A92" s="44" t="s">
        <v>88</v>
      </c>
      <c r="B92" s="54">
        <f>B88+B89+B90+B91</f>
        <v>964.56</v>
      </c>
      <c r="C92" s="54">
        <f>C88+C89+C90+C91</f>
        <v>893.5</v>
      </c>
      <c r="D92" s="54">
        <f>D88+D89+D90+D91</f>
        <v>433.5</v>
      </c>
      <c r="E92" s="54">
        <f>E88+E89+E90+E91</f>
        <v>2557.74</v>
      </c>
      <c r="F92" s="54">
        <f>F88+F89+F90+F91</f>
        <v>984.56</v>
      </c>
      <c r="G92" s="54">
        <f>G88+G89+G90+G91</f>
        <v>998.56</v>
      </c>
      <c r="H92" s="54">
        <f>H88+H89+H90+H91</f>
        <v>964.56</v>
      </c>
      <c r="I92" s="54">
        <f>I88+I89+I90+I91</f>
        <v>531.06</v>
      </c>
      <c r="J92" s="54">
        <f>J88+J89+J90+J91</f>
        <v>993.4599999999999</v>
      </c>
      <c r="K92" s="54">
        <f>K88+K89+K90+K91</f>
        <v>992.92</v>
      </c>
      <c r="L92" s="54">
        <f>L88+L89+L90+L91</f>
        <v>3245.92</v>
      </c>
      <c r="M92" s="54">
        <f>M88+M89+M90+M91</f>
        <v>1201.2</v>
      </c>
      <c r="N92" s="57">
        <f>B92+C92+D92+E92+F92+G92+H92+I92+J92+K92+L92+M92</f>
        <v>14761.539999999997</v>
      </c>
    </row>
    <row r="93" spans="1:14" ht="16">
      <c r="A93" s="42" t="s">
        <v>89</v>
      </c>
      <c r="B93" s="52"/>
      <c r="C93" s="52"/>
      <c r="D93" s="52"/>
      <c r="E93" s="53">
        <v>137.5</v>
      </c>
      <c r="F93" s="52"/>
      <c r="G93" s="52"/>
      <c r="H93" s="53">
        <v>2700.0</v>
      </c>
      <c r="I93" s="53">
        <v>250.0</v>
      </c>
      <c r="J93" s="53">
        <v>2700.0</v>
      </c>
      <c r="K93" s="52"/>
      <c r="L93" s="53">
        <v>295.0</v>
      </c>
      <c r="M93" s="53">
        <v>2710.82</v>
      </c>
      <c r="N93" s="53">
        <f>B93+C93+D93+E93+F93+G93+H93+I93+J93+K93+L93+M93</f>
        <v>8793.32</v>
      </c>
    </row>
    <row r="94" spans="1:14" ht="16">
      <c r="A94" s="42" t="s">
        <v>90</v>
      </c>
      <c r="B94" s="53">
        <v>4.4</v>
      </c>
      <c r="C94" s="53">
        <v>280.16</v>
      </c>
      <c r="D94" s="52"/>
      <c r="E94" s="52"/>
      <c r="F94" s="53">
        <v>4.4</v>
      </c>
      <c r="G94" s="53">
        <v>2052.0</v>
      </c>
      <c r="H94" s="52"/>
      <c r="I94" s="53">
        <v>9.99</v>
      </c>
      <c r="J94" s="53">
        <v>210.12</v>
      </c>
      <c r="K94" s="53">
        <v>404.98</v>
      </c>
      <c r="L94" s="52"/>
      <c r="M94" s="52"/>
      <c r="N94" s="53">
        <f>B94+C94+D94+E94+F94+G94+H94+I94+J94+K94+L94+M94</f>
        <v>2966.0499999999997</v>
      </c>
    </row>
    <row r="95" spans="1:14" ht="16">
      <c r="A95" s="42" t="s">
        <v>91</v>
      </c>
      <c r="B95" s="53">
        <v>7420.0</v>
      </c>
      <c r="C95" s="53">
        <v>5243.73</v>
      </c>
      <c r="D95" s="53">
        <v>9242.21</v>
      </c>
      <c r="E95" s="53">
        <v>10714.66</v>
      </c>
      <c r="F95" s="53">
        <v>16356.0</v>
      </c>
      <c r="G95" s="53">
        <v>7104.0</v>
      </c>
      <c r="H95" s="53">
        <v>10519.0</v>
      </c>
      <c r="I95" s="53">
        <v>16410.0</v>
      </c>
      <c r="J95" s="53">
        <v>6537.0</v>
      </c>
      <c r="K95" s="53">
        <v>14528.68</v>
      </c>
      <c r="L95" s="53">
        <v>21722.01</v>
      </c>
      <c r="M95" s="53">
        <v>16655.16</v>
      </c>
      <c r="N95" s="53">
        <f>B95+C95+D95+E95+F95+G95+H95+I95+J95+K95+L95+M95</f>
        <v>142452.44999999998</v>
      </c>
    </row>
    <row r="96" spans="1:14" ht="16">
      <c r="A96" s="47" t="s">
        <v>92</v>
      </c>
      <c r="B96" s="54">
        <f>B69+B73+B77+B78+B86+B87+B92+B93+B94+B95</f>
        <v>14411.38</v>
      </c>
      <c r="C96" s="54">
        <f>C69+C73+C77+C78+C86+C87+C92+C93+C94+C95</f>
        <v>14951.07</v>
      </c>
      <c r="D96" s="54">
        <f>D69+D73+D77+D78+D86+D87+D92+D93+D94+D95</f>
        <v>14183.96</v>
      </c>
      <c r="E96" s="54">
        <f>E69+E73+E77+E78+E86+E87+E92+E93+E94+E95</f>
        <v>17834.89</v>
      </c>
      <c r="F96" s="54">
        <f>F69+F73+F77+F78+F86+F87+F92+F93+F94+F95</f>
        <v>22401.1</v>
      </c>
      <c r="G96" s="54">
        <f>G69+G73+G77+G78+G86+G87+G92+G93+G94+G95</f>
        <v>17791.83</v>
      </c>
      <c r="H96" s="54">
        <f>H69+H73+H77+H78+H86+H87+H92+H93+H94+H95</f>
        <v>24713.51</v>
      </c>
      <c r="I96" s="54">
        <f>I69+I73+I77+I78+I86+I87+I92+I93+I94+I95</f>
        <v>25335.28</v>
      </c>
      <c r="J96" s="54">
        <f>J69+J73+J77+J78+J86+J87+J92+J93+J94+J95</f>
        <v>11962.57</v>
      </c>
      <c r="K96" s="54">
        <f>K69+K73+K77+K78+K86+K87+K92+K93+K94+K95</f>
        <v>20420.18</v>
      </c>
      <c r="L96" s="54">
        <f>L69+L73+L77+L78+L86+L87+L92+L93+L94+L95</f>
        <v>30546.25</v>
      </c>
      <c r="M96" s="54">
        <f>M69+M73+M77+M78+M86+M87+M92+M93+M94+M95</f>
        <v>36330.66</v>
      </c>
      <c r="N96" s="57">
        <f>B96+C96+D96+E96+F96+G96+H96+I96+J96+K96+L96+M96</f>
        <v>250882.68</v>
      </c>
    </row>
    <row r="97" spans="1:14" ht="16">
      <c r="A97" s="41" t="s">
        <v>93</v>
      </c>
      <c r="B97" s="52"/>
      <c r="C97" s="52"/>
      <c r="D97" s="52"/>
      <c r="E97" s="52"/>
      <c r="F97" s="53">
        <v>526.56</v>
      </c>
      <c r="G97" s="52"/>
      <c r="H97" s="53">
        <v>21.74</v>
      </c>
      <c r="I97" s="52"/>
      <c r="J97" s="53">
        <v>7.4</v>
      </c>
      <c r="K97" s="52"/>
      <c r="L97" s="52"/>
      <c r="M97" s="53">
        <v>96.72</v>
      </c>
      <c r="N97" s="53">
        <f>B97+C97+D97+E97+F97+G97+H97+I97+J97+K97+L97+M97</f>
        <v>652.42</v>
      </c>
    </row>
    <row r="98" spans="1:14" ht="16">
      <c r="A98" s="41" t="s">
        <v>94</v>
      </c>
      <c r="B98" s="53">
        <v>1206.72</v>
      </c>
      <c r="C98" s="53">
        <v>668.33</v>
      </c>
      <c r="D98" s="53">
        <v>526.42</v>
      </c>
      <c r="E98" s="53">
        <v>500.11</v>
      </c>
      <c r="F98" s="53">
        <v>982.1</v>
      </c>
      <c r="G98" s="53">
        <v>470.12</v>
      </c>
      <c r="H98" s="53">
        <v>566.84</v>
      </c>
      <c r="I98" s="53">
        <v>1147.93</v>
      </c>
      <c r="J98" s="53">
        <v>1517.8</v>
      </c>
      <c r="K98" s="53">
        <v>786.96</v>
      </c>
      <c r="L98" s="53">
        <v>766.74</v>
      </c>
      <c r="M98" s="53">
        <v>1095.91</v>
      </c>
      <c r="N98" s="53">
        <f>B98+C98+D98+E98+F98+G98+H98+I98+J98+K98+L98+M98</f>
        <v>10235.980000000001</v>
      </c>
    </row>
    <row r="99" spans="1:14" ht="16">
      <c r="A99" s="41" t="s">
        <v>95</v>
      </c>
      <c r="B99" s="52"/>
      <c r="C99" s="53">
        <v>446.32</v>
      </c>
      <c r="D99" s="53">
        <v>991.23</v>
      </c>
      <c r="E99" s="53">
        <v>76.5</v>
      </c>
      <c r="F99" s="53">
        <v>150.01</v>
      </c>
      <c r="G99" s="52"/>
      <c r="H99" s="53">
        <v>65.0</v>
      </c>
      <c r="I99" s="53">
        <v>2189.15</v>
      </c>
      <c r="J99" s="52"/>
      <c r="K99" s="53">
        <v>465.22</v>
      </c>
      <c r="L99" s="53">
        <v>250.0</v>
      </c>
      <c r="M99" s="53">
        <v>643.33</v>
      </c>
      <c r="N99" s="53">
        <f>B99+C99+D99+E99+F99+G99+H99+I99+J99+K99+L99+M99</f>
        <v>5276.76</v>
      </c>
    </row>
    <row r="100" spans="1:14" ht="16">
      <c r="A100" s="48" t="s">
        <v>96</v>
      </c>
      <c r="B100" s="54">
        <f>B57+B68+B96+B97+B98+B99</f>
        <v>29303.75</v>
      </c>
      <c r="C100" s="54">
        <f>C57+C68+C96+C97+C98+C99</f>
        <v>25590.230000000003</v>
      </c>
      <c r="D100" s="54">
        <f>D57+D68+D96+D97+D98+D99</f>
        <v>24097.779999999995</v>
      </c>
      <c r="E100" s="54">
        <f>E57+E68+E96+E97+E98+E99</f>
        <v>24471.489999999998</v>
      </c>
      <c r="F100" s="54">
        <f>F57+F68+F96+F97+F98+F99</f>
        <v>35000.689999999995</v>
      </c>
      <c r="G100" s="54">
        <f>G57+G68+G96+G97+G98+G99</f>
        <v>25829.030000000002</v>
      </c>
      <c r="H100" s="54">
        <f>H57+H68+H96+H97+H98+H99</f>
        <v>33333.83</v>
      </c>
      <c r="I100" s="54">
        <f>I57+I68+I96+I97+I98+I99</f>
        <v>36802.22</v>
      </c>
      <c r="J100" s="54">
        <f>J57+J68+J96+J97+J98+J99</f>
        <v>24044.05</v>
      </c>
      <c r="K100" s="54">
        <f>K57+K68+K96+K97+K98+K99</f>
        <v>29753.739999999998</v>
      </c>
      <c r="L100" s="54">
        <f>L57+L68+L96+L97+L98+L99</f>
        <v>49026.77</v>
      </c>
      <c r="M100" s="54">
        <f>M57+M68+M96+M97+M98+M99</f>
        <v>49883.19000000001</v>
      </c>
      <c r="N100" s="57">
        <f>B100+C100+D100+E100+F100+G100+H100+I100+J100+K100+L100+M100</f>
        <v>387136.77</v>
      </c>
    </row>
    <row r="101" spans="1:14" ht="16">
      <c r="A101" s="48" t="s">
        <v>97</v>
      </c>
      <c r="B101" s="54">
        <f>B56-B100</f>
        <v>-13526.150000000009</v>
      </c>
      <c r="C101" s="54">
        <f>C56-C100</f>
        <v>-15890.870000000003</v>
      </c>
      <c r="D101" s="54">
        <f>D56-D100</f>
        <v>30767.369999999984</v>
      </c>
      <c r="E101" s="54">
        <f>E56-E100</f>
        <v>22340.33000000001</v>
      </c>
      <c r="F101" s="54">
        <f>F56-F100</f>
        <v>6121.040000000001</v>
      </c>
      <c r="G101" s="54">
        <f>G56-G100</f>
        <v>10522.499999999982</v>
      </c>
      <c r="H101" s="54">
        <f>H56-H100</f>
        <v>1047.4400000000023</v>
      </c>
      <c r="I101" s="54">
        <f>I56-I100</f>
        <v>21089.00999999998</v>
      </c>
      <c r="J101" s="54">
        <f>J56-J100</f>
        <v>51005.65999999999</v>
      </c>
      <c r="K101" s="54">
        <f>K56-K100</f>
        <v>49007.32999999998</v>
      </c>
      <c r="L101" s="54">
        <f>L56-L100</f>
        <v>-3292.4100000000108</v>
      </c>
      <c r="M101" s="54">
        <f>M56-M100</f>
        <v>-32383.270000000004</v>
      </c>
      <c r="N101" s="57">
        <f>B101+C101+D101+E101+F101+G101+H101+I101+J101+K101+L101+M101</f>
        <v>126807.97999999991</v>
      </c>
    </row>
    <row r="102" spans="1:13" ht="16">
      <c r="A102" s="40" t="s">
        <v>98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</row>
    <row r="103" spans="1:14" ht="16">
      <c r="A103" s="41" t="s">
        <v>99</v>
      </c>
      <c r="B103" s="53">
        <v>0.16</v>
      </c>
      <c r="C103" s="53">
        <v>0.13</v>
      </c>
      <c r="D103" s="53">
        <v>0.09</v>
      </c>
      <c r="E103" s="53">
        <v>0.07</v>
      </c>
      <c r="F103" s="53">
        <v>0.02</v>
      </c>
      <c r="G103" s="53">
        <v>0.05</v>
      </c>
      <c r="H103" s="53">
        <v>0.03</v>
      </c>
      <c r="I103" s="53">
        <v>0.01</v>
      </c>
      <c r="J103" s="52"/>
      <c r="K103" s="52"/>
      <c r="L103" s="53">
        <v>0.05</v>
      </c>
      <c r="M103" s="53">
        <v>0.09</v>
      </c>
      <c r="N103" s="53">
        <f>B103+C103+D103+E103+F103+G103+H103+I103+J103+K103+L103+M103</f>
        <v>0.7000000000000001</v>
      </c>
    </row>
    <row r="104" spans="1:14" ht="16">
      <c r="A104" s="48" t="s">
        <v>100</v>
      </c>
      <c r="B104" s="54">
        <f>B102+B103</f>
        <v>0.16</v>
      </c>
      <c r="C104" s="54">
        <f>C102+C103</f>
        <v>0.13</v>
      </c>
      <c r="D104" s="54">
        <f>D102+D103</f>
        <v>0.09</v>
      </c>
      <c r="E104" s="54">
        <f>E102+E103</f>
        <v>0.07</v>
      </c>
      <c r="F104" s="54">
        <f>F102+F103</f>
        <v>0.02</v>
      </c>
      <c r="G104" s="54">
        <f>G102+G103</f>
        <v>0.05</v>
      </c>
      <c r="H104" s="54">
        <f>H102+H103</f>
        <v>0.03</v>
      </c>
      <c r="I104" s="54">
        <f>I102+I103</f>
        <v>0.01</v>
      </c>
      <c r="J104" s="57">
        <f>J102+J103</f>
        <v>0.0</v>
      </c>
      <c r="K104" s="57">
        <f>K102+K103</f>
        <v>0.0</v>
      </c>
      <c r="L104" s="54">
        <f>L102+L103</f>
        <v>0.05</v>
      </c>
      <c r="M104" s="54">
        <f>M102+M103</f>
        <v>0.09</v>
      </c>
      <c r="N104" s="57">
        <f>B104+C104+D104+E104+F104+G104+H104+I104+J104+K104+L104+M104</f>
        <v>0.7000000000000001</v>
      </c>
    </row>
    <row r="105" spans="1:13" ht="16">
      <c r="A105" s="40" t="s">
        <v>101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</row>
    <row r="106" spans="1:14" ht="16">
      <c r="A106" s="41" t="s">
        <v>102</v>
      </c>
      <c r="B106" s="53">
        <v>35.56</v>
      </c>
      <c r="C106" s="53">
        <v>31.25</v>
      </c>
      <c r="D106" s="53">
        <v>29.09</v>
      </c>
      <c r="E106" s="53">
        <v>84.79</v>
      </c>
      <c r="F106" s="53">
        <v>24.79</v>
      </c>
      <c r="G106" s="53">
        <v>29.11</v>
      </c>
      <c r="H106" s="53">
        <v>29.12</v>
      </c>
      <c r="I106" s="53">
        <v>49.79</v>
      </c>
      <c r="J106" s="53">
        <v>183.35</v>
      </c>
      <c r="K106" s="53">
        <v>39.79</v>
      </c>
      <c r="L106" s="53">
        <v>16.23</v>
      </c>
      <c r="M106" s="53">
        <v>23.81</v>
      </c>
      <c r="N106" s="53">
        <f>B106+C106+D106+E106+F106+G106+H106+I106+J106+K106+L106+M106</f>
        <v>576.68</v>
      </c>
    </row>
    <row r="107" spans="1:14" ht="16">
      <c r="A107" s="41" t="s">
        <v>103</v>
      </c>
      <c r="B107" s="53">
        <v>563.99</v>
      </c>
      <c r="C107" s="52"/>
      <c r="D107" s="52"/>
      <c r="E107" s="52"/>
      <c r="F107" s="52"/>
      <c r="G107" s="53">
        <v>-5589.25</v>
      </c>
      <c r="H107" s="53">
        <v>-3813.74</v>
      </c>
      <c r="I107" s="52"/>
      <c r="J107" s="52"/>
      <c r="K107" s="52"/>
      <c r="L107" s="52"/>
      <c r="M107" s="52"/>
      <c r="N107" s="53">
        <f>B107+C107+D107+E107+F107+G107+H107+I107+J107+K107+L107+M107</f>
        <v>-8839.0</v>
      </c>
    </row>
    <row r="108" spans="1:14" ht="16">
      <c r="A108" s="48" t="s">
        <v>104</v>
      </c>
      <c r="B108" s="54">
        <f>B105+B106+B107</f>
        <v>599.55</v>
      </c>
      <c r="C108" s="54">
        <f>C105+C106+C107</f>
        <v>31.25</v>
      </c>
      <c r="D108" s="54">
        <f>D105+D106+D107</f>
        <v>29.09</v>
      </c>
      <c r="E108" s="54">
        <f>E105+E106+E107</f>
        <v>84.79</v>
      </c>
      <c r="F108" s="54">
        <f>F105+F106+F107</f>
        <v>24.79</v>
      </c>
      <c r="G108" s="54">
        <f>G105+G106+G107</f>
        <v>-5560.14</v>
      </c>
      <c r="H108" s="54">
        <f>H105+H106+H107</f>
        <v>-3784.62</v>
      </c>
      <c r="I108" s="54">
        <f>I105+I106+I107</f>
        <v>49.79</v>
      </c>
      <c r="J108" s="54">
        <f>J105+J106+J107</f>
        <v>183.35</v>
      </c>
      <c r="K108" s="54">
        <f>K105+K106+K107</f>
        <v>39.79</v>
      </c>
      <c r="L108" s="54">
        <f>L105+L106+L107</f>
        <v>16.23</v>
      </c>
      <c r="M108" s="54">
        <f>M105+M106+M107</f>
        <v>23.81</v>
      </c>
      <c r="N108" s="57">
        <f>B108+C108+D108+E108+F108+G108+H108+I108+J108+K108+L108+M108</f>
        <v>-8262.32</v>
      </c>
    </row>
    <row r="109" spans="1:14" ht="16">
      <c r="A109" s="48" t="s">
        <v>105</v>
      </c>
      <c r="B109" s="54">
        <f>B104-B108</f>
        <v>-599.39</v>
      </c>
      <c r="C109" s="54">
        <f>C104-C108</f>
        <v>-31.12</v>
      </c>
      <c r="D109" s="54">
        <f>D104-D108</f>
        <v>-29.0</v>
      </c>
      <c r="E109" s="54">
        <f>E104-E108</f>
        <v>-84.72000000000001</v>
      </c>
      <c r="F109" s="54">
        <f>F104-F108</f>
        <v>-24.77</v>
      </c>
      <c r="G109" s="54">
        <f>G104-G108</f>
        <v>5560.1900000000005</v>
      </c>
      <c r="H109" s="54">
        <f>H104-H108</f>
        <v>3784.65</v>
      </c>
      <c r="I109" s="54">
        <f>I104-I108</f>
        <v>-49.78</v>
      </c>
      <c r="J109" s="54">
        <f>J104-J108</f>
        <v>-183.35</v>
      </c>
      <c r="K109" s="54">
        <f>K104-K108</f>
        <v>-39.79</v>
      </c>
      <c r="L109" s="54">
        <f>L104-L108</f>
        <v>-16.18</v>
      </c>
      <c r="M109" s="54">
        <f>M104-M108</f>
        <v>-23.72</v>
      </c>
      <c r="N109" s="57">
        <f>B109+C109+D109+E109+F109+G109+H109+I109+J109+K109+L109+M109</f>
        <v>8263.019999999999</v>
      </c>
    </row>
    <row r="110" spans="1:14" ht="16">
      <c r="A110" s="48" t="s">
        <v>106</v>
      </c>
      <c r="B110" s="54">
        <f>B101+B109</f>
        <v>-14125.540000000008</v>
      </c>
      <c r="C110" s="54">
        <f>C101+C109</f>
        <v>-15921.990000000003</v>
      </c>
      <c r="D110" s="54">
        <f>D101+D109</f>
        <v>30738.369999999984</v>
      </c>
      <c r="E110" s="54">
        <f>E101+E109</f>
        <v>22255.610000000008</v>
      </c>
      <c r="F110" s="54">
        <f>F101+F109</f>
        <v>6096.27</v>
      </c>
      <c r="G110" s="54">
        <f>G101+G109</f>
        <v>16082.689999999982</v>
      </c>
      <c r="H110" s="54">
        <f>H101+H109</f>
        <v>4832.090000000002</v>
      </c>
      <c r="I110" s="54">
        <f>I101+I109</f>
        <v>21039.22999999998</v>
      </c>
      <c r="J110" s="54">
        <f>J101+J109</f>
        <v>50822.30999999999</v>
      </c>
      <c r="K110" s="54">
        <f>K101+K109</f>
        <v>48967.53999999998</v>
      </c>
      <c r="L110" s="54">
        <f>L101+L109</f>
        <v>-3308.5900000000106</v>
      </c>
      <c r="M110" s="54">
        <f>M101+M109</f>
        <v>-32406.990000000005</v>
      </c>
      <c r="N110" s="57">
        <f>B110+C110+D110+E110+F110+G110+H110+I110+J110+K110+L110+M110</f>
        <v>135070.99999999994</v>
      </c>
    </row>
    <row r="114" spans="1:1" ht="16">
      <c r="A114" s="58" t="s">
        <v>121</v>
      </c>
    </row>
  </sheetData>
  <mergeCells count="4">
    <mergeCell ref="A1:N1"/>
    <mergeCell ref="A2:N2"/>
    <mergeCell ref="A3:N3"/>
    <mergeCell ref="A114:N11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